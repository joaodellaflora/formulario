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Aeroportos" sheetId="21" r:id="rId1"/>
    <sheet name="Distancias_aeroportos" sheetId="19" r:id="rId2"/>
    <sheet name="Fatores_emissao_aereas" sheetId="20" r:id="rId3"/>
    <sheet name="Consumo_teletrabalho" sheetId="1" r:id="rId4"/>
    <sheet name="Etanol Hidratado e Biometano" sheetId="2" r:id="rId5"/>
    <sheet name="Oleo Diesel" sheetId="3" r:id="rId6"/>
    <sheet name="GNV" sheetId="4" r:id="rId7"/>
    <sheet name="Consumo_unidade_medida" sheetId="5" r:id="rId8"/>
    <sheet name="Estacionaria" sheetId="6" r:id="rId9"/>
    <sheet name="Variaveis_GHG" sheetId="7" r:id="rId10"/>
    <sheet name="Composicao_combustiveis" sheetId="8" r:id="rId11"/>
    <sheet name="GWP" sheetId="9" r:id="rId12"/>
    <sheet name="Fatores_combustao_movel" sheetId="10" r:id="rId13"/>
    <sheet name="Transporte_metro" sheetId="11" r:id="rId14"/>
    <sheet name="Transporte_Trem" sheetId="12" r:id="rId15"/>
    <sheet name="Transporte_Onibus" sheetId="13" r:id="rId16"/>
    <sheet name="Balsa" sheetId="14" r:id="rId17"/>
    <sheet name="Todos_combustiveis" sheetId="15" r:id="rId18"/>
    <sheet name="Veículos elétricos" sheetId="16" r:id="rId19"/>
    <sheet name="Legenda" sheetId="18" r:id="rId20"/>
  </sheets>
  <externalReferences>
    <externalReference r:id="rId21"/>
    <externalReference r:id="rId22"/>
    <externalReference r:id="rId23"/>
    <externalReference r:id="rId24"/>
    <externalReference r:id="rId25"/>
  </externalReferences>
  <definedNames>
    <definedName name="_xlnm._FilterDatabase" localSheetId="1" hidden="1">Distancias_aeroportos!$A$1:$D$155</definedName>
    <definedName name="_xlnm._FilterDatabase" localSheetId="7" hidden="1">Consumo_unidade_medida!$A$1:$D$529</definedName>
    <definedName name="_xlnm._FilterDatabase" localSheetId="17" hidden="1">Todos_combustiveis!$A$1:$G$237</definedName>
    <definedName name="AA_biogenico">'[1]Atividades de agricultura'!$I$135</definedName>
    <definedName name="AA_fosseis">'[1]Atividades de agricultura'!$H$135</definedName>
    <definedName name="Ano">[1]Introdução!$E$25</definedName>
    <definedName name="conversao_GJ_MWh">[1]Listas!$Q$37</definedName>
    <definedName name="dbo_dqo">[1]Listas!$BY$3:$BY$4</definedName>
    <definedName name="DEFRA_diesel">[1]Listas!$CW$2</definedName>
    <definedName name="distancia_aviao_curto">[1]Listas!$BW$2</definedName>
    <definedName name="distancia_aviao_longo">[1]Listas!$BW$4</definedName>
    <definedName name="distancia_aviao_medio">[1]Listas!$BW$3</definedName>
    <definedName name="distância_VN">[1]Listas!$BW$2:$BW$4</definedName>
    <definedName name="DOCf_high">'[1]Resíduos sólidos'!$BD$70</definedName>
    <definedName name="DOCf_less">'[1]Resíduos sólidos'!$BD$68</definedName>
    <definedName name="DOCf_mod">'[1]Resíduos sólidos'!$BD$69</definedName>
    <definedName name="EFL_biogênico">[1]Efluentes!$E$157</definedName>
    <definedName name="EFL_CO2e">[1]Efluentes!$E$156</definedName>
    <definedName name="eflu_ch4_recuperado">[1]Listas!$BZ$3:$BZ$4</definedName>
    <definedName name="eflu_DBO_removida">[1]Listas!$CB$55</definedName>
    <definedName name="eflu_horas_ano">[1]Listas!$CB$52</definedName>
    <definedName name="eflu_kgDBO_pessoa.dia">[1]Listas!$CB$51</definedName>
    <definedName name="eflu_N_removido">[1]Listas!$CB$56</definedName>
    <definedName name="eflu_ocupacao">[1]Listas!$CA$41:$CB$44</definedName>
    <definedName name="eflu_tipo_tratamento_MCF">[1]Listas!$CA$3:$CE$14</definedName>
    <definedName name="eflu_trat_sequenc">[1]Listas!$CH$3:$CH$5</definedName>
    <definedName name="efu_tipo_de_eflu">[1]Listas!$CA$29:$CB$36</definedName>
    <definedName name="estados_br_E1">'[1]Resíduos sólidos'!$D$49</definedName>
    <definedName name="estados_br_E3">'[1]Resíduos sólidos da operação'!$D$54</definedName>
    <definedName name="Fator_recuperacao">'[1]Resíduos sólidos da operação'!$BE$56</definedName>
    <definedName name="FE_CED_biocombustiveis">'[1]Combustão estacionária'!$C$197:$H$210</definedName>
    <definedName name="FE_CED_fossil">'[1]Combustão estacionária'!$C$154:$H$195</definedName>
    <definedName name="Fitofis_amazonia">[1]Listas!$DA$14:$DC$60</definedName>
    <definedName name="Fitofis_Caatinga">[1]Listas!$DA$220:$DC$253</definedName>
    <definedName name="Fitofis_Cerrado">[1]Listas!$DA$63:$DD$155</definedName>
    <definedName name="Fitofis_MataAtlantica">[1]Listas!$DA$159:$DC$217</definedName>
    <definedName name="Fitofis_Pampa">[1]Listas!$DA$256:$DC$290</definedName>
    <definedName name="Fitofis_Pantanal">[1]Listas!$DA$293:$DC$313</definedName>
    <definedName name="k_alimentos_lodo">'[1]Resíduos sólidos'!$BD$66</definedName>
    <definedName name="k_alimentos_lodo_E3">'[1]Resíduos sólidos da operação'!$BE$49</definedName>
    <definedName name="k_jardim_outros_nao_alimentos">'[1]Resíduos sólidos'!$BD$65</definedName>
    <definedName name="k_jardim_outros_nao_alimentos_E3">'[1]Resíduos sólidos da operação'!$BE$48</definedName>
    <definedName name="k_madeira">'[1]Resíduos sólidos'!$BD$64</definedName>
    <definedName name="k_madeira_E3">'[1]Resíduos sólidos da operação'!$BE$47</definedName>
    <definedName name="k_papel_texteis">'[1]Resíduos sólidos'!$BD$63</definedName>
    <definedName name="k_papel_texteis_E3">'[1]Resíduos sólidos da operação'!$BE$46</definedName>
    <definedName name="lista_ano">[1]Listas!$B$2:$B$20</definedName>
    <definedName name="lista_balsas">[1]Listas!$U$27:$U$29</definedName>
    <definedName name="lista_caminhao">[1]Listas!$CS$2:$CS$21</definedName>
    <definedName name="lista_CH4_recuperado">[1]Listas!$BT$2:$BT$4</definedName>
    <definedName name="lista_comb">[1]Listas!$G$3:$G$59</definedName>
    <definedName name="lista_comb_aereo">[1]Listas!$Y$3:$Y$4</definedName>
    <definedName name="lista_comb_energia">[1]Listas!$R$27:$R$78</definedName>
    <definedName name="lista_comb_ferrovia">[1]Listas!$Q$3:$Q$15</definedName>
    <definedName name="lista_comb_hidroviario">[1]Listas!$U$3:$U$5</definedName>
    <definedName name="lista_comb_mov_Deslocamento_CT">[1]Listas!$M$14:$M$18</definedName>
    <definedName name="lista_comb_movel">[1]Listas!$M$3:$M$8</definedName>
    <definedName name="lista_concessionarias">[1]Listas!$CT$2:$CT$14</definedName>
    <definedName name="lista_energia">[1]Listas!$Q$28:$Q$34</definedName>
    <definedName name="lista_equip_refrigeraçao">[1]Listas!$CJ$2:$CJ$10</definedName>
    <definedName name="lista_estados_br">[1]Listas!$AI$2:$AI$29</definedName>
    <definedName name="lista_incineradores">[1]Listas!$BT$29:$BT$34</definedName>
    <definedName name="lista_metro_trem">[1]Listas!$CQ$2:$CQ$3</definedName>
    <definedName name="lista_navio1">[1]Listas!$CL$2:$CL$3</definedName>
    <definedName name="lista_navio2a">[1]Listas!$CM$2:$CM$6</definedName>
    <definedName name="lista_navio2b">[1]Listas!$CN$2:$CN$8</definedName>
    <definedName name="lista_onibus">[1]Listas!$CO$2:$CO$3</definedName>
    <definedName name="Lista_sem_fito">[1]Listas!$DD$8:$DD$10</definedName>
    <definedName name="lista_setor">[1]Listas!$D$2:$D$6</definedName>
    <definedName name="lista_veiculos">[1]Listas!$M$27:$M$58</definedName>
    <definedName name="Mud_solo_biogenico">'[1]Mudança no uso do solo'!$I$183</definedName>
    <definedName name="Mud_solo_fosseis">'[1]Mudança no uso do solo'!$H$183</definedName>
    <definedName name="municípios_br_E1">'[1]Resíduos sólidos'!$D$50</definedName>
    <definedName name="municípios_br_E3">'[1]Resíduos sólidos da operação'!$D$55</definedName>
    <definedName name="municipios_temp_pluv">[1]Listas!$BN$1:$BR$700</definedName>
    <definedName name="MUS_Am">[1]Listas!$DA$17:$DA$60</definedName>
    <definedName name="MUS_CA">[1]Listas!$DA$222:$DA$253</definedName>
    <definedName name="MUS_Ce">[1]Listas!$DA$65:$DA$155</definedName>
    <definedName name="MUS_MA">[1]Listas!$DA$161:$DA$217</definedName>
    <definedName name="MUS_PA">[1]Listas!$DA$258:$DA$290</definedName>
    <definedName name="MUS_Pan">[1]Listas!$DA$295:$DA$313</definedName>
    <definedName name="n_a">[1]Listas!$CM$2</definedName>
    <definedName name="n_b">[1]Listas!$CM$3</definedName>
    <definedName name="n_c">[1]Listas!$CM$4</definedName>
    <definedName name="n_d">[1]Listas!$CM$5</definedName>
    <definedName name="n_e">[1]Listas!$CM$6</definedName>
    <definedName name="n_f">[1]Listas!$CN$2</definedName>
    <definedName name="n_g">[1]Listas!$CN$3</definedName>
    <definedName name="n_h">[1]Listas!$CN$4</definedName>
    <definedName name="n_i">[1]Listas!$CN$5</definedName>
    <definedName name="n_j">[1]Listas!$CN$6</definedName>
    <definedName name="n_k">[1]Listas!$CN$7</definedName>
    <definedName name="n_l">[1]Listas!$CN$8</definedName>
    <definedName name="nome_diesel_comercial">[1]Listas!$Q$4</definedName>
    <definedName name="nome_eolica">[1]Listas!$Q$28</definedName>
    <definedName name="nome_fotovolt">[1]Listas!$Q$29</definedName>
    <definedName name="nome_geoterm">[1]Listas!$Q$31</definedName>
    <definedName name="nome_helioterm">[1]Listas!$Q$30</definedName>
    <definedName name="nome_hidroelet">[1]Listas!$Q$32</definedName>
    <definedName name="nome_maremotriz">[1]Listas!$Q$34</definedName>
    <definedName name="nome_organizacao">[1]Introdução!$E$22</definedName>
    <definedName name="nome_termoelet">[1]Listas!$Q$33</definedName>
    <definedName name="perc_biod_anual">'[2]Fatores Variáveis modelo'!$Q$40</definedName>
    <definedName name="perc_etanol_anual">'[2]Fatores Variáveis modelo'!$Q$39</definedName>
    <definedName name="processos_industriais_biogenico">'[1]Processos industriais'!$I$133</definedName>
    <definedName name="processos_industriais_fosseis">'[1]Processos industriais'!$H$133</definedName>
    <definedName name="processos_industriais_remocao">'[1]Processos industriais'!$J$133</definedName>
    <definedName name="SIN_media_anual">'[2]Fatores Variáveis modelo'!$Q$38</definedName>
    <definedName name="t_1">[1]Listas!$AC$4:$AC$27</definedName>
    <definedName name="t_2">[1]Listas!$AD$4:$AD$24</definedName>
    <definedName name="t_3">[1]Listas!$AE$4:$AE$18</definedName>
    <definedName name="t_5">[1]Listas!$AG$4:$AG$12</definedName>
    <definedName name="tabela_comb_aereo">[1]Listas!$Y$3:$AA$4</definedName>
    <definedName name="tabela_comb_ferrovia">[1]Listas!$Q$3:$S$15</definedName>
    <definedName name="tabela_comb_hidroviario">[1]Listas!$U$3:$W$5</definedName>
    <definedName name="tabela_comb_mov_Deslocamento_CT">[1]Listas!$M$14:$O$18</definedName>
    <definedName name="tabela_comb_movel">[1]Listas!$M$3:$O$8</definedName>
    <definedName name="tabela_combustiveis_CombEstacionaria">[1]Listas!$G$3:$J$59</definedName>
    <definedName name="tabela_combustivel_frota">[1]Listas!$M$27:$O$58</definedName>
    <definedName name="total_AA_biomassa">'[1]Atividades de agricultura'!$F$144</definedName>
    <definedName name="total_AA_CH4">'[1]Atividades de agricultura'!$O$121</definedName>
    <definedName name="total_AA_CO2">'[1]Atividades de agricultura'!$O$120</definedName>
    <definedName name="total_AA_N2O">'[1]Atividades de agricultura'!$O$122</definedName>
    <definedName name="total_Cat1_CH4">'[1]Categorias de Escopo 3'!$C$32</definedName>
    <definedName name="total_Cat1_CO2">'[1]Categorias de Escopo 3'!$C$31</definedName>
    <definedName name="total_Cat1_CO2_biomassa">'[1]Categorias de Escopo 3'!$C$68</definedName>
    <definedName name="total_Cat1_CO2e">'[1]Categorias de Escopo 3'!$D$67</definedName>
    <definedName name="total_Cat1_HFC">'[1]Categorias de Escopo 3'!$C$34</definedName>
    <definedName name="total_Cat1_N2O">'[1]Categorias de Escopo 3'!$C$33</definedName>
    <definedName name="total_Cat1_NF3">'[1]Categorias de Escopo 3'!$C$66</definedName>
    <definedName name="total_Cat1_PFC">'[1]Categorias de Escopo 3'!$C$54</definedName>
    <definedName name="total_Cat1_remocao">'[1]Categorias de Escopo 3'!$D$69</definedName>
    <definedName name="total_Cat1_SF6">'[1]Categorias de Escopo 3'!$C$65</definedName>
    <definedName name="total_Cat10_CH4">'[1]Categorias de Escopo 3'!$E$120</definedName>
    <definedName name="total_Cat10_CO2">'[1]Categorias de Escopo 3'!$E$119</definedName>
    <definedName name="total_Cat10_CO2_biomassa">'[1]Categorias de Escopo 3'!$E$156</definedName>
    <definedName name="total_Cat10_CO2e">'[1]Categorias de Escopo 3'!$F$155</definedName>
    <definedName name="total_Cat10_HFC">'[1]Categorias de Escopo 3'!$E$122</definedName>
    <definedName name="total_Cat10_N2O">'[1]Categorias de Escopo 3'!$E$121</definedName>
    <definedName name="total_Cat10_NF3">'[1]Categorias de Escopo 3'!$E$154</definedName>
    <definedName name="total_Cat10_PFC">'[1]Categorias de Escopo 3'!$E$142</definedName>
    <definedName name="total_Cat10_remocao">'[1]Categorias de Escopo 3'!$F$157</definedName>
    <definedName name="total_Cat10_SF6">'[1]Categorias de Escopo 3'!$E$153</definedName>
    <definedName name="total_Cat11_CH4">'[1]Categorias de Escopo 3'!$G$120</definedName>
    <definedName name="total_Cat11_CO2">'[1]Categorias de Escopo 3'!$G$119</definedName>
    <definedName name="total_Cat11_CO2_biomassa">'[1]Categorias de Escopo 3'!$G$156</definedName>
    <definedName name="total_Cat11_CO2e">'[1]Categorias de Escopo 3'!$H$155</definedName>
    <definedName name="total_Cat11_HFC">'[1]Categorias de Escopo 3'!$G$122</definedName>
    <definedName name="total_Cat11_N2O">'[1]Categorias de Escopo 3'!$G$121</definedName>
    <definedName name="total_Cat11_NF3">'[1]Categorias de Escopo 3'!$G$154</definedName>
    <definedName name="total_Cat11_PFC">'[1]Categorias de Escopo 3'!$G$142</definedName>
    <definedName name="total_Cat11_remocao">'[1]Categorias de Escopo 3'!$H$157</definedName>
    <definedName name="total_Cat11_SF6">'[1]Categorias de Escopo 3'!$G$153</definedName>
    <definedName name="total_Cat12_CH4">'[1]Categorias de Escopo 3'!$I$120</definedName>
    <definedName name="total_Cat12_CO2">'[1]Categorias de Escopo 3'!$I$119</definedName>
    <definedName name="total_Cat12_CO2_biomassa">'[1]Categorias de Escopo 3'!$I$156</definedName>
    <definedName name="total_Cat12_CO2e">'[1]Categorias de Escopo 3'!$J$155</definedName>
    <definedName name="total_Cat12_HFC">'[1]Categorias de Escopo 3'!$I$122</definedName>
    <definedName name="total_Cat12_N2O">'[1]Categorias de Escopo 3'!$I$121</definedName>
    <definedName name="total_Cat12_NF3">'[1]Categorias de Escopo 3'!$I$154</definedName>
    <definedName name="total_Cat12_PFC">'[1]Categorias de Escopo 3'!$I$142</definedName>
    <definedName name="total_Cat12_remocao">'[1]Categorias de Escopo 3'!$J$157</definedName>
    <definedName name="total_Cat12_SF6">'[1]Categorias de Escopo 3'!$I$153</definedName>
    <definedName name="total_Cat13_CH4">'[1]Categorias de Escopo 3'!$C$164</definedName>
    <definedName name="total_Cat13_CO2">'[1]Categorias de Escopo 3'!$C$163</definedName>
    <definedName name="total_Cat13_CO2_biomassa">'[1]Categorias de Escopo 3'!$C$200</definedName>
    <definedName name="total_Cat13_CO2e">'[1]Categorias de Escopo 3'!$D$199</definedName>
    <definedName name="total_Cat13_HFC">'[1]Categorias de Escopo 3'!$C$166</definedName>
    <definedName name="total_Cat13_N2O">'[1]Categorias de Escopo 3'!$C$165</definedName>
    <definedName name="total_Cat13_NF3">'[1]Categorias de Escopo 3'!$C$198</definedName>
    <definedName name="total_Cat13_PFC">'[1]Categorias de Escopo 3'!$C$186</definedName>
    <definedName name="total_Cat13_remocao">'[1]Categorias de Escopo 3'!$D$201</definedName>
    <definedName name="total_Cat13_SF6">'[1]Categorias de Escopo 3'!$C$197</definedName>
    <definedName name="total_Cat14_CH4">'[1]Categorias de Escopo 3'!$E$164</definedName>
    <definedName name="total_Cat14_CO2">'[1]Categorias de Escopo 3'!$E$163</definedName>
    <definedName name="total_Cat14_CO2_biomassa">'[1]Categorias de Escopo 3'!$E$200</definedName>
    <definedName name="total_Cat14_CO2e">'[1]Categorias de Escopo 3'!$F$199</definedName>
    <definedName name="total_Cat14_HFC">'[1]Categorias de Escopo 3'!$E$166</definedName>
    <definedName name="total_Cat14_N2O">'[1]Categorias de Escopo 3'!$E$165</definedName>
    <definedName name="total_Cat14_NF3">'[1]Categorias de Escopo 3'!$E$198</definedName>
    <definedName name="total_Cat14_PFC">'[1]Categorias de Escopo 3'!$E$186</definedName>
    <definedName name="total_Cat14_remocao">'[1]Categorias de Escopo 3'!$F$201</definedName>
    <definedName name="total_Cat14_SF6">'[1]Categorias de Escopo 3'!$E$197</definedName>
    <definedName name="total_Cat15_CH4">'[1]Categorias de Escopo 3'!$G$164</definedName>
    <definedName name="total_Cat15_CO2">'[1]Categorias de Escopo 3'!$G$163</definedName>
    <definedName name="total_Cat15_CO2_biomassa">'[1]Categorias de Escopo 3'!$G$200</definedName>
    <definedName name="total_Cat15_CO2e">'[1]Categorias de Escopo 3'!$H$199</definedName>
    <definedName name="total_Cat15_HFC">'[1]Categorias de Escopo 3'!$G$166</definedName>
    <definedName name="total_Cat15_N2O">'[1]Categorias de Escopo 3'!$G$165</definedName>
    <definedName name="total_Cat15_NF3">'[1]Categorias de Escopo 3'!$G$198</definedName>
    <definedName name="total_Cat15_PFC">'[1]Categorias de Escopo 3'!$G$186</definedName>
    <definedName name="total_Cat15_remocao">'[1]Categorias de Escopo 3'!$H$201</definedName>
    <definedName name="total_Cat15_SF6">'[1]Categorias de Escopo 3'!$G$197</definedName>
    <definedName name="total_Cat2_CH4">'[1]Categorias de Escopo 3'!$E$32</definedName>
    <definedName name="total_Cat2_CO2">'[1]Categorias de Escopo 3'!$E$31</definedName>
    <definedName name="total_Cat2_CO2_biomassa">'[1]Categorias de Escopo 3'!$E$68</definedName>
    <definedName name="total_Cat2_CO2e">'[1]Categorias de Escopo 3'!$F$67</definedName>
    <definedName name="total_Cat2_HFC">'[1]Categorias de Escopo 3'!$E$34</definedName>
    <definedName name="total_Cat2_N2O">'[1]Categorias de Escopo 3'!$E$33</definedName>
    <definedName name="total_Cat2_NF3">'[1]Categorias de Escopo 3'!$E$66</definedName>
    <definedName name="total_Cat2_PFC">'[1]Categorias de Escopo 3'!$E$54</definedName>
    <definedName name="total_Cat2_remocao">'[1]Categorias de Escopo 3'!$F$69</definedName>
    <definedName name="total_Cat2_SF6">'[1]Categorias de Escopo 3'!$E$65</definedName>
    <definedName name="total_Cat3_CH4">'[1]Categorias de Escopo 3'!$G$32</definedName>
    <definedName name="total_Cat3_CO2">'[1]Categorias de Escopo 3'!$G$31</definedName>
    <definedName name="total_Cat3_CO2_biomassa">'[1]Categorias de Escopo 3'!$G$68</definedName>
    <definedName name="total_Cat3_CO2e">'[1]Categorias de Escopo 3'!$H$67</definedName>
    <definedName name="total_Cat3_HFC">'[1]Categorias de Escopo 3'!$G$34</definedName>
    <definedName name="total_Cat3_N2O">'[1]Categorias de Escopo 3'!$G$33</definedName>
    <definedName name="total_Cat3_NF3">'[1]Categorias de Escopo 3'!$G$66</definedName>
    <definedName name="total_Cat3_PFC">'[1]Categorias de Escopo 3'!$G$54</definedName>
    <definedName name="total_Cat3_remocao">'[1]Categorias de Escopo 3'!$H$69</definedName>
    <definedName name="total_Cat3_SF6">'[1]Categorias de Escopo 3'!$G$65</definedName>
    <definedName name="total_Cat4_CH4">'[1]Categorias de Escopo 3'!$AB$32</definedName>
    <definedName name="total_Cat4_CO2">'[1]Categorias de Escopo 3'!$AB$31</definedName>
    <definedName name="total_Cat4_CO2_biomassa">'[1]Categorias de Escopo 3'!$AB$68</definedName>
    <definedName name="total_Cat4_CO2e">'[1]Categorias de Escopo 3'!$AC$67</definedName>
    <definedName name="total_Cat4_N2O">'[1]Categorias de Escopo 3'!$AB$33</definedName>
    <definedName name="total_Cat4_op_CH4">'[1]Categorias de Escopo 3'!$I$32</definedName>
    <definedName name="total_Cat4_op_CO2">'[1]Categorias de Escopo 3'!$I$31</definedName>
    <definedName name="total_Cat4_op_CO2_biomassa">'[1]Categorias de Escopo 3'!$I$68</definedName>
    <definedName name="total_Cat4_op_CO2e">'[1]Categorias de Escopo 3'!$J$67</definedName>
    <definedName name="total_Cat4_op_N2O">'[1]Categorias de Escopo 3'!$I$33</definedName>
    <definedName name="total_Cat4_remocao">'[1]Categorias de Escopo 3'!$J$69</definedName>
    <definedName name="total_Cat5_CH4">'[1]Categorias de Escopo 3'!$AD$32</definedName>
    <definedName name="total_Cat5_CO2">'[1]Categorias de Escopo 3'!$AD$31</definedName>
    <definedName name="total_Cat5_CO2_biomassa">'[1]Categorias de Escopo 3'!$AD$68</definedName>
    <definedName name="total_Cat5_CO2e">'[1]Categorias de Escopo 3'!$AE$67</definedName>
    <definedName name="total_Cat5_N2O">'[1]Categorias de Escopo 3'!$AD$33</definedName>
    <definedName name="total_Cat5_op_CH4">'[1]Categorias de Escopo 3'!$C$76</definedName>
    <definedName name="total_Cat5_op_CO2">'[1]Categorias de Escopo 3'!$C$75</definedName>
    <definedName name="total_Cat5_op_CO2_biomassa">'[1]Categorias de Escopo 3'!$C$112</definedName>
    <definedName name="total_Cat5_op_CO2e">'[1]Categorias de Escopo 3'!$D$111</definedName>
    <definedName name="total_Cat5_op_N2O">'[1]Categorias de Escopo 3'!$C$77</definedName>
    <definedName name="total_Cat5_remocao">'[1]Categorias de Escopo 3'!$D$113</definedName>
    <definedName name="total_Cat6_CH4">'[1]Categorias de Escopo 3'!$AF$32</definedName>
    <definedName name="total_Cat6_CO2">'[1]Categorias de Escopo 3'!$AF$31</definedName>
    <definedName name="total_Cat6_CO2_biomassa">'[1]Categorias de Escopo 3'!$AF$68</definedName>
    <definedName name="total_Cat6_CO2e">'[1]Categorias de Escopo 3'!$AG$67</definedName>
    <definedName name="total_Cat6_N2O">'[1]Categorias de Escopo 3'!$AF$33</definedName>
    <definedName name="total_Cat6_op_CH4">'[1]Categorias de Escopo 3'!$E$76</definedName>
    <definedName name="total_Cat6_op_CO2">'[1]Categorias de Escopo 3'!$E$75</definedName>
    <definedName name="total_Cat6_op_CO2_biomassa">'[1]Categorias de Escopo 3'!$E$112</definedName>
    <definedName name="total_Cat6_op_CO2e">'[1]Categorias de Escopo 3'!$F$111</definedName>
    <definedName name="total_Cat6_op_N2O">'[1]Categorias de Escopo 3'!$E$77</definedName>
    <definedName name="total_Cat6_remocao">'[1]Categorias de Escopo 3'!$F$113</definedName>
    <definedName name="total_Cat7_CH4">'[1]Categorias de Escopo 3'!$AH$32</definedName>
    <definedName name="total_Cat7_CO2">'[1]Categorias de Escopo 3'!$AH$31</definedName>
    <definedName name="total_Cat7_CO2_biomassa">'[1]Categorias de Escopo 3'!$AH$68</definedName>
    <definedName name="total_Cat7_CO2e">'[1]Categorias de Escopo 3'!$AI$67</definedName>
    <definedName name="total_Cat7_N2O">'[1]Categorias de Escopo 3'!$AH$33</definedName>
    <definedName name="total_Cat7_op_CH4">'[1]Categorias de Escopo 3'!$G$76</definedName>
    <definedName name="total_Cat7_op_CO2">'[1]Categorias de Escopo 3'!$G$75</definedName>
    <definedName name="total_Cat7_op_CO2_biomassa">'[1]Categorias de Escopo 3'!$G$112</definedName>
    <definedName name="total_Cat7_op_CO2e">'[1]Categorias de Escopo 3'!$H$111</definedName>
    <definedName name="total_Cat7_op_HFC">'[1]Categorias de Escopo 3'!$G$78</definedName>
    <definedName name="total_Cat7_op_N2O">'[1]Categorias de Escopo 3'!$G$77</definedName>
    <definedName name="total_Cat7_op_NF3">'[1]Categorias de Escopo 3'!$G$110</definedName>
    <definedName name="total_Cat7_op_PFC">'[1]Categorias de Escopo 3'!$G$98</definedName>
    <definedName name="total_Cat7_op_SF6">'[1]Categorias de Escopo 3'!$G$109</definedName>
    <definedName name="total_Cat7_remocao">'[1]Categorias de Escopo 3'!$H$113</definedName>
    <definedName name="total_Cat8_CH4">'[1]Categorias de Escopo 3'!$I$76</definedName>
    <definedName name="total_Cat8_CO2">'[1]Categorias de Escopo 3'!$I$75</definedName>
    <definedName name="total_Cat8_CO2_biomassa">'[1]Categorias de Escopo 3'!$I$112</definedName>
    <definedName name="total_Cat8_CO2e">'[1]Categorias de Escopo 3'!$J$111</definedName>
    <definedName name="total_Cat8_HFC">'[1]Categorias de Escopo 3'!$I$78</definedName>
    <definedName name="total_Cat8_N2O">'[1]Categorias de Escopo 3'!$I$77</definedName>
    <definedName name="total_Cat8_NF3">'[1]Categorias de Escopo 3'!$I$110</definedName>
    <definedName name="total_Cat8_PFC">'[1]Categorias de Escopo 3'!$I$98</definedName>
    <definedName name="total_Cat8_remocao">'[1]Categorias de Escopo 3'!$J$113</definedName>
    <definedName name="total_Cat8_SF6">'[1]Categorias de Escopo 3'!$I$109</definedName>
    <definedName name="total_Cat9_CH4">'[1]Categorias de Escopo 3'!$AJ$32</definedName>
    <definedName name="total_Cat9_CO2">'[1]Categorias de Escopo 3'!$AJ$31</definedName>
    <definedName name="total_Cat9_CO2_biomassa">'[1]Categorias de Escopo 3'!$AJ$68</definedName>
    <definedName name="total_Cat9_CO2e">'[1]Categorias de Escopo 3'!$AK$67</definedName>
    <definedName name="total_Cat9_N2O">'[1]Categorias de Escopo 3'!$AJ$33</definedName>
    <definedName name="total_Cat9_op_CH4">'[1]Categorias de Escopo 3'!$C$120</definedName>
    <definedName name="total_Cat9_op_CO2">'[1]Categorias de Escopo 3'!$C$119</definedName>
    <definedName name="total_Cat9_op_CO2_biomassa">'[1]Categorias de Escopo 3'!$C$156</definedName>
    <definedName name="total_Cat9_op_CO2e">'[1]Categorias de Escopo 3'!$D$155</definedName>
    <definedName name="total_Cat9_op_N2O">'[1]Categorias de Escopo 3'!$C$121</definedName>
    <definedName name="total_Cat9_remocao">'[1]Categorias de Escopo 3'!$D$157</definedName>
    <definedName name="total_CED_biomassa">'[1]Combustão estacionária'!$E$282</definedName>
    <definedName name="total_CED_CH4">'[1]Combustão estacionária'!$R$146</definedName>
    <definedName name="total_CED_CH4_biomassa">'[1]Combustão estacionária'!$U$146</definedName>
    <definedName name="total_CED_CO2">'[1]Combustão estacionária'!$Q$146</definedName>
    <definedName name="total_CED_CO2_biomassa">'[1]Combustão estacionária'!$T$146</definedName>
    <definedName name="total_CED_extra_CH4">'[1]Combustão estacionária'!$E$273</definedName>
    <definedName name="total_CED_extra_CO2">'[1]Combustão estacionária'!$D$273</definedName>
    <definedName name="total_CED_extra_CO2bio">'[1]Combustão estacionária'!$G$273</definedName>
    <definedName name="total_CED_extra_N2O">'[1]Combustão estacionária'!$F$273</definedName>
    <definedName name="total_CED_N2O">'[1]Combustão estacionária'!$S$146</definedName>
    <definedName name="total_CED_N2O_biomassa">'[1]Combustão estacionária'!$V$146</definedName>
    <definedName name="total_CM_aero_CH4">'[1]Combustão móvel'!$M$728</definedName>
    <definedName name="total_CM_aero_CO2">'[1]Combustão móvel'!$L$728</definedName>
    <definedName name="total_CM_aero_CO2e">'[1]Combustão móvel'!$O$728</definedName>
    <definedName name="total_CM_aero_N2O">'[1]Combustão móvel'!$N$728</definedName>
    <definedName name="total_CM_biomassa">'[1]Combustão móvel'!$F$801</definedName>
    <definedName name="total_CM_extra">'[1]Combustão móvel'!$H$791</definedName>
    <definedName name="total_CM_extra_CH4">'[1]Combustão móvel'!$E$791</definedName>
    <definedName name="total_CM_extra_CO2">'[1]Combustão móvel'!$D$791</definedName>
    <definedName name="total_CM_extra_CO2bio">'[1]Combustão móvel'!$G$791</definedName>
    <definedName name="total_CM_extra_N2O">'[1]Combustão móvel'!$F$791</definedName>
    <definedName name="total_CM_ferro_CH4">'[1]Combustão móvel'!$BC$590</definedName>
    <definedName name="total_CM_ferro_CO2">'[1]Combustão móvel'!$BB$590</definedName>
    <definedName name="total_CM_ferro_CO2bio">'[1]Combustão móvel'!$BF$590</definedName>
    <definedName name="total_CM_ferro_CO2e">'[1]Combustão móvel'!$BE$590</definedName>
    <definedName name="total_CM_ferro_N2O">'[1]Combustão móvel'!$BD$590</definedName>
    <definedName name="total_CM_hidro_CH4">'[1]Combustão móvel'!$BC$660</definedName>
    <definedName name="total_CM_hidro_CO2">'[1]Combustão móvel'!$BB$660</definedName>
    <definedName name="total_CM_hidro_CO2bio">'[1]Combustão móvel'!$BF$660</definedName>
    <definedName name="total_CM_hidro_CO2e">'[1]Combustão móvel'!$BE$660</definedName>
    <definedName name="total_CM_hidro_N2O">'[1]Combustão móvel'!$BD$660</definedName>
    <definedName name="total_CM_rod_opcao1_CH4">'[1]Combustão móvel'!$BA$195</definedName>
    <definedName name="total_CM_rod_opcao1_CO2">'[1]Combustão móvel'!$AZ$195</definedName>
    <definedName name="total_CM_rod_opcao1_CO2bio">'[1]Combustão móvel'!$BD$195</definedName>
    <definedName name="total_CM_rod_opcao1_CO2e">'[1]Combustão móvel'!$BC$195</definedName>
    <definedName name="total_CM_rod_opcao1_N2O">'[1]Combustão móvel'!$BB$195</definedName>
    <definedName name="total_CM_rod_opcao2_CH4">'[1]Combustão móvel'!$BC$357</definedName>
    <definedName name="total_CM_rod_opcao2_CO2">'[1]Combustão móvel'!$BB$357</definedName>
    <definedName name="total_CM_rod_opcao2_CO2bio">'[1]Combustão móvel'!$BF$357</definedName>
    <definedName name="total_CM_rod_opcao2_CO2e">'[1]Combustão móvel'!$BE$357</definedName>
    <definedName name="total_CM_rod_opcao2_N2O">'[1]Combustão móvel'!$BD$357</definedName>
    <definedName name="total_CM_rod_opcao3_CH4">'[1]Combustão móvel'!$BP$520</definedName>
    <definedName name="total_CM_rod_opcao3_CO2">'[1]Combustão móvel'!$BO$520</definedName>
    <definedName name="total_CM_rod_opcao3_CO2bio">'[1]Combustão móvel'!$BS$520</definedName>
    <definedName name="total_CM_rod_opcao3_CO2e">'[1]Combustão móvel'!$BR$520</definedName>
    <definedName name="total_CM_rod_opcao3_N2O">'[1]Combustão móvel'!$BQ$520</definedName>
    <definedName name="total_CT_balsa_CH4">'[1]Emissões casa-trabalho'!$L$335</definedName>
    <definedName name="total_CT_balsa_CO2">'[1]Emissões casa-trabalho'!$K$335</definedName>
    <definedName name="total_CT_balsa_CO2e">'[1]Emissões casa-trabalho'!$N$335</definedName>
    <definedName name="total_CT_balsa_N2O">'[1]Emissões casa-trabalho'!$M$335</definedName>
    <definedName name="total_CT_biogenico">'[1]Emissões casa-trabalho'!$F$801</definedName>
    <definedName name="total_CT_homeoffice_CO2">'[1]Emissões casa-trabalho'!$I$793</definedName>
    <definedName name="total_CT_metroferro_CO2">'[1]Emissões casa-trabalho'!$K$139</definedName>
    <definedName name="total_CT_metroferro_CO2e">'[1]Emissões casa-trabalho'!$N$139</definedName>
    <definedName name="total_CT_onibus_biogenico">'[1]Emissões casa-trabalho'!$X$252</definedName>
    <definedName name="total_CT_onibus_CH4">'[1]Emissões casa-trabalho'!$U$252</definedName>
    <definedName name="total_CT_onibus_CO2">'[1]Emissões casa-trabalho'!$T$252</definedName>
    <definedName name="total_CT_onibus_CO2e">'[1]Emissões casa-trabalho'!$W$252</definedName>
    <definedName name="total_CT_onibus_N2O">'[1]Emissões casa-trabalho'!$V$252</definedName>
    <definedName name="total_CT_rodo_opcao1_biogenico">'[1]Emissões casa-trabalho'!$BE$459</definedName>
    <definedName name="total_CT_rodo_opcao1_CH4">'[1]Emissões casa-trabalho'!$BB$459</definedName>
    <definedName name="total_CT_rodo_opcao1_CO2">'[1]Emissões casa-trabalho'!$BA$459</definedName>
    <definedName name="total_CT_rodo_opcao1_CO2e">'[1]Emissões casa-trabalho'!$BD$459</definedName>
    <definedName name="total_CT_rodo_opcao1_N2O">'[1]Emissões casa-trabalho'!$BC$459</definedName>
    <definedName name="total_CT_rodo_opcao2_biogenico">'[1]Emissões casa-trabalho'!$BG$572</definedName>
    <definedName name="total_CT_rodo_opcao2_CH4">'[1]Emissões casa-trabalho'!$BD$572</definedName>
    <definedName name="total_CT_rodo_opcao2_CO2">'[1]Emissões casa-trabalho'!$BC$572</definedName>
    <definedName name="total_CT_rodo_opcao2_CO2e">'[1]Emissões casa-trabalho'!$BF$572</definedName>
    <definedName name="total_CT_rodo_opcao2_N2O">'[1]Emissões casa-trabalho'!$BE$572</definedName>
    <definedName name="total_CT_rodo_opcao3_biogenico">'[1]Emissões casa-trabalho'!$BS$722</definedName>
    <definedName name="total_CT_rodo_opcao3_CH4">'[1]Emissões casa-trabalho'!$BP$722</definedName>
    <definedName name="total_CT_rodo_opcao3_CO2">'[1]Emissões casa-trabalho'!$BO$722</definedName>
    <definedName name="total_CT_rodo_opcao3_CO2e">'[1]Emissões casa-trabalho'!$BR$722</definedName>
    <definedName name="total_CT_rodo_opcao3_N2O">'[1]Emissões casa-trabalho'!$BQ$722</definedName>
    <definedName name="total_CV_biomassa">'[1]Compra de Energia Térmica'!$E$107</definedName>
    <definedName name="total_CV_CH4">'[1]Compra de Energia Térmica'!$F$92</definedName>
    <definedName name="total_CV_CH4_biomassa">'[1]Compra de Energia Térmica'!$F$107</definedName>
    <definedName name="total_CV_CO2">'[1]Compra de Energia Térmica'!$E$92</definedName>
    <definedName name="total_CV_N2O">'[1]Compra de Energia Térmica'!$G$92</definedName>
    <definedName name="total_CV_N2O_biomassa">'[1]Compra de Energia Térmica'!$G$107</definedName>
    <definedName name="total_ee_compra_CH4">'[1]En. elétrica(escolha de compra)'!$AE$93</definedName>
    <definedName name="total_ee_compra_CO2">'[1]En. elétrica(escolha de compra)'!$AD$93</definedName>
    <definedName name="total_ee_compra_CO2_residual">'[1]En. elétrica(escolha de compra)'!$AC$107</definedName>
    <definedName name="total_ee_compra_CO2biog">'[1]En. elétrica(escolha de compra)'!$AH$93</definedName>
    <definedName name="total_ee_compra_CO2e">'[1]En. elétrica(escolha de compra)'!$AG$93</definedName>
    <definedName name="total_ee_compra_N2O">'[1]En. elétrica(escolha de compra)'!$AF$93</definedName>
    <definedName name="total_ee_localizacao_biog_outras">'[1]En. elétrica (localização)'!$L$113</definedName>
    <definedName name="total_ee_localizacao_biogenico_escopo2">'[1]En. elétrica (localização)'!$H$123</definedName>
    <definedName name="total_ee_localizacao_CH4_outras">'[1]En. elétrica (localização)'!$F$113</definedName>
    <definedName name="total_ee_localizacao_CO2_outras">'[1]En. elétrica (localização)'!$D$113</definedName>
    <definedName name="total_ee_localizacao_CO2_sia">'[1]En. elétrica (localização)'!#REF!</definedName>
    <definedName name="total_ee_localizacao_CO2_sin">'[1]En. elétrica (localização)'!$AD$91</definedName>
    <definedName name="total_ee_localizacao_CO2e_outras">'[1]En. elétrica (localização)'!$J$113</definedName>
    <definedName name="total_ee_localizacao_N2O_outras">'[1]En. elétrica (localização)'!$H$113</definedName>
    <definedName name="total_EFL_biomassa_E1">[1]Efluentes!$D$228</definedName>
    <definedName name="total_EFL_biomassa_E3">'[1]Efluentes gerados na operação'!$D$339:$E$339</definedName>
    <definedName name="total_EFL_CH4">[1]Efluentes!$E$154</definedName>
    <definedName name="total_EFL_CH4_E3">'[1]Efluentes gerados na operação'!$E$329</definedName>
    <definedName name="total_EFL_CO2e_E3">'[1]Efluentes gerados na operação'!$E$331</definedName>
    <definedName name="total_EFL_N2O">[1]Efluentes!$E$155</definedName>
    <definedName name="total_EFL_N2O_E3">'[1]Efluentes gerados na operação'!$E$330</definedName>
    <definedName name="total_EFL_outras_biog">[1]Efluentes!$H$219</definedName>
    <definedName name="total_EFL_outras_CH4">[1]Efluentes!$E$219</definedName>
    <definedName name="total_EFL_outras_CO2">[1]Efluentes!$D$219</definedName>
    <definedName name="total_EFL_outras_CO2e">[1]Efluentes!$G$219</definedName>
    <definedName name="total_EFL_outras_N2O">[1]Efluentes!$F$219</definedName>
    <definedName name="total_fugitiva_CH4">'[1]Emissões fugitivas'!$I$289</definedName>
    <definedName name="total_fugitiva_CO2">'[1]Emissões fugitivas'!$I$288</definedName>
    <definedName name="total_fugitiva_extra">'[1]Emissões fugitivas'!$G$272</definedName>
    <definedName name="total_fugitiva_extra_143a">'[1]Emissões fugitivas'!$O$246</definedName>
    <definedName name="total_fugitiva_extra_CH4">'[1]Emissões fugitivas'!$O$237</definedName>
    <definedName name="total_fugitiva_extra_CO2">'[1]Emissões fugitivas'!$O$236</definedName>
    <definedName name="total_fugitiva_extra_HFC125">'[1]Emissões fugitivas'!$O$242</definedName>
    <definedName name="total_fugitiva_extra_HFC134">'[1]Emissões fugitivas'!$O$243</definedName>
    <definedName name="total_fugitiva_extra_HFC134a">'[1]Emissões fugitivas'!$O$244</definedName>
    <definedName name="total_fugitiva_extra_HFC143">'[1]Emissões fugitivas'!$O$245</definedName>
    <definedName name="total_fugitiva_extra_HFC152">'[1]Emissões fugitivas'!$O$247</definedName>
    <definedName name="total_fugitiva_extra_HFC152a">'[1]Emissões fugitivas'!$O$248</definedName>
    <definedName name="total_fugitiva_extra_HFC161">'[1]Emissões fugitivas'!$O$249</definedName>
    <definedName name="total_fugitiva_extra_HFC227ea">'[1]Emissões fugitivas'!$O$250</definedName>
    <definedName name="total_fugitiva_extra_HFC23">'[1]Emissões fugitivas'!$O$239</definedName>
    <definedName name="total_fugitiva_extra_HFC236cb">'[1]Emissões fugitivas'!$O$251</definedName>
    <definedName name="total_fugitiva_extra_HFC236ea">'[1]Emissões fugitivas'!$O$252</definedName>
    <definedName name="total_fugitiva_extra_HFC236fa">'[1]Emissões fugitivas'!$O$253</definedName>
    <definedName name="total_fugitiva_extra_HFC245ca">'[1]Emissões fugitivas'!$O$254</definedName>
    <definedName name="total_fugitiva_extra_HFC245fa">'[1]Emissões fugitivas'!$O$255</definedName>
    <definedName name="total_fugitiva_extra_HFC32">'[1]Emissões fugitivas'!$O$240</definedName>
    <definedName name="total_fugitiva_extra_HFC365mfc">'[1]Emissões fugitivas'!$O$256</definedName>
    <definedName name="total_fugitiva_extra_HFC41">'[1]Emissões fugitivas'!$O$241</definedName>
    <definedName name="total_fugitiva_extra_HFC4310mee">'[1]Emissões fugitivas'!$O$257</definedName>
    <definedName name="total_fugitiva_extra_N2O">'[1]Emissões fugitivas'!$O$238</definedName>
    <definedName name="total_fugitiva_extra_NF3">'[1]Emissões fugitivas'!$O$259</definedName>
    <definedName name="total_fugitiva_extra_perfluorociclopropano">'[1]Emissões fugitivas'!$O$269</definedName>
    <definedName name="total_fugitiva_extra_PFC116">'[1]Emissões fugitivas'!$O$261</definedName>
    <definedName name="total_fugitiva_extra_PFC14">'[1]Emissões fugitivas'!$O$260</definedName>
    <definedName name="total_fugitiva_extra_PFC218">'[1]Emissões fugitivas'!$O$262</definedName>
    <definedName name="total_fugitiva_extra_PFC3110">'[1]Emissões fugitivas'!$O$264</definedName>
    <definedName name="total_fugitiva_extra_PFC318">'[1]Emissões fugitivas'!$O$263</definedName>
    <definedName name="total_fugitiva_extra_PFC4112">'[1]Emissões fugitivas'!$O$265</definedName>
    <definedName name="total_fugitiva_extra_PFC5114">'[1]Emissões fugitivas'!$O$266</definedName>
    <definedName name="total_fugitiva_extra_PFC9118">'[1]Emissões fugitivas'!$O$267</definedName>
    <definedName name="total_fugitiva_extra_SF6">'[1]Emissões fugitivas'!$O$258</definedName>
    <definedName name="total_fugitiva_extra_trifluorometil">'[1]Emissões fugitivas'!$O$268</definedName>
    <definedName name="total_fugitiva_HFC125">'[1]Emissões fugitivas'!$I$294</definedName>
    <definedName name="total_fugitiva_HFC134">'[1]Emissões fugitivas'!$I$295</definedName>
    <definedName name="total_fugitiva_HFC134a">'[1]Emissões fugitivas'!$I$296</definedName>
    <definedName name="total_fugitiva_HFC143">'[1]Emissões fugitivas'!$I$297</definedName>
    <definedName name="total_fugitiva_HFC143a">'[1]Emissões fugitivas'!$I$298</definedName>
    <definedName name="total_fugitiva_HFC152">'[1]Emissões fugitivas'!$I$299</definedName>
    <definedName name="total_fugitiva_HFC152a">'[1]Emissões fugitivas'!$I$300</definedName>
    <definedName name="total_fugitiva_HFC161">'[1]Emissões fugitivas'!$I$301</definedName>
    <definedName name="total_fugitiva_HFC227ea">'[1]Emissões fugitivas'!$I$302</definedName>
    <definedName name="total_fugitiva_HFC23">'[1]Emissões fugitivas'!$I$291</definedName>
    <definedName name="total_fugitiva_HFC236cb">'[1]Emissões fugitivas'!$I$303</definedName>
    <definedName name="total_fugitiva_HFC236ea">'[1]Emissões fugitivas'!$I$304</definedName>
    <definedName name="total_fugitiva_HFC236fa">'[1]Emissões fugitivas'!$I$305</definedName>
    <definedName name="total_fugitiva_HFC245ca">'[1]Emissões fugitivas'!$I$306</definedName>
    <definedName name="total_fugitiva_HFC245fa">'[1]Emissões fugitivas'!$I$307</definedName>
    <definedName name="total_fugitiva_HFC32">'[1]Emissões fugitivas'!$I$292</definedName>
    <definedName name="total_fugitiva_HFC365mfc">'[1]Emissões fugitivas'!$I$308</definedName>
    <definedName name="total_fugitiva_HFC41">'[1]Emissões fugitivas'!$I$293</definedName>
    <definedName name="total_fugitiva_HFC4310mee">'[1]Emissões fugitivas'!$I$309</definedName>
    <definedName name="total_fugitiva_N2O">'[1]Emissões fugitivas'!$I$290</definedName>
    <definedName name="total_fugitiva_naoQuioto_tab1">'[1]Fugitivas - GEE não Quioto'!$J$102</definedName>
    <definedName name="total_fugitiva_naoQuioto_tab2">'[1]Fugitivas - GEE não Quioto'!$H$175</definedName>
    <definedName name="total_fugitiva_NF3">'[1]Emissões fugitivas'!$I$311</definedName>
    <definedName name="total_fugitiva_perfluorociclopropano">'[1]Emissões fugitivas'!$I$321</definedName>
    <definedName name="total_fugitiva_PFC116">'[1]Emissões fugitivas'!$I$313</definedName>
    <definedName name="total_fugitiva_PFC14">'[1]Emissões fugitivas'!$I$312</definedName>
    <definedName name="total_fugitiva_PFC218">'[1]Emissões fugitivas'!$I$314</definedName>
    <definedName name="total_fugitiva_PFC3110">'[1]Emissões fugitivas'!$I$316</definedName>
    <definedName name="total_fugitiva_PFC318">'[1]Emissões fugitivas'!$I$315</definedName>
    <definedName name="total_fugitiva_PFC4112">'[1]Emissões fugitivas'!$I$317</definedName>
    <definedName name="total_fugitiva_PFC5114">'[1]Emissões fugitivas'!$I$318</definedName>
    <definedName name="total_fugitiva_PFC9118">'[1]Emissões fugitivas'!$I$319</definedName>
    <definedName name="total_fugitiva_SF6">'[1]Emissões fugitivas'!$I$310</definedName>
    <definedName name="total_fugitiva_SF6_NF3">'[1]Emissões fugitivas'!$I$226</definedName>
    <definedName name="total_fugitiva_tab1">'[1]Emissões fugitivas'!$J$112</definedName>
    <definedName name="total_fugitiva_tab2">'[1]Emissões fugitivas'!$H$150</definedName>
    <definedName name="total_fugitiva_tab3">'[1]Emissões fugitivas'!$I$184</definedName>
    <definedName name="total_fugitiva_trifluorometil">'[1]Emissões fugitivas'!$I$320</definedName>
    <definedName name="total_Mud_solo_biomassa">'[1]Mudança no uso do solo'!$F$191</definedName>
    <definedName name="total_Mud_solo_CH4">'[1]Mudança no uso do solo'!$P$169</definedName>
    <definedName name="total_Mud_solo_CO2">'[1]Mudança no uso do solo'!$P$168</definedName>
    <definedName name="total_Mud_solo_N2O">'[1]Mudança no uso do solo'!$P$170</definedName>
    <definedName name="total_OutrasEmissoes_biomassa">'[1]Categorias de Escopo 3'!$I$200</definedName>
    <definedName name="total_OutrasEmissoes_CH4">'[1]Categorias de Escopo 3'!$I$164</definedName>
    <definedName name="total_OutrasEmissoes_CO2">'[1]Categorias de Escopo 3'!$I$163</definedName>
    <definedName name="total_OutrasEmissoes_CO2e">'[1]Categorias de Escopo 3'!$J$199</definedName>
    <definedName name="total_OutrasEmissoes_HFC">'[1]Categorias de Escopo 3'!$I$166</definedName>
    <definedName name="total_OutrasEmissoes_N2O">'[1]Categorias de Escopo 3'!$I$165</definedName>
    <definedName name="total_OutrasEmissoes_NF3">'[1]Categorias de Escopo 3'!$I$198</definedName>
    <definedName name="total_OutrasEmissoes_PFC">'[1]Categorias de Escopo 3'!$I$186</definedName>
    <definedName name="total_OutrasEmissoes_remocao">'[1]Categorias de Escopo 3'!$J$201</definedName>
    <definedName name="total_OutrasEmissoes_SF6">'[1]Categorias de Escopo 3'!$I$197</definedName>
    <definedName name="total_perda_compra_biog">'[1]Perdas T&amp;D (escolha de compra)'!$AH$96</definedName>
    <definedName name="total_perda_compra_biog_escopo2">'[1]Perdas T&amp;D (escolha de compra)'!$H$121</definedName>
    <definedName name="total_perda_compra_CH4">'[1]Perdas T&amp;D (escolha de compra)'!$AE$96</definedName>
    <definedName name="total_perda_compra_CO2">'[1]Perdas T&amp;D (escolha de compra)'!$AD$96</definedName>
    <definedName name="total_perda_compra_CO2_residual">'[1]Perdas T&amp;D (escolha de compra)'!$AC$110</definedName>
    <definedName name="total_perda_compra_CO2e">'[1]Perdas T&amp;D (escolha de compra)'!$AG$96</definedName>
    <definedName name="total_perda_compra_N2O">'[1]Perdas T&amp;D (escolha de compra)'!$AF$96</definedName>
    <definedName name="total_perda_localizacao_biog_outras">'[1]Perdas T&amp;D (abord. localização)'!$L$115</definedName>
    <definedName name="total_perda_localizacao_biogenico_escopo2">'[1]Perdas T&amp;D (abord. localização)'!$H$126</definedName>
    <definedName name="total_perda_localizacao_CH4_outras">'[1]Perdas T&amp;D (abord. localização)'!$F$115</definedName>
    <definedName name="total_perda_localizacao_CO2_outras">'[1]Perdas T&amp;D (abord. localização)'!$D$115</definedName>
    <definedName name="total_perda_localizacao_CO2_sia">'[1]Perdas T&amp;D (abord. localização)'!#REF!</definedName>
    <definedName name="total_perda_localizacao_CO2_sin">'[1]Perdas T&amp;D (abord. localização)'!$AD$93</definedName>
    <definedName name="total_perda_localizacao_CO2e_outras">'[1]Perdas T&amp;D (abord. localização)'!$J$115</definedName>
    <definedName name="total_perda_localizacao_N2O_outras">'[1]Perdas T&amp;D (abord. localização)'!$H$115</definedName>
    <definedName name="total_PI_biomassa">'[1]Processos industriais'!$F$141</definedName>
    <definedName name="total_processos_CH4">'[1]Processos industriais'!$Q$16</definedName>
    <definedName name="total_processos_CO2">'[1]Processos industriais'!$Q$15</definedName>
    <definedName name="total_processos_HFC125">'[1]Processos industriais'!$Q$21</definedName>
    <definedName name="total_processos_HFC134">'[1]Processos industriais'!$Q$22</definedName>
    <definedName name="total_processos_HFC134a">'[1]Processos industriais'!$Q$23</definedName>
    <definedName name="total_processos_HFC143">'[1]Processos industriais'!$Q$24</definedName>
    <definedName name="total_processos_HFC143a">'[1]Processos industriais'!$Q$25</definedName>
    <definedName name="total_processos_HFC152">'[1]Processos industriais'!$Q$26</definedName>
    <definedName name="total_processos_HFC152a">'[1]Processos industriais'!$Q$27</definedName>
    <definedName name="total_processos_HFC161">'[1]Processos industriais'!$Q$28</definedName>
    <definedName name="total_processos_HFC227ea">'[1]Processos industriais'!$Q$29</definedName>
    <definedName name="total_processos_HFC23">'[1]Processos industriais'!$Q$18</definedName>
    <definedName name="total_processos_HFC236cb">'[1]Processos industriais'!$Q$30</definedName>
    <definedName name="total_processos_HFC236ea">'[1]Processos industriais'!$Q$31</definedName>
    <definedName name="total_processos_HFC236fa">'[1]Processos industriais'!$Q$32</definedName>
    <definedName name="total_processos_HFC245ca">'[1]Processos industriais'!$Q$33</definedName>
    <definedName name="total_processos_HFC245fa">'[1]Processos industriais'!$Q$34</definedName>
    <definedName name="total_processos_HFC32">'[1]Processos industriais'!$Q$19</definedName>
    <definedName name="total_processos_HFC365mfc">'[1]Processos industriais'!$Q$35</definedName>
    <definedName name="total_processos_HFC41">'[1]Processos industriais'!$Q$20</definedName>
    <definedName name="total_processos_HFC4310mee">'[1]Processos industriais'!$Q$36</definedName>
    <definedName name="total_processos_N2O">'[1]Processos industriais'!$Q$17</definedName>
    <definedName name="total_processos_NF3">'[1]Processos industriais'!$Q$38</definedName>
    <definedName name="total_processos_perfluorciclopropano">'[1]Processos industriais'!$Q$48</definedName>
    <definedName name="total_processos_PFC116">'[1]Processos industriais'!$Q$40</definedName>
    <definedName name="total_processos_PFC14">'[1]Processos industriais'!$Q$39</definedName>
    <definedName name="total_processos_PFC218">'[1]Processos industriais'!$Q$41</definedName>
    <definedName name="total_processos_PFC3110">'[1]Processos industriais'!$Q$43</definedName>
    <definedName name="total_processos_PFC318">'[1]Processos industriais'!$Q$42</definedName>
    <definedName name="total_processos_PFC4112">'[1]Processos industriais'!$Q$44</definedName>
    <definedName name="total_processos_PFC5114">'[1]Processos industriais'!$Q$45</definedName>
    <definedName name="total_processos_PFC9118">'[1]Processos industriais'!$Q$46</definedName>
    <definedName name="total_processos_SF6">'[1]Processos industriais'!$Q$37</definedName>
    <definedName name="total_processos_trifluormetil">'[1]Processos industriais'!$Q$47</definedName>
    <definedName name="total_remoçao_agricolas">'[1]Atividades de agricultura'!$J$135</definedName>
    <definedName name="total_remocao_Cat1">'[1]Categorias de Escopo 3'!$C$69</definedName>
    <definedName name="total_remocao_Cat13">'[1]Categorias de Escopo 3'!$C$201</definedName>
    <definedName name="total_remocao_Cat14">'[1]Categorias de Escopo 3'!$E$201</definedName>
    <definedName name="total_remocao_Cat15">'[1]Categorias de Escopo 3'!$G$201</definedName>
    <definedName name="total_remocao_Cat16">'[1]Categorias de Escopo 3'!$I$201</definedName>
    <definedName name="total_remocao_Cat2">'[1]Categorias de Escopo 3'!$E$69</definedName>
    <definedName name="total_remocao_Cat3">'[1]Categorias de Escopo 3'!$G$69</definedName>
    <definedName name="total_remoçao_mud">'[1]Mudança no uso do solo'!$J$183</definedName>
    <definedName name="total_RS_aterro_biog">'[1]Resíduos sólidos'!$AH$126</definedName>
    <definedName name="total_RS_aterro_biomassa_E3">'[1]Resíduos sólidos da operação'!$E$132</definedName>
    <definedName name="total_RS_aterro_CH4">'[1]Resíduos sólidos'!$AH$124</definedName>
    <definedName name="total_RS_aterro_CH4_E3">'[1]Resíduos sólidos da operação'!$E$130</definedName>
    <definedName name="total_RS_aterro_CO2e">'[1]Resíduos sólidos'!$E$130</definedName>
    <definedName name="total_RS_biomassa">'[1]Resíduos sólidos'!$E$290</definedName>
    <definedName name="total_RS_biomassa_E3">'[1]Resíduos sólidos da operação'!$E$229:$F$229</definedName>
    <definedName name="total_RS_compost_biomassa">'[1]Resíduos sólidos'!$E$162</definedName>
    <definedName name="total_RS_compost_biomassa_E3">'[1]Resíduos sólidos da operação'!$E$164</definedName>
    <definedName name="total_RS_compost_CH4">'[1]Resíduos sólidos'!$E$159</definedName>
    <definedName name="total_RS_compost_CH4_E3">'[1]Resíduos sólidos da operação'!$E$161</definedName>
    <definedName name="total_RS_compost_CO2e">'[1]Resíduos sólidos'!$E$161</definedName>
    <definedName name="total_RS_compost_N2O">'[1]Resíduos sólidos'!$E$160</definedName>
    <definedName name="total_RS_compost_N2O_E3">'[1]Resíduos sólidos da operação'!$E$162</definedName>
    <definedName name="total_RS_incin_biomassa">'[1]Resíduos sólidos'!$E$217</definedName>
    <definedName name="total_RS_incin_biomassa_E3">'[1]Resíduos sólidos da operação'!$E$218</definedName>
    <definedName name="total_RS_incin_CH4">'[1]Resíduos sólidos'!$E$215</definedName>
    <definedName name="total_RS_incin_CH4_E3">'[1]Resíduos sólidos da operação'!$E$216</definedName>
    <definedName name="total_RS_incin_CO2">'[1]Resíduos sólidos'!$E$214</definedName>
    <definedName name="total_RS_incin_CO2_E3">'[1]Resíduos sólidos da operação'!$E$215</definedName>
    <definedName name="total_RS_incin_CO2e">'[1]Resíduos sólidos'!$E$218</definedName>
    <definedName name="total_RS_incin_N2O">'[1]Resíduos sólidos'!$E$216</definedName>
    <definedName name="total_RS_incin_N2O_E3">'[1]Resíduos sólidos da operação'!$E$217</definedName>
    <definedName name="total_RS_outras_biog">'[1]Resíduos sólidos'!$H$280</definedName>
    <definedName name="total_RS_outras_CH4">'[1]Resíduos sólidos'!$E$280</definedName>
    <definedName name="total_RS_outras_CO2">'[1]Resíduos sólidos'!$D$280</definedName>
    <definedName name="total_RS_outras_CO2e">'[1]Resíduos sólidos'!$G$280</definedName>
    <definedName name="total_RS_outras_N2O">'[1]Resíduos sólidos'!$F$280</definedName>
    <definedName name="total_TeD_down_aero_carga_CH4">'[1]Transp&amp;Distribuição(Downstream)'!$AD$679</definedName>
    <definedName name="total_TeD_down_aero_carga_CO2">'[1]Transp&amp;Distribuição(Downstream)'!$AC$679</definedName>
    <definedName name="total_TeD_down_aero_carga_CO2e">'[1]Transp&amp;Distribuição(Downstream)'!$AF$679</definedName>
    <definedName name="total_TeD_down_aero_carga_N2O">'[1]Transp&amp;Distribuição(Downstream)'!$AE$679</definedName>
    <definedName name="total_TeD_down_aero_CH4">'[1]Transp&amp;Distribuição(Downstream)'!$AC$738</definedName>
    <definedName name="total_TeD_down_aero_CO2">'[1]Transp&amp;Distribuição(Downstream)'!$AB$738</definedName>
    <definedName name="total_TeD_down_aero_CO2e">'[1]Transp&amp;Distribuição(Downstream)'!$AE$738</definedName>
    <definedName name="total_TeD_down_aero_N2O">'[1]Transp&amp;Distribuição(Downstream)'!$AD$738</definedName>
    <definedName name="total_TeD_down_CO2bio">'[1]Transp&amp;Distribuição(Downstream)'!$V$747</definedName>
    <definedName name="total_TeD_down_ferro_CH4">'[1]Transp&amp;Distribuição(Downstream)'!$BS$423</definedName>
    <definedName name="total_TeD_down_ferro_CO2">'[1]Transp&amp;Distribuição(Downstream)'!$BR$423</definedName>
    <definedName name="total_TeD_down_ferro_CO2bio">'[1]Transp&amp;Distribuição(Downstream)'!$BV$423</definedName>
    <definedName name="total_TeD_down_ferro_CO2e">'[1]Transp&amp;Distribuição(Downstream)'!$BU$423</definedName>
    <definedName name="total_TeD_down_ferro_concessionaria_CH4">'[1]Transp&amp;Distribuição(Downstream)'!$AA$360</definedName>
    <definedName name="total_TeD_down_ferro_concessionaria_CO2">'[1]Transp&amp;Distribuição(Downstream)'!$Z$360</definedName>
    <definedName name="total_TeD_down_ferro_concessionaria_CO2e">'[1]Transp&amp;Distribuição(Downstream)'!$AC$360</definedName>
    <definedName name="total_TeD_down_ferro_concessionaria_N2O">'[1]Transp&amp;Distribuição(Downstream)'!$AB$360</definedName>
    <definedName name="total_TeD_down_ferro_N2O">'[1]Transp&amp;Distribuição(Downstream)'!$BT$423</definedName>
    <definedName name="total_TeD_down_hidro_CH4">'[1]Transp&amp;Distribuição(Downstream)'!$BS$555</definedName>
    <definedName name="total_TeD_down_hidro_CO2">'[1]Transp&amp;Distribuição(Downstream)'!$BR$555</definedName>
    <definedName name="total_TeD_down_hidro_CO2bio">'[1]Transp&amp;Distribuição(Downstream)'!$BV$555</definedName>
    <definedName name="total_TeD_down_hidro_CO2e">'[1]Transp&amp;Distribuição(Downstream)'!$BU$555</definedName>
    <definedName name="total_TeD_down_hidro_frota_CH4">'[1]Transp&amp;Distribuição(Downstream)'!$AC$492</definedName>
    <definedName name="total_TeD_down_hidro_frota_CO2">'[1]Transp&amp;Distribuição(Downstream)'!$AB$492</definedName>
    <definedName name="total_TeD_down_hidro_frota_CO2e">'[1]Transp&amp;Distribuição(Downstream)'!$AE$492</definedName>
    <definedName name="total_TeD_down_hidro_frota_N20">'[1]Transp&amp;Distribuição(Downstream)'!$AD$492</definedName>
    <definedName name="total_TeD_down_hidro_N2O">'[1]Transp&amp;Distribuição(Downstream)'!$BT$555</definedName>
    <definedName name="total_TeD_down_rod_opcao1_CH4">'[1]Transp&amp;Distribuição(Downstream)'!$BQ$100</definedName>
    <definedName name="total_TeD_down_rod_opcao1_CO2">'[1]Transp&amp;Distribuição(Downstream)'!$BP$100</definedName>
    <definedName name="total_TeD_down_rod_opcao1_CO2bio">'[1]Transp&amp;Distribuição(Downstream)'!$BT$100</definedName>
    <definedName name="total_TeD_down_rod_opcao1_CO2e">'[1]Transp&amp;Distribuição(Downstream)'!$BS$100</definedName>
    <definedName name="total_TeD_down_rod_opcao1_N2O">'[1]Transp&amp;Distribuição(Downstream)'!$BR$100</definedName>
    <definedName name="total_TeD_down_rod_opcao2_CH4">'[1]Transp&amp;Distribuição(Downstream)'!$BS$162</definedName>
    <definedName name="total_TeD_down_rod_opcao2_CO2">'[1]Transp&amp;Distribuição(Downstream)'!$BR$162</definedName>
    <definedName name="total_TeD_down_rod_opcao2_CO2bio">'[1]Transp&amp;Distribuição(Downstream)'!$BV$162</definedName>
    <definedName name="total_TeD_down_rod_opcao2_CO2e">'[1]Transp&amp;Distribuição(Downstream)'!$BU$162</definedName>
    <definedName name="total_TeD_down_rod_opcao2_N2O">'[1]Transp&amp;Distribuição(Downstream)'!$BT$162</definedName>
    <definedName name="total_TeD_down_rod_opcao3_CH4">'[1]Transp&amp;Distribuição(Downstream)'!$CF$288</definedName>
    <definedName name="total_TeD_down_rod_opcao3_CO2">'[1]Transp&amp;Distribuição(Downstream)'!$CE$288</definedName>
    <definedName name="total_TeD_down_rod_opcao3_CO2bio">'[1]Transp&amp;Distribuição(Downstream)'!$CI$288</definedName>
    <definedName name="total_TeD_down_rod_opcao3_CO2e">'[1]Transp&amp;Distribuição(Downstream)'!$CH$288</definedName>
    <definedName name="total_TeD_down_rod_opcao3_N2O">'[1]Transp&amp;Distribuição(Downstream)'!$CG$288</definedName>
    <definedName name="total_TeD_down_rodo_caminhao_biogenico">'[1]Transp&amp;Distribuição(Downstream)'!$AM$224</definedName>
    <definedName name="total_TeD_down_rodo_caminhao_CH4">'[1]Transp&amp;Distribuição(Downstream)'!$AJ$224</definedName>
    <definedName name="total_TeD_down_rodo_caminhao_CO2">'[1]Transp&amp;Distribuição(Downstream)'!$AI$224</definedName>
    <definedName name="total_TeD_down_rodo_caminhao_CO2e">'[1]Transp&amp;Distribuição(Downstream)'!$AL$224</definedName>
    <definedName name="total_TeD_down_rodo_caminhao_N20">'[1]Transp&amp;Distribuição(Downstream)'!$AK$224</definedName>
    <definedName name="total_TeD_up_aero_carga_CH4">'[1]Transp.&amp; Distribuição(Upstream)'!$AD$1082</definedName>
    <definedName name="total_TeD_up_aero_carga_CO2">'[1]Transp.&amp; Distribuição(Upstream)'!$AC$1082</definedName>
    <definedName name="total_TeD_up_aero_carga_CO2e">'[1]Transp.&amp; Distribuição(Upstream)'!$AF$1082</definedName>
    <definedName name="total_TeD_up_aero_carga_N2O">'[1]Transp.&amp; Distribuição(Upstream)'!$AE$1082</definedName>
    <definedName name="total_TeD_up_aero_CH4">'[1]Transp.&amp; Distribuição(Upstream)'!$AC$1143</definedName>
    <definedName name="total_TeD_up_aero_CO2">'[1]Transp.&amp; Distribuição(Upstream)'!$AB$1143</definedName>
    <definedName name="total_TeD_up_aero_CO2e">'[1]Transp.&amp; Distribuição(Upstream)'!$AE$1143</definedName>
    <definedName name="total_TeD_up_aero_N2O">'[1]Transp.&amp; Distribuição(Upstream)'!$AD$1143</definedName>
    <definedName name="total_TeD_up_CO2bio">'[1]Transp.&amp; Distribuição(Upstream)'!$V$1152</definedName>
    <definedName name="total_TeD_up_ferro_CH4">'[1]Transp.&amp; Distribuição(Upstream)'!$BS$826</definedName>
    <definedName name="total_TeD_up_ferro_CO2">'[1]Transp.&amp; Distribuição(Upstream)'!$BR$826</definedName>
    <definedName name="total_TeD_up_ferro_CO2bio">'[1]Transp.&amp; Distribuição(Upstream)'!$BV$826</definedName>
    <definedName name="total_TeD_up_ferro_CO2e">'[1]Transp.&amp; Distribuição(Upstream)'!$BU$826</definedName>
    <definedName name="total_TeD_up_ferro_concessionaria_CH4">'[1]Transp.&amp; Distribuição(Upstream)'!$AA$763</definedName>
    <definedName name="total_TeD_up_ferro_concessionaria_CO2">'[1]Transp.&amp; Distribuição(Upstream)'!$Z$763</definedName>
    <definedName name="total_TeD_up_ferro_concessionaria_CO2e">'[1]Transp.&amp; Distribuição(Upstream)'!$AC$763</definedName>
    <definedName name="total_TeD_up_ferro_concessionaria_N2O">'[1]Transp.&amp; Distribuição(Upstream)'!$AB$763</definedName>
    <definedName name="total_TeD_up_ferro_N2O">'[1]Transp.&amp; Distribuição(Upstream)'!$BT$826</definedName>
    <definedName name="total_TeD_up_hidro_CH4">'[1]Transp.&amp; Distribuição(Upstream)'!$BS$958</definedName>
    <definedName name="total_TeD_up_hidro_CO2">'[1]Transp.&amp; Distribuição(Upstream)'!$BR$958</definedName>
    <definedName name="total_TeD_up_hidro_CO2bio">'[1]Transp.&amp; Distribuição(Upstream)'!$BV$958</definedName>
    <definedName name="total_TeD_up_hidro_CO2e">'[1]Transp.&amp; Distribuição(Upstream)'!$BU$958</definedName>
    <definedName name="total_TeD_up_hidro_frota_CH4">'[1]Transp.&amp; Distribuição(Upstream)'!$AC$895</definedName>
    <definedName name="total_TeD_up_hidro_frota_CO2">'[1]Transp.&amp; Distribuição(Upstream)'!$AB$895</definedName>
    <definedName name="total_TeD_up_hidro_frota_CO2e">'[1]Transp.&amp; Distribuição(Upstream)'!$AE$895</definedName>
    <definedName name="total_TeD_up_hidro_frota_N2O">'[1]Transp.&amp; Distribuição(Upstream)'!$AD$895</definedName>
    <definedName name="total_TeD_up_hidro_N2O">'[1]Transp.&amp; Distribuição(Upstream)'!$BT$958</definedName>
    <definedName name="total_TeD_up_rod_caminhao_biogenico">'[1]Transp.&amp; Distribuição(Upstream)'!$AM$526</definedName>
    <definedName name="total_TeD_up_rod_caminhao_CH4">'[1]Transp.&amp; Distribuição(Upstream)'!$AJ$526</definedName>
    <definedName name="total_TeD_up_rod_caminhao_CO2">'[1]Transp.&amp; Distribuição(Upstream)'!$AI$526</definedName>
    <definedName name="total_TeD_up_rod_caminhao_CO2e">'[1]Transp.&amp; Distribuição(Upstream)'!$AL$526</definedName>
    <definedName name="total_TeD_up_rod_caminhao_N2O">'[1]Transp.&amp; Distribuição(Upstream)'!$AK$526</definedName>
    <definedName name="total_TeD_up_rod_opcao1_CH4">'[1]Transp.&amp; Distribuição(Upstream)'!$BQ$200</definedName>
    <definedName name="total_TeD_up_rod_opcao1_CO2">'[1]Transp.&amp; Distribuição(Upstream)'!$BP$200</definedName>
    <definedName name="total_TeD_up_rod_opcao1_CO2bio">'[1]Transp.&amp; Distribuição(Upstream)'!$BT$200</definedName>
    <definedName name="total_TeD_up_rod_opcao1_CO2e">'[1]Transp.&amp; Distribuição(Upstream)'!$BS$200</definedName>
    <definedName name="total_TeD_up_rod_opcao1_N2O">'[1]Transp.&amp; Distribuição(Upstream)'!$BR$200</definedName>
    <definedName name="total_TeD_up_rod_opcao2_CH4">'[1]Transp.&amp; Distribuição(Upstream)'!$BS$363</definedName>
    <definedName name="total_TeD_up_rod_opcao2_CO2">'[1]Transp.&amp; Distribuição(Upstream)'!$BR$363</definedName>
    <definedName name="total_TeD_up_rod_opcao2_CO2bio">'[1]Transp.&amp; Distribuição(Upstream)'!$BV$363</definedName>
    <definedName name="total_TeD_up_rod_opcao2_CO2e">'[1]Transp.&amp; Distribuição(Upstream)'!$BU$363</definedName>
    <definedName name="total_TeD_up_rod_opcao2_N2O">'[1]Transp.&amp; Distribuição(Upstream)'!$BT$363</definedName>
    <definedName name="total_TeD_up_rod_opcao3_CH4">'[1]Transp.&amp; Distribuição(Upstream)'!$CF$691</definedName>
    <definedName name="total_TeD_up_rod_opcao3_CO2">'[1]Transp.&amp; Distribuição(Upstream)'!$CE$691</definedName>
    <definedName name="total_TeD_up_rod_opcao3_CO2bio">'[1]Transp.&amp; Distribuição(Upstream)'!$CI$691</definedName>
    <definedName name="total_TeD_up_rod_opcao3_CO2e">'[1]Transp.&amp; Distribuição(Upstream)'!$CH$691</definedName>
    <definedName name="total_TeD_up_rod_opcao3_N2O">'[1]Transp.&amp; Distribuição(Upstream)'!$CG$691</definedName>
    <definedName name="total_VN_aero_distancia_CH4">'[1]Viagens a Negócios'!$Z$2392</definedName>
    <definedName name="total_VN_aero_distancia_CO2">'[1]Viagens a Negócios'!$Y$2392</definedName>
    <definedName name="total_VN_aero_distancia_CO2e">'[1]Viagens a Negócios'!$AB$2392</definedName>
    <definedName name="total_VN_aero_distancia_N2O">'[1]Viagens a Negócios'!$AA$2392</definedName>
    <definedName name="total_VN_aero_passageiro_CH4">'[1]Viagens a Negócios'!$AD$1609</definedName>
    <definedName name="total_VN_aero_passageiro_CO2">'[1]Viagens a Negócios'!$AC$1609</definedName>
    <definedName name="total_VN_aero_passageiro_CO2e">'[1]Viagens a Negócios'!$AF$1609</definedName>
    <definedName name="total_VN_aero_passageiro_N2O">'[1]Viagens a Negócios'!$AE$1609</definedName>
    <definedName name="total_VN_balsa_CH4">'[1]Viagens a Negócios'!$AA$2729</definedName>
    <definedName name="total_VN_balsa_CO2">'[1]Viagens a Negócios'!$Z$2729</definedName>
    <definedName name="total_VN_balsa_CO2e">'[1]Viagens a Negócios'!$AC$2729</definedName>
    <definedName name="total_VN_balsa_N2O">'[1]Viagens a Negócios'!$AB$2729</definedName>
    <definedName name="total_VN_biomassa">'[1]Viagens a Negócios'!$U$2738</definedName>
    <definedName name="total_VN_metroferro_CO2">'[1]Viagens a Negócios'!$Z$2457</definedName>
    <definedName name="total_VN_metroferro_CO2e">'[1]Viagens a Negócios'!$AC$2457</definedName>
    <definedName name="total_VN_onibus_biogenico">'[1]Viagens a Negócios'!$AL$2522</definedName>
    <definedName name="total_VN_onibus_CH4">'[1]Viagens a Negócios'!$AI$2522</definedName>
    <definedName name="total_VN_onibus_CO2">'[1]Viagens a Negócios'!$AH$2522</definedName>
    <definedName name="total_VN_onibus_CO2e">'[1]Viagens a Negócios'!$AK$2522</definedName>
    <definedName name="total_VN_onibus_N2O">'[1]Viagens a Negócios'!$AJ$2522</definedName>
    <definedName name="total_VN_rodo_opcao1_biogenico">'[1]Viagens a Negócios'!$BT$2576</definedName>
    <definedName name="total_VN_rodo_opcao1_CH4">'[1]Viagens a Negócios'!$BQ$2576</definedName>
    <definedName name="total_VN_rodo_opcao1_CO2">'[1]Viagens a Negócios'!$BP$2576</definedName>
    <definedName name="total_VN_rodo_opcao1_CO2e">'[1]Viagens a Negócios'!$BS$2576</definedName>
    <definedName name="total_VN_rodo_opcao1_N2O">'[1]Viagens a Negócios'!$BR$2576</definedName>
    <definedName name="total_VN_rodo_opcao2_biogenico">'[1]Viagens a Negócios'!$BV$2620</definedName>
    <definedName name="total_VN_rodo_opcao2_CH4">'[1]Viagens a Negócios'!$BS$2620</definedName>
    <definedName name="total_VN_rodo_opcao2_CO2">'[1]Viagens a Negócios'!$BR$2620</definedName>
    <definedName name="total_VN_rodo_opcao2_CO2e">'[1]Viagens a Negócios'!$BU$2620</definedName>
    <definedName name="total_VN_rodo_opcao2_N2O">'[1]Viagens a Negócios'!$BT$2620</definedName>
    <definedName name="total_VN_rodo_opcao3_biogenico">'[1]Viagens a Negócios'!$CI$2665</definedName>
    <definedName name="total_VN_rodo_opcao3_CH4">'[1]Viagens a Negócios'!$CF$2665</definedName>
    <definedName name="total_VN_rodo_opcao3_CO2">'[1]Viagens a Negócios'!$CE$2665</definedName>
    <definedName name="total_VN_rodo_opcao3_CO2e">'[1]Viagens a Negócios'!$CH$2665</definedName>
    <definedName name="total_VN_rodo_opcao3_N2O">'[1]Viagens a Negócios'!$CG$2665</definedName>
    <definedName name="vazio">[1]Listas!$A$1</definedName>
    <definedName name="versao_ferramenta">[1]Atualizações!$B$11</definedName>
    <definedName name="gwp_HFC161">#REF!</definedName>
    <definedName name="lnk">#REF!</definedName>
    <definedName name="tabela_consumo">#REF!</definedName>
    <definedName name="FE_aviaop_longo_N2O">#REF!</definedName>
    <definedName name="nome_biodiesel">#REF!</definedName>
    <definedName name="vo">#REF!</definedName>
    <definedName name="FE_aviaoc_medio_CO2">#REF!</definedName>
    <definedName name="nome_etan_hidrat">#REF!</definedName>
    <definedName name="FE_biodiesel_CO2">#REF!</definedName>
    <definedName name="lng">#REF!</definedName>
    <definedName name="FE_biodiesel_CH4">#REF!</definedName>
    <definedName name="gwp_HFC32">#REF!</definedName>
    <definedName name="nome_gaso_aviacao">#REF!</definedName>
    <definedName name="vu">#REF!</definedName>
    <definedName name="tab_FE_VN">#REF!</definedName>
    <definedName name="lna">#REF!</definedName>
    <definedName name="lnl">#REF!</definedName>
    <definedName name="gwp_PFC318">#REF!</definedName>
    <definedName name="gwp_PFC5114">#REF!</definedName>
    <definedName name="vh">#REF!</definedName>
    <definedName name="vj">#REF!</definedName>
    <definedName name="FE_aviaoc_longo_N2O">#REF!</definedName>
    <definedName name="FE_biodiesel_N2O">#REF!</definedName>
    <definedName name="tabela_navio_j">#REF!</definedName>
    <definedName name="gwp_tetracloretoCarbono">#REF!</definedName>
    <definedName name="nome_carvao_3100">#REF!</definedName>
    <definedName name="vf">#REF!</definedName>
    <definedName name="nome_carvao_4500">#REF!</definedName>
    <definedName name="lista_naoQuioto">#REF!</definedName>
    <definedName name="gwp_PFC14">#REF!</definedName>
    <definedName name="gwp_HFC236cb">#REF!</definedName>
    <definedName name="gwp_NF3">#REF!</definedName>
    <definedName name="va">#REF!</definedName>
    <definedName name="nome_carvao_mineral">#REF!</definedName>
    <definedName name="gwp_metilcloroform">#REF!</definedName>
    <definedName name="tabela_navio_d">#REF!</definedName>
    <definedName name="nome_carvao_NA">#REF!</definedName>
    <definedName name="lnd">#REF!</definedName>
    <definedName name="gwp_PFC9118">#REF!</definedName>
    <definedName name="gwp_PFC4112">#REF!</definedName>
    <definedName name="FE_aviaop_curto_N2O">#REF!</definedName>
    <definedName name="FE_onibusv_diesel_CO2">#REF!</definedName>
    <definedName name="tabela_navio_f">#REF!</definedName>
    <definedName name="tabela_FE_CM">#REF!</definedName>
    <definedName name="FE_aviaop_curto_CH4">#REF!</definedName>
    <definedName name="FE_diesel_N2O">#REF!</definedName>
    <definedName name="lnf">#REF!</definedName>
    <definedName name="gwp_PFC3110">#REF!</definedName>
    <definedName name="gwp_HFC152a">#REF!</definedName>
    <definedName name="tabela_navio_i">#REF!</definedName>
    <definedName name="gwp_CFC115">#REF!</definedName>
    <definedName name="lnh">#REF!</definedName>
    <definedName name="gwp_HFC365mfc">#REF!</definedName>
    <definedName name="gwp_HCFC225cb">#REF!</definedName>
    <definedName name="gwp_HCFC225ca">#REF!</definedName>
    <definedName name="tabela_concessionarias">#REF!</definedName>
    <definedName name="gwp_HCFC124">#REF!</definedName>
    <definedName name="FE_diesel_CO2">#REF!</definedName>
    <definedName name="vq">#REF!</definedName>
    <definedName name="vr">#REF!</definedName>
    <definedName name="gwp_N2O">#REF!</definedName>
    <definedName name="nome_carvao_3700">#REF!</definedName>
    <definedName name="tabela_balsas">#REF!</definedName>
    <definedName name="nome_etan_anidro">#REF!</definedName>
    <definedName name="gwp_perfluorociclopropano">#REF!</definedName>
    <definedName name="FE_aviaoc_medio_N2O">#REF!</definedName>
    <definedName name="gwp_halon1301">#REF!</definedName>
    <definedName name="FE_onibusv_diesel_N2O">#REF!</definedName>
    <definedName name="FE_aviaoc_curto_CH4">#REF!</definedName>
    <definedName name="gwp_HCFC123">#REF!</definedName>
    <definedName name="FE_aviaoc_medio_CH4">#REF!</definedName>
    <definedName name="FE_aviaop_medio_CH4">#REF!</definedName>
    <definedName name="vd">#REF!</definedName>
    <definedName name="gwp_HCFC141b">#REF!</definedName>
    <definedName name="gwp_HFC245ca">#REF!</definedName>
    <definedName name="FE_aviaop_curto_CO2">#REF!</definedName>
    <definedName name="tabela_navio_g">#REF!</definedName>
    <definedName name="nome_gaso_A">#REF!</definedName>
    <definedName name="tabela_metro">#REF!</definedName>
    <definedName name="gwp_HFC134a">#REF!</definedName>
    <definedName name="tab_FE_ced">#REF!</definedName>
    <definedName name="nome_carvao_3300">#REF!</definedName>
    <definedName name="gwp_halon1211">#REF!</definedName>
    <definedName name="gwp_HFC152">#REF!</definedName>
    <definedName name="gwp_trifluorometil">#REF!</definedName>
    <definedName name="vn">#REF!</definedName>
    <definedName name="FE_aviaoc_curto_N2O">#REF!</definedName>
    <definedName name="tabela_navio_l">#REF!</definedName>
    <definedName name="gwp_PFC218">#REF!</definedName>
    <definedName name="gwp_PFC116">#REF!</definedName>
    <definedName name="vs">#REF!</definedName>
    <definedName name="FE_onibusv_biodiesel_CO2">#REF!</definedName>
    <definedName name="gwp_HFC125">#REF!</definedName>
    <definedName name="tab_setores">#REF!</definedName>
    <definedName name="nome_GNV">#REF!</definedName>
    <definedName name="gwp_CFC13">#REF!</definedName>
    <definedName name="FE_onibusv_biodiesel_CH4">#REF!</definedName>
    <definedName name="acrescimo_rota_aviao">#REF!</definedName>
    <definedName name="vt">#REF!</definedName>
    <definedName name="gwp_halon2402">#REF!</definedName>
    <definedName name="FE_aviaoc_longo_CO2">#REF!</definedName>
    <definedName name="lnj">#REF!</definedName>
    <definedName name="nome_oleo_diesel">#REF!</definedName>
    <definedName name="lista_gases">#REF!</definedName>
    <definedName name="gwp_HCFC21">#REF!</definedName>
    <definedName name="gwp_HFC227ea">#REF!</definedName>
    <definedName name="FE_trem_passageiro">#REF!</definedName>
    <definedName name="gwp_HFC4310mee">#REF!</definedName>
    <definedName name="nome_carvao_5900">#REF!</definedName>
    <definedName name="gwp_CFC114">#REF!</definedName>
    <definedName name="lnc">#REF!</definedName>
    <definedName name="tabela_GWP">#REF!</definedName>
    <definedName name="vi">#REF!</definedName>
    <definedName name="tabela_navio_e">#REF!</definedName>
    <definedName name="gwp_CFC113">#REF!</definedName>
    <definedName name="vk">#REF!</definedName>
    <definedName name="vc">#REF!</definedName>
    <definedName name="tabela_caminhao">#REF!</definedName>
    <definedName name="nome_carvao_6000">#REF!</definedName>
    <definedName name="gwp_HFC143">#REF!</definedName>
    <definedName name="tabela_onibus">#REF!</definedName>
    <definedName name="gwp_CFC12">#REF!</definedName>
    <definedName name="gwp_HFC23">#REF!</definedName>
    <definedName name="nome_carvao_4200">#REF!</definedName>
    <definedName name="vg">#REF!</definedName>
    <definedName name="tabela_navio_c">#REF!</definedName>
    <definedName name="lne">#REF!</definedName>
    <definedName name="vp">#REF!</definedName>
    <definedName name="FE_diesel_CH4">#REF!</definedName>
    <definedName name="tabela_navio_b">#REF!</definedName>
    <definedName name="FE_onibusv_diesel_CH4">#REF!</definedName>
    <definedName name="nome_carvao_5200">#REF!</definedName>
    <definedName name="lnb">#REF!</definedName>
    <definedName name="gwp_HFC134">#REF!</definedName>
    <definedName name="FE_onibusv_biodiesel_N2O">#REF!</definedName>
    <definedName name="tabela_navio_k">#REF!</definedName>
    <definedName name="vm">#REF!</definedName>
    <definedName name="gwp_bromometano">#REF!</definedName>
    <definedName name="FE_aviaop_longo_CO2">#REF!</definedName>
    <definedName name="tabela_GWP_naoQuioto">#REF!</definedName>
    <definedName name="vb">#REF!</definedName>
    <definedName name="tabela_FE_ferrovia">#REF!</definedName>
    <definedName name="tab_FE_energia">#REF!</definedName>
    <definedName name="FE_aviaop_medio_N2O">#REF!</definedName>
    <definedName name="FE_aviaoc_curto_CO2">#REF!</definedName>
    <definedName name="tabela_FE_CM_ano">#REF!</definedName>
    <definedName name="FE_aviaoc_longo_CH4">#REF!</definedName>
    <definedName name="gwp_CO2">#REF!</definedName>
    <definedName name="gwp_HCFC22">#REF!</definedName>
    <definedName name="gwp_HFC41">#REF!</definedName>
    <definedName name="tabela_navio_a">#REF!</definedName>
    <definedName name="FE_aviaop_medio_CO2">#REF!</definedName>
    <definedName name="nome_querosene_aviacao">#REF!</definedName>
    <definedName name="nome_carvao_4700">#REF!</definedName>
    <definedName name="gwp_CFC11">#REF!</definedName>
    <definedName name="gwp_HFC236ea">#REF!</definedName>
    <definedName name="gwp_HFC236fa">#REF!</definedName>
    <definedName name="FE_aviaop_longo_CH4">#REF!</definedName>
    <definedName name="gwp_HCFC142b">#REF!</definedName>
    <definedName name="lni">#REF!</definedName>
    <definedName name="gwp_HFC245fa">#REF!</definedName>
    <definedName name="lista_gases_completa">#REF!</definedName>
    <definedName name="ve">#REF!</definedName>
    <definedName name="vl">#REF!</definedName>
    <definedName name="gwp_SF6">#REF!</definedName>
    <definedName name="gwp_HFC143a">#REF!</definedName>
    <definedName name="gwp_CH4">#REF!</definedName>
    <definedName name="tabela_navio_h">#REF!</definedName>
    <definedName name="distancia_aviao_curto" localSheetId="1">[3]Listas!$BW$2</definedName>
    <definedName name="distancia_aviao_longo" localSheetId="1">[3]Listas!$BW$4</definedName>
    <definedName name="distancia_aviao_medio" localSheetId="1">[3]Listas!$BW$3</definedName>
    <definedName name="gwp_CH4" localSheetId="1">'[4]Fatores emissao aereas'!$E$491</definedName>
    <definedName name="gwp_CO2" localSheetId="1">'[4]Fatores emissao aereas'!$E$490</definedName>
    <definedName name="gwp_N2O" localSheetId="1">'[4]Fatores emissao aereas'!$E$492</definedName>
    <definedName name="distancia_aviao_curto" localSheetId="2">[3]Listas!$BW$2</definedName>
    <definedName name="distancia_aviao_longo" localSheetId="2">[3]Listas!$BW$4</definedName>
    <definedName name="distancia_aviao_medio" localSheetId="2">[3]Listas!$BW$3</definedName>
    <definedName name="gwp_CH4" localSheetId="2">Fatores_emissao_aereas!$E$491</definedName>
    <definedName name="gwp_CO2" localSheetId="2">Fatores_emissao_aereas!$E$490</definedName>
    <definedName name="gwp_N2O" localSheetId="2">Fatores_emissao_aereas!$E$492</definedName>
    <definedName name="total_ee_localizacao_CO2_sia" localSheetId="0">'[5]En. elétrica (localização)'!#REF!</definedName>
    <definedName name="total_perda_localizacao_CO2_sia" localSheetId="0">'[5]Perdas T&amp;D (abord. localização)'!#REF!</definedName>
    <definedName name="t_5" localSheetId="0">[5]Listas!$AG$4:$AG$12</definedName>
    <definedName name="total_CT_biogenico" localSheetId="0">'[5]Emissões casa-trabalho'!$F$765</definedName>
    <definedName name="total_OutrasEmissoes_CO2" localSheetId="0">'[5]Categorias de Escopo 3'!$I$163</definedName>
    <definedName name="total_Cat15_CO2_biomassa" localSheetId="0">'[5]Categorias de Escopo 3'!$G$200</definedName>
    <definedName name="nome_geoterm" localSheetId="0">[5]Listas!$Q$31</definedName>
    <definedName name="n_k" localSheetId="0">[5]Listas!$CN$7</definedName>
    <definedName name="municípios_br_E1" localSheetId="0">'[5]Resíduos sólidos'!$D$48</definedName>
    <definedName name="total_AA_N2O" localSheetId="0">'[5]Atividades de agricultura'!$O$122</definedName>
    <definedName name="total_TeD_up_aero_N2O" localSheetId="0">'[5]Transp.&amp; Distribuição(Upstream)'!$AG$1147</definedName>
    <definedName name="total_fugitiva_extra_SF6" localSheetId="0">'[5]Emissões fugitivas'!$O$257</definedName>
    <definedName name="sin_ago">'[5]Fatores Variáveis'!$L$38</definedName>
    <definedName name="PA">[5]Listas!$AX$3:$AX$21</definedName>
    <definedName name="total_Cat13_HFC" localSheetId="0">'[5]Categorias de Escopo 3'!$C$166</definedName>
    <definedName name="total_CM_hidro_CO2e" localSheetId="0">'[5]Combustão móvel'!$BE$666</definedName>
    <definedName name="lnd" localSheetId="0">'[5]Fatores de Emissão'!$E$408:$E$410</definedName>
    <definedName name="total_fugitiva_extra_trifluorometil" localSheetId="0">'[5]Emissões fugitivas'!$O$267</definedName>
    <definedName name="total_naoquioto_HCFC225ca">'[5]Fugitivas - GEE não Quioto'!$P$70</definedName>
    <definedName name="total_CT_rodo_opcao2_CH4" localSheetId="0">'[5]Emissões casa-trabalho'!$BD$572</definedName>
    <definedName name="perc_biod_abr">'[5]Fatores Variáveis'!$H$40</definedName>
    <definedName name="total_TeD_down_rod_opcao3_CO2" localSheetId="0">'[5]Transp&amp;Distribuição(Downstream)'!$CE$292</definedName>
    <definedName name="gwp_HFC41" localSheetId="0">'[5]Fatores de Emissão'!$E$525</definedName>
    <definedName name="total_fugitiva_extra_HFC245fa" localSheetId="0">'[5]Emissões fugitivas'!$O$254</definedName>
    <definedName name="total_VN_aero_distancia_N2O" localSheetId="0">'[5]Viagens a Negócios'!$AA$859</definedName>
    <definedName name="FE_CED_biocombustiveis" localSheetId="0">'[5]Combustão estacionária'!$C$198:$H$211</definedName>
    <definedName name="total_Cat10_N2O" localSheetId="0">'[5]Categorias de Escopo 3'!$E$121</definedName>
    <definedName name="total_HFC_CO2e_Cat14">'[5]Categorias de Escopo 3'!$F$166</definedName>
    <definedName name="total_Cat10_HFC" localSheetId="0">'[5]Categorias de Escopo 3'!$E$122</definedName>
    <definedName name="total_fugitiva_extra_PFC4112" localSheetId="0">'[5]Emissões fugitivas'!$O$264</definedName>
    <definedName name="total_TeD_down_hidro_CO2" localSheetId="0">'[5]Transp&amp;Distribuição(Downstream)'!$BR$559</definedName>
    <definedName name="gwp_HCFC124" localSheetId="0">'[5]Fatores de Emissão'!$E$701</definedName>
    <definedName name="FE_diesel_CH4" localSheetId="0">'[5]Fatores de Emissão'!$I$99</definedName>
    <definedName name="total_VN_balsa_N2O" localSheetId="0">'[5]Viagens a Negócios'!$AB$1196</definedName>
    <definedName name="total_CT_rodo_opcao1_biogenico" localSheetId="0">'[5]Emissões casa-trabalho'!$BE$459</definedName>
    <definedName name="total_CM_rod_opcao2_CH4" localSheetId="0">'[5]Combustão móvel'!$BC$360</definedName>
    <definedName name="total_TeD_up_aero_CO2e" localSheetId="0">'[5]Transp.&amp; Distribuição(Upstream)'!$AH$1147</definedName>
    <definedName name="total_CM_extra" localSheetId="0">'[5]Combustão móvel'!$H$797</definedName>
    <definedName name="nome_organizacao" localSheetId="0">[5]Introdução!$E$22</definedName>
    <definedName name="FE_onibusv_biodiesel_CO2" localSheetId="0">'[5]Fatores de Emissão'!$J$270</definedName>
    <definedName name="MA">[5]Listas!$AT$3:$AT$15</definedName>
    <definedName name="gwp_HFC32" localSheetId="0">'[5]Fatores de Emissão'!$E$524</definedName>
    <definedName name="total_fugitiva_extra_HFC134a" localSheetId="0">'[5]Emissões fugitivas'!$O$243</definedName>
    <definedName name="total_E3_categorias">'[5]Categorias de Escopo 3'!$H$204:$I$204</definedName>
    <definedName name="total_fugitiva_PFC5114" localSheetId="0">'[5]Emissões fugitivas'!$I$318</definedName>
    <definedName name="total_CM_biomassa" localSheetId="0">'[5]Combustão móvel'!$F$807</definedName>
    <definedName name="total_CM_hidro_CO2bio" localSheetId="0">'[5]Combustão móvel'!$BF$666</definedName>
    <definedName name="total_CT_balsa_CO2e" localSheetId="0">'[5]Emissões casa-trabalho'!$N$335</definedName>
    <definedName name="total_Cat1_PFC" localSheetId="0">'[5]Categorias de Escopo 3'!$C$54</definedName>
    <definedName name="total_TeD_down_rod_opcao3_N2O" localSheetId="0">'[5]Transp&amp;Distribuição(Downstream)'!$CG$292</definedName>
    <definedName name="total_Cat6_op_CO2e" localSheetId="0">'[5]Categorias de Escopo 3'!$F$111</definedName>
    <definedName name="total_PFC_CO2e_Cat7">'[5]Categorias de Escopo 3'!$H$98</definedName>
    <definedName name="total_Cat5_CO2_biomassa" localSheetId="0">'[5]Categorias de Escopo 3'!$AD$68</definedName>
    <definedName name="perc_etanol_jan">'[5]Fatores Variáveis'!$E$39</definedName>
    <definedName name="total_Cat9_CO2e" localSheetId="0">'[5]Categorias de Escopo 3'!$AK$67</definedName>
    <definedName name="total_TeD_down_rod_opcao1_CH4" localSheetId="0">'[5]Transp&amp;Distribuição(Downstream)'!$BQ$102</definedName>
    <definedName name="total_fugitiva_SF6_NF3" localSheetId="0">'[5]Emissões fugitivas'!$I$225</definedName>
    <definedName name="total_VN_rodo_opcao3_CO2" localSheetId="0">'[5]Viagens a Negócios'!$CE$1132</definedName>
    <definedName name="total_Cat5_remocao" localSheetId="0">'[5]Categorias de Escopo 3'!$D$113</definedName>
    <definedName name="FE_aviaoc_medio_CO2" localSheetId="0">'[5]Fatores de Emissão'!$H$316</definedName>
    <definedName name="processos_industriais_biogenico" localSheetId="0">'[5]Processos industriais'!$I$133</definedName>
    <definedName name="total_RS_incin_CO2" localSheetId="0">'[5]Resíduos sólidos'!$E$210</definedName>
    <definedName name="efu_tipo_de_eflu" localSheetId="0">[5]Listas!$CA$39:$CB$46</definedName>
    <definedName name="total_CM_ferro_CH4" localSheetId="0">'[5]Combustão móvel'!$BC$596</definedName>
    <definedName name="total_Cat4_op_NF3">'[5]Categorias de Escopo 3'!$I$66</definedName>
    <definedName name="total_CED_CO2_biomassa" localSheetId="0">'[5]Combustão estacionária'!$T$147</definedName>
    <definedName name="total_CV_CO2e_f">'[5]Compra de Energia Térmica'!$H$92</definedName>
    <definedName name="total_Cat4_op_N2O" localSheetId="0">'[5]Categorias de Escopo 3'!$I$33</definedName>
    <definedName name="total_CV_N2O_biomassa" localSheetId="0">'[5]Compra de Energia Térmica'!$G$107</definedName>
    <definedName name="FE_aviaop_curto_CO2" localSheetId="0">'[5]Fatores de Emissão'!$H$307</definedName>
    <definedName name="total_CM_extra_N2O" localSheetId="0">'[5]Combustão móvel'!$F$797</definedName>
    <definedName name="gwp_CH4" localSheetId="0">'[5]Fatores de Emissão'!$E$521</definedName>
    <definedName name="total_RS_biomassa_E3" localSheetId="0">'[5]Resíduos sólidos da operação'!$E$224:$F$224</definedName>
    <definedName name="total_TeD_up_hidro_frota_CH4" localSheetId="0">'[5]Transp.&amp; Distribuição(Upstream)'!$AC$899</definedName>
    <definedName name="total_processos_trifluormetil" localSheetId="0">'[5]Processos industriais'!$Q$47</definedName>
    <definedName name="k_madeira" localSheetId="0">'[5]Resíduos sólidos'!$BD$62</definedName>
    <definedName name="total_Mud_solo_N2O" localSheetId="0">'[5]Mudança no uso do solo'!$Q$172</definedName>
    <definedName name="gwp_HFC143" localSheetId="0">'[5]Fatores de Emissão'!$E$529</definedName>
    <definedName name="total_CV_N2O" localSheetId="0">'[5]Compra de Energia Térmica'!$G$92</definedName>
    <definedName name="total_processos_PFC318" localSheetId="0">'[5]Processos industriais'!$Q$42</definedName>
    <definedName name="lista_incineradores" localSheetId="0">[5]Listas!$BT$29:$BT$34</definedName>
    <definedName name="k_papel_texteis" localSheetId="0">'[5]Resíduos sólidos'!$BD$61</definedName>
    <definedName name="total_fugitiva_PFC9118" localSheetId="0">'[5]Emissões fugitivas'!$I$319</definedName>
    <definedName name="vg" localSheetId="0">'[5]Fatores de Emissão'!$C$201</definedName>
    <definedName name="nome_carvao_5200" localSheetId="0">'[5]Fatores de Emissão'!$C$131</definedName>
    <definedName name="total_ee_compra_CH4_residual">'[5]En. elétrica(escolha de compra)'!$BP$118</definedName>
    <definedName name="acrescimo_rota_aviao" localSheetId="0">'[5]Fatores de Emissão'!$D$307</definedName>
    <definedName name="total_VN_aero_passageiro_CO2" localSheetId="0">'[5]Viagens a Negócios'!$AC$797</definedName>
    <definedName name="total_Cat15_NF3" localSheetId="0">'[5]Categorias de Escopo 3'!$G$198</definedName>
    <definedName name="total_CT_onibus_CH4" localSheetId="0">'[5]Emissões casa-trabalho'!$U$252</definedName>
    <definedName name="total_PFC_CO2e_Cat10">'[5]Categorias de Escopo 3'!$F$142</definedName>
    <definedName name="total_TeD_up_ferro_CO2bio" localSheetId="0">'[5]Transp.&amp; Distribuição(Upstream)'!$BV$830</definedName>
    <definedName name="gwp_PFC9118" localSheetId="0">'[5]Fatores de Emissão'!$E$551</definedName>
    <definedName name="total_Cat1_HFC" localSheetId="0">'[5]Categorias de Escopo 3'!$C$34</definedName>
    <definedName name="total_fugitiva_PFC218" localSheetId="0">'[5]Emissões fugitivas'!$I$314</definedName>
    <definedName name="total_ee_localizacao_CO2_veiculos_eletricos">'[5]En. elétrica (localização)'!$AT$263</definedName>
    <definedName name="total_Cat13_remocao" localSheetId="0">'[5]Categorias de Escopo 3'!$D$201</definedName>
    <definedName name="eflu_tipo_tratamento_MCF_industrial">[5]Listas!$CA$17:$CE$25</definedName>
    <definedName name="total_fugitiva_CO2" localSheetId="0">'[5]Emissões fugitivas'!$I$288</definedName>
    <definedName name="total_CM_aereo_CO2bio">'[5]Combustão móvel'!$S$734</definedName>
    <definedName name="total_Cat10_CO2biog">'[5]Categorias de Escopo 3'!$F$156</definedName>
    <definedName name="vo" localSheetId="0">'[5]Fatores de Emissão'!$C$209</definedName>
    <definedName name="total_TeD_down_aero_CH4" localSheetId="0">'[5]Transp&amp;Distribuição(Downstream)'!$AF$742</definedName>
    <definedName name="Fitofis_amazonia" localSheetId="0">[5]Listas!$DA$14:$DC$60</definedName>
    <definedName name="total_fugitiva_extra_HFC125" localSheetId="0">'[5]Emissões fugitivas'!$O$241</definedName>
    <definedName name="total_Cat8_NF3" localSheetId="0">'[5]Categorias de Escopo 3'!$I$110</definedName>
    <definedName name="total_TeD_up_hidro_CH4" localSheetId="0">'[5]Transp.&amp; Distribuição(Upstream)'!$BS$962</definedName>
    <definedName name="total_PFC_CO2e_Cat11">'[5]Categorias de Escopo 3'!$H$142</definedName>
    <definedName name="lista_estados_br" localSheetId="0">[5]Listas!$AI$2:$AI$29</definedName>
    <definedName name="total_TeD_up_rod_caminhao_CH4" localSheetId="0">'[5]Transp.&amp; Distribuição(Upstream)'!$AJ$528</definedName>
    <definedName name="nome_carvao_4500" localSheetId="0">'[5]Fatores de Emissão'!$C$129</definedName>
    <definedName name="total_CM_hidro_N2O" localSheetId="0">'[5]Combustão móvel'!$BD$666</definedName>
    <definedName name="total_fugitiva_extra_HFC134" localSheetId="0">'[5]Emissões fugitivas'!$O$242</definedName>
    <definedName name="gwp_halon1211" localSheetId="0">'[5]Fatores de Emissão'!$E$693</definedName>
    <definedName name="total_Cat10_SF6" localSheetId="0">'[5]Categorias de Escopo 3'!$E$153</definedName>
    <definedName name="total_EFL_escopo3">'[5]Efluentes gerados na operação'!$D$335:$E$335</definedName>
    <definedName name="total_fugitiva_extra_perfluorociclopropano" localSheetId="0">'[5]Emissões fugitivas'!$O$268</definedName>
    <definedName name="perc_etanol_fev">'[5]Fatores Variáveis'!$F$39</definedName>
    <definedName name="total_processos_HFC134a" localSheetId="0">'[5]Processos industriais'!$Q$23</definedName>
    <definedName name="FE_biodiesel_N2O" localSheetId="0">'[5]Fatores de Emissão'!$J$113</definedName>
    <definedName name="total_Cat13_CO2biog">'[5]Categorias de Escopo 3'!$D$200</definedName>
    <definedName name="total_ee_localizacao_biog_outras" localSheetId="0">'[5]En. elétrica (localização)'!$L$291</definedName>
    <definedName name="total_Cat5_op_CO2" localSheetId="0">'[5]Categorias de Escopo 3'!$C$75</definedName>
    <definedName name="total_TeD_down_rod_opcao1_CO2" localSheetId="0">'[5]Transp&amp;Distribuição(Downstream)'!$BP$102</definedName>
    <definedName name="total_fugitiva_extra_PFC318" localSheetId="0">'[5]Emissões fugitivas'!$O$262</definedName>
    <definedName name="total_remocao_Cat16" localSheetId="0">'[5]Categorias de Escopo 3'!$I$201</definedName>
    <definedName name="vp" localSheetId="0">'[5]Fatores de Emissão'!$C$210</definedName>
    <definedName name="total_naoquioto_CH3Br">'[5]Fugitivas - GEE não Quioto'!$P$62</definedName>
    <definedName name="total_RS_escopo3">'[5]Resíduos sólidos da operação'!$E$222:$F$222</definedName>
    <definedName name="total_fugitiva_HFC245ca" localSheetId="0">'[5]Emissões fugitivas'!$I$306</definedName>
    <definedName name="total_EFL_biomassa_E1" localSheetId="0">[5]Efluentes!$D$228</definedName>
    <definedName name="total_VN_rodo_opcao1_N2O" localSheetId="0">'[5]Viagens a Negócios'!$BR$1043</definedName>
    <definedName name="eflu_horas_ano" localSheetId="0">[5]Listas!$CB$62</definedName>
    <definedName name="total_Cat3_N2O" localSheetId="0">'[5]Categorias de Escopo 3'!$G$33</definedName>
    <definedName name="total_fugitiva_perfluorociclopropano" localSheetId="0">'[5]Emissões fugitivas'!$I$321</definedName>
    <definedName name="total_CT_rodo_opcao1_CO2e" localSheetId="0">'[5]Emissões casa-trabalho'!$BD$459</definedName>
    <definedName name="total_TeD_down_hidro_frota_CO2e" localSheetId="0">'[5]Transp&amp;Distribuição(Downstream)'!$AE$496</definedName>
    <definedName name="total_Cat4_CO2_biomassa" localSheetId="0">'[5]Categorias de Escopo 3'!$AB$68</definedName>
    <definedName name="total_Cat8_N2O" localSheetId="0">'[5]Categorias de Escopo 3'!$I$77</definedName>
    <definedName name="total_Cat8_CO2" localSheetId="0">'[5]Categorias de Escopo 3'!$I$75</definedName>
    <definedName name="total_Cat15_HFC" localSheetId="0">'[5]Categorias de Escopo 3'!$G$166</definedName>
    <definedName name="total_Cat12_CO2biog">'[5]Categorias de Escopo 3'!$J$156</definedName>
    <definedName name="nome_biodiesel" localSheetId="0">'[5]Fatores de Emissão'!$C$113</definedName>
    <definedName name="FE_aviaoc_longo_CH4" localSheetId="0">'[5]Fatores de Emissão'!$I$317</definedName>
    <definedName name="total_remoçao_agricolas" localSheetId="0">'[5]Atividades de agricultura'!$J$135</definedName>
    <definedName name="nome_carvao_4700" localSheetId="0">'[5]Fatores de Emissão'!$C$130</definedName>
    <definedName name="total_VN_rodo_opcao2_N2O" localSheetId="0">'[5]Viagens a Negócios'!$BT$1087</definedName>
    <definedName name="total_CM_extra_CH4" localSheetId="0">'[5]Combustão móvel'!$E$797</definedName>
    <definedName name="n_g" localSheetId="0">[5]Listas!$CN$3</definedName>
    <definedName name="AA_fosseis" localSheetId="0">'[5]Atividades de agricultura'!$H$135</definedName>
    <definedName name="total_EFL_outras_N2O" localSheetId="0">[5]Efluentes!$F$219</definedName>
    <definedName name="FE_aviaop_longo_N2O" localSheetId="0">'[5]Fatores de Emissão'!$J$309</definedName>
    <definedName name="nome_compostos">'[5]Emissões fugitivas'!$AE$291</definedName>
    <definedName name="total_OutrasEmissoes_SF6" localSheetId="0">'[5]Categorias de Escopo 3'!$I$197</definedName>
    <definedName name="total_Cat1_CO2_biomassa" localSheetId="0">'[5]Categorias de Escopo 3'!$C$68</definedName>
    <definedName name="total_ee_compra_N2O" localSheetId="0">'[5]En. elétrica(escolha de compra)'!$AF$99</definedName>
    <definedName name="total_Cat5_op_HFC">'[5]Categorias de Escopo 3'!$C$78</definedName>
    <definedName name="total_CT_rodo_opcao3_CO2e" localSheetId="0">'[5]Emissões casa-trabalho'!$BR$686</definedName>
    <definedName name="total_fugitiva_naoQuioto_tab2" localSheetId="0">'[5]Fugitivas - GEE não Quioto'!$H$175</definedName>
    <definedName name="total_CED_biomassa" localSheetId="0">'[5]Combustão estacionária'!$E$283</definedName>
    <definedName name="total_ee_compra_CO2" localSheetId="0">'[5]En. elétrica(escolha de compra)'!$AD$99</definedName>
    <definedName name="EFL_biogênico" localSheetId="0">[5]Efluentes!$E$157</definedName>
    <definedName name="AA_biogenico" localSheetId="0">'[5]Atividades de agricultura'!$I$135</definedName>
    <definedName name="total_Cat12_CH4" localSheetId="0">'[5]Categorias de Escopo 3'!$I$120</definedName>
    <definedName name="total_ee_compra_CO2biog" localSheetId="0">'[5]En. elétrica(escolha de compra)'!$AH$99</definedName>
    <definedName name="total_TeD_down_ferro_CO2bio" localSheetId="0">'[5]Transp&amp;Distribuição(Downstream)'!$BV$427</definedName>
    <definedName name="total_TeD_down_aero_CO2e" localSheetId="0">'[5]Transp&amp;Distribuição(Downstream)'!$AH$742</definedName>
    <definedName name="total_Cat1_CH4" localSheetId="0">'[5]Categorias de Escopo 3'!$C$32</definedName>
    <definedName name="vj" localSheetId="0">'[5]Fatores de Emissão'!$C$204</definedName>
    <definedName name="total_TeD_up_CO2e">'[5]Transp.&amp; Distribuição(Upstream)'!$V$1154</definedName>
    <definedName name="vf" localSheetId="0">'[5]Fatores de Emissão'!$C$200</definedName>
    <definedName name="total_Cat6_op_NF3">'[5]Categorias de Escopo 3'!$E$110</definedName>
    <definedName name="total_fugitiva_extra_HFC143" localSheetId="0">'[5]Emissões fugitivas'!$O$244</definedName>
    <definedName name="gwp_HFC134a" localSheetId="0">'[5]Fatores de Emissão'!$E$528</definedName>
    <definedName name="t_3" localSheetId="0">[5]Listas!$AE$4:$AE$19</definedName>
    <definedName name="tab_setores" localSheetId="0">'[5]Fatores de Emissão'!$K$26:$R$26</definedName>
    <definedName name="vd" localSheetId="0">'[5]Fatores de Emissão'!$C$197</definedName>
    <definedName name="total_PFC_CO2e_Cat5_op">'[5]Categorias de Escopo 3'!$D$98</definedName>
    <definedName name="nome_eolica" localSheetId="0">[5]Listas!$Q$28</definedName>
    <definedName name="total_Cat12_NF3" localSheetId="0">'[5]Categorias de Escopo 3'!$I$154</definedName>
    <definedName name="gwp_tetracloretoCarbono" localSheetId="0">'[5]Fatores de Emissão'!$E$695</definedName>
    <definedName name="gwp_HCFC225cb" localSheetId="0">'[5]Fatores de Emissão'!$E$705</definedName>
    <definedName name="total_Cat10_CO2_biomassa" localSheetId="0">'[5]Categorias de Escopo 3'!$E$156</definedName>
    <definedName name="total_Cat7_CH4" localSheetId="0">'[5]Categorias de Escopo 3'!$AH$32</definedName>
    <definedName name="total_TeD_down_rod_opcao1_CO2bio" localSheetId="0">'[5]Transp&amp;Distribuição(Downstream)'!$BT$102</definedName>
    <definedName name="total_TeD_up_aero_CO2bio">'[5]Transp.&amp; Distribuição(Upstream)'!$AI$1147</definedName>
    <definedName name="total_Cat3_CO2biog">'[5]Categorias de Escopo 3'!$H$68</definedName>
    <definedName name="PB">[5]Listas!$AY$3:$AY$107</definedName>
    <definedName name="Fitofis_Pantanal" localSheetId="0">[5]Listas!$DA$293:$DC$313</definedName>
    <definedName name="total_CV_CO2" localSheetId="0">'[5]Compra de Energia Térmica'!$E$92</definedName>
    <definedName name="total_VN_aero_passageiro_N2O" localSheetId="0">'[5]Viagens a Negócios'!$AE$797</definedName>
    <definedName name="total_CM_rod_opcao3_N2O" localSheetId="0">'[5]Combustão móvel'!$BQ$526</definedName>
    <definedName name="processos_industriais_fosseis" localSheetId="0">'[5]Processos industriais'!$H$133</definedName>
    <definedName name="total_Cat12_CO2e" localSheetId="0">'[5]Categorias de Escopo 3'!$J$155</definedName>
    <definedName name="total_CV_CO2e_b">'[5]Compra de Energia Térmica'!$H$107</definedName>
    <definedName name="tabela_navio_a" localSheetId="0">'[5]Fatores de Emissão'!$E$390:$K$396</definedName>
    <definedName name="total_ee_localizacao_escopo2">'[5]En. elétrica (localização)'!$H$299</definedName>
    <definedName name="total_fugitiva_HFC23" localSheetId="0">'[5]Emissões fugitivas'!$I$291</definedName>
    <definedName name="total_Cat2_CO2biog">'[5]Categorias de Escopo 3'!$F$68</definedName>
    <definedName name="total_Cat4_CH4" localSheetId="0">'[5]Categorias de Escopo 3'!$AB$32</definedName>
    <definedName name="total_Cat6_op_CO2" localSheetId="0">'[5]Categorias de Escopo 3'!$E$75</definedName>
    <definedName name="total_naoquioto_HCFC123">'[5]Fugitivas - GEE não Quioto'!$P$66</definedName>
    <definedName name="total_fugitiva_HFC143" localSheetId="0">'[5]Emissões fugitivas'!$I$297</definedName>
    <definedName name="total_Cat11_CO2" localSheetId="0">'[5]Categorias de Escopo 3'!$G$119</definedName>
    <definedName name="total_fugitiva_SF6" localSheetId="0">'[5]Emissões fugitivas'!$I$310</definedName>
    <definedName name="total_Cat6_CH4" localSheetId="0">'[5]Categorias de Escopo 3'!$AF$32</definedName>
    <definedName name="FE_CED_fossil" localSheetId="0">'[5]Combustão estacionária'!$C$155:$H$196</definedName>
    <definedName name="eflu_kgDBO_pessoa.dia" localSheetId="0">[5]Listas!$CB$61</definedName>
    <definedName name="total_Cat9_op_SF6">'[5]Categorias de Escopo 3'!$C$153</definedName>
    <definedName name="vh" localSheetId="0">'[5]Fatores de Emissão'!$C$202</definedName>
    <definedName name="total_fugitiva_HFC134" localSheetId="0">'[5]Emissões fugitivas'!$I$295</definedName>
    <definedName name="total_processos_HFC236fa" localSheetId="0">'[5]Processos industriais'!$Q$32</definedName>
    <definedName name="total_fugitiva_PFC14" localSheetId="0">'[5]Emissões fugitivas'!$I$312</definedName>
    <definedName name="eflu_N_removido" localSheetId="0">[5]Listas!$CB$66</definedName>
    <definedName name="total_CED_CO2_biogenico">'[5]Combustão estacionária'!$X$147</definedName>
    <definedName name="gwp_CO2" localSheetId="0">'[5]Fatores de Emissão'!$E$520</definedName>
    <definedName name="total_TeD_down_ferro_N2O" localSheetId="0">'[5]Transp&amp;Distribuição(Downstream)'!$BT$427</definedName>
    <definedName name="total_Cat15_SF6" localSheetId="0">'[5]Categorias de Escopo 3'!$G$197</definedName>
    <definedName name="total_RS_compost_N2O_E3" localSheetId="0">'[5]Resíduos sólidos da operação'!$E$160</definedName>
    <definedName name="total_processos_HFC4310mee" localSheetId="0">'[5]Processos industriais'!$Q$36</definedName>
    <definedName name="total_VN_balsa_CO2e" localSheetId="0">'[5]Viagens a Negócios'!$AC$1196</definedName>
    <definedName name="total_ee_compra_CO2_residual" localSheetId="0">'[5]En. elétrica(escolha de compra)'!$BO$118</definedName>
    <definedName name="total_RS_incin_CO2e" localSheetId="0">'[5]Resíduos sólidos'!$E$214</definedName>
    <definedName name="total_ee_localizacao_CO2e_outras" localSheetId="0">'[5]En. elétrica (localização)'!$J$291</definedName>
    <definedName name="total_TeD_up_rod_opcao2_N2O" localSheetId="0">'[5]Transp.&amp; Distribuição(Upstream)'!$BT$365</definedName>
    <definedName name="total_CM_hidro_CH4" localSheetId="0">'[5]Combustão móvel'!$BC$666</definedName>
    <definedName name="total_CT_metroferro_CO2" localSheetId="0">'[5]Emissões casa-trabalho'!$K$139</definedName>
    <definedName name="gwp_HCFC22" localSheetId="0">'[5]Fatores de Emissão'!$E$699</definedName>
    <definedName name="total_remocao_Cat2" localSheetId="0">'[5]Categorias de Escopo 3'!$E$69</definedName>
    <definedName name="DOCf_less" localSheetId="0">'[5]Resíduos sólidos'!$BD$66</definedName>
    <definedName name="total_fugitiva_extra_HFC4310mee" localSheetId="0">'[5]Emissões fugitivas'!$O$256</definedName>
    <definedName name="total_Cat4_N2O" localSheetId="0">'[5]Categorias de Escopo 3'!$AB$33</definedName>
    <definedName name="tabela_FE_CM" localSheetId="0">'[5]Fatores de Emissão'!$C$96:$J$118</definedName>
    <definedName name="total_naoquioto_HCFC21">'[5]Fugitivas - GEE não Quioto'!$P$64</definedName>
    <definedName name="total_CT_rodo_opcao1_CO2" localSheetId="0">'[5]Emissões casa-trabalho'!$BA$459</definedName>
    <definedName name="total_Cat5_CO2biog">'[5]Categorias de Escopo 3'!$D$112</definedName>
    <definedName name="total_VN_aero_distancia_CO2" localSheetId="0">'[5]Viagens a Negócios'!$Y$859</definedName>
    <definedName name="total_processos_HFC152a" localSheetId="0">'[5]Processos industriais'!$Q$27</definedName>
    <definedName name="total_HFC_CO2e_Cat7">'[5]Categorias de Escopo 3'!$H$78</definedName>
    <definedName name="total_perda_compra_CO2" localSheetId="0">'[5]Perdas T&amp;D (escolha de compra)'!$AD$97</definedName>
    <definedName name="total_CT_balsa_CH4" localSheetId="0">'[5]Emissões casa-trabalho'!$L$335</definedName>
    <definedName name="total_perda_localizacao_biogenico_escopo2" localSheetId="0">'[5]Perdas T&amp;D (abord. localização)'!$H$126</definedName>
    <definedName name="gwp_halon1301" localSheetId="0">'[5]Fatores de Emissão'!$E$692</definedName>
    <definedName name="total_fugitiva_HFC143a" localSheetId="0">'[5]Emissões fugitivas'!$I$298</definedName>
    <definedName name="total_ee_compra_CO2e" localSheetId="0">'[5]En. elétrica(escolha de compra)'!$AG$99</definedName>
    <definedName name="lista_gases_completa" localSheetId="0">'[5]Fatores de Emissão'!$C$520:$C$679</definedName>
    <definedName name="total_fugitiva_extra_HFC161" localSheetId="0">'[5]Emissões fugitivas'!$O$248</definedName>
    <definedName name="total_processos_CO2" localSheetId="0">'[5]Processos industriais'!$Q$15</definedName>
    <definedName name="nome_carvao_4200" localSheetId="0">'[5]Fatores de Emissão'!$C$128</definedName>
    <definedName name="total_TeD_down_hidro_N2O" localSheetId="0">'[5]Transp&amp;Distribuição(Downstream)'!$BT$559</definedName>
    <definedName name="lista_concessionarias" localSheetId="0">[5]Listas!$CT$2:$CT$14</definedName>
    <definedName name="total_Cat9_CO2" localSheetId="0">'[5]Categorias de Escopo 3'!$AJ$31</definedName>
    <definedName name="total_Cat10_CO2" localSheetId="0">'[5]Categorias de Escopo 3'!$E$119</definedName>
    <definedName name="tabela_navio_i" localSheetId="0">'[5]Fatores de Emissão'!$E$435:$K$437</definedName>
    <definedName name="total_naoquioto_CFC13">'[5]Fugitivas - GEE não Quioto'!$P$54</definedName>
    <definedName name="total_processos_HFC134" localSheetId="0">'[5]Processos industriais'!$Q$22</definedName>
    <definedName name="total_fugitiva_N2O" localSheetId="0">'[5]Emissões fugitivas'!$I$290</definedName>
    <definedName name="total_Cat15_CO2biog">'[5]Categorias de Escopo 3'!$H$200</definedName>
    <definedName name="total_RS_outras_CH4" localSheetId="0">'[5]Resíduos sólidos'!$E$276</definedName>
    <definedName name="total_fugitiva_extra_143a" localSheetId="0">'[5]Emissões fugitivas'!$O$245</definedName>
    <definedName name="total_CED_extra_CO2" localSheetId="0">'[5]Combustão estacionária'!$D$274</definedName>
    <definedName name="total_CED_CH4" localSheetId="0">'[5]Combustão estacionária'!$R$147</definedName>
    <definedName name="total_perda_compra_N2O_residual">'[5]Perdas T&amp;D (escolha de compra)'!$BQ$114</definedName>
    <definedName name="tabela_navio_c" localSheetId="0">'[5]Fatores de Emissão'!$E$403:$K$407</definedName>
    <definedName name="total_RS_compost_CH4_E3" localSheetId="0">'[5]Resíduos sólidos da operação'!$E$159</definedName>
    <definedName name="estados_br_E1" localSheetId="0">'[5]Resíduos sólidos'!$D$47</definedName>
    <definedName name="Mud_solo_fosseis" localSheetId="0">'[5]Mudança no uso do solo'!$H$185</definedName>
    <definedName name="total_TeD_up_hidro_CO2" localSheetId="0">'[5]Transp.&amp; Distribuição(Upstream)'!$BR$962</definedName>
    <definedName name="gwp_CFC113" localSheetId="0">'[5]Fatores de Emissão'!$E$689</definedName>
    <definedName name="total_Cat15_remocao" localSheetId="0">'[5]Categorias de Escopo 3'!$H$201</definedName>
    <definedName name="eflu_tipo_tratamento_industrial">[5]Listas!$CA$17:$CA$25</definedName>
    <definedName name="total_Cat7_CO2" localSheetId="0">'[5]Categorias de Escopo 3'!$AH$31</definedName>
    <definedName name="va" localSheetId="0">'[5]Fatores de Emissão'!$C$194</definedName>
    <definedName name="sin_nov">'[5]Fatores Variáveis'!$O$38</definedName>
    <definedName name="total_TeD_down_rod_opcao2_N2O" localSheetId="0">'[5]Transp&amp;Distribuição(Downstream)'!$BT$164</definedName>
    <definedName name="SIN_media_anual" localSheetId="0">'[5]Fatores Variáveis'!$Q$38</definedName>
    <definedName name="total_perda_compra_CH4_residual">'[5]Perdas T&amp;D (escolha de compra)'!$BP$114</definedName>
    <definedName name="FE_aviaop_curto_N2O" localSheetId="0">'[5]Fatores de Emissão'!$J$307</definedName>
    <definedName name="total_processos_PFC5114" localSheetId="0">'[5]Processos industriais'!$Q$45</definedName>
    <definedName name="total_CM_rod_opcao2_CO2bio" localSheetId="0">'[5]Combustão móvel'!$BF$360</definedName>
    <definedName name="total_TeD_down_hidro_CO2e" localSheetId="0">'[5]Transp&amp;Distribuição(Downstream)'!$BU$559</definedName>
    <definedName name="total_TeD_up_rod_caminhao_CO2e" localSheetId="0">'[5]Transp.&amp; Distribuição(Upstream)'!$AL$528</definedName>
    <definedName name="total_CED_CO2e">'[5]Combustão estacionária'!$W$147</definedName>
    <definedName name="conversao_GJ_MWh" localSheetId="0">[5]Listas!$Q$37</definedName>
    <definedName name="total_Cat1_SF6" localSheetId="0">'[5]Categorias de Escopo 3'!$C$65</definedName>
    <definedName name="total_TeD_down_rod_opcao3_CO2bio" localSheetId="0">'[5]Transp&amp;Distribuição(Downstream)'!$CI$292</definedName>
    <definedName name="total_Cat13_NF3" localSheetId="0">'[5]Categorias de Escopo 3'!$C$198</definedName>
    <definedName name="Ano" localSheetId="0">[5]Introdução!$E$25</definedName>
    <definedName name="lnj" localSheetId="0">'[5]Fatores de Emissão'!$E$438:$E$440</definedName>
    <definedName name="total_fugitiva_HFC152a" localSheetId="0">'[5]Emissões fugitivas'!$I$300</definedName>
    <definedName name="total_Cat9_op_CO2_biomassa" localSheetId="0">'[5]Categorias de Escopo 3'!$C$156</definedName>
    <definedName name="AL">[5]Listas!$AL$3:$AL$8</definedName>
    <definedName name="FE_aviaoc_curto_CH4" localSheetId="0">'[5]Fatores de Emissão'!$I$315</definedName>
    <definedName name="total_processos_PFC14" localSheetId="0">'[5]Processos industriais'!$Q$39</definedName>
    <definedName name="total_Cat1_CO2biog">'[5]Categorias de Escopo 3'!$D$68</definedName>
    <definedName name="total_VN_aero_distancia_CO2e" localSheetId="0">'[5]Viagens a Negócios'!$AB$859</definedName>
    <definedName name="total_CT_CO2e">'[5]Emissões casa-trabalho'!$F$763</definedName>
    <definedName name="vb" localSheetId="0">'[5]Fatores de Emissão'!$C$195</definedName>
    <definedName name="total_VN_rodo_opcao2_CO2" localSheetId="0">'[5]Viagens a Negócios'!$BR$1087</definedName>
    <definedName name="total_VN_onibus_CO2e" localSheetId="0">'[5]Viagens a Negócios'!$AK$989</definedName>
    <definedName name="total_Cat15_CO2e" localSheetId="0">'[5]Categorias de Escopo 3'!$H$199</definedName>
    <definedName name="total_ee_localizacao_biogenico_escopo2" localSheetId="0">'[5]En. elétrica (localização)'!$H$301</definedName>
    <definedName name="total_CM_ferro_CO2" localSheetId="0">'[5]Combustão móvel'!$BB$596</definedName>
    <definedName name="total_VN_rodo_opcao2_CO2e" localSheetId="0">'[5]Viagens a Negócios'!$BU$1087</definedName>
    <definedName name="nome_fotovolt" localSheetId="0">[5]Listas!$Q$29</definedName>
    <definedName name="nome_carvao_mineral" localSheetId="0">'[5]Fatores de Emissão'!$C$135</definedName>
    <definedName name="total_ee_localizacao_N2O_outras" localSheetId="0">'[5]En. elétrica (localização)'!$H$291</definedName>
    <definedName name="tabela_caminhao" localSheetId="0">'[5]Fatores de Emissão'!$C$279:$M$298</definedName>
    <definedName name="DEFRA_diesel" localSheetId="0">[5]Listas!$CW$2</definedName>
    <definedName name="casas_decimais">[5]Listas!$E$26</definedName>
    <definedName name="nome_biometano">'[5]Fatores de Emissão'!$C$114</definedName>
    <definedName name="perc_biod_out">'[5]Fatores Variáveis'!$N$40</definedName>
    <definedName name="total_HFC_CO2e_Cat15">'[5]Categorias de Escopo 3'!$H$166</definedName>
    <definedName name="total_naoquioto_HCFC141b">'[5]Fugitivas - GEE não Quioto'!$P$68</definedName>
    <definedName name="total_TeD_down_CO2bio" localSheetId="0">'[5]Transp&amp;Distribuição(Downstream)'!$V$751</definedName>
    <definedName name="total_Cat9_op_CO2" localSheetId="0">'[5]Categorias de Escopo 3'!$C$119</definedName>
    <definedName name="nome_HFC">'[5]Emissões fugitivas'!$AE$289</definedName>
    <definedName name="GO">[5]Listas!$AS$3:$AS$16</definedName>
    <definedName name="total_TeD_up_rod_opcao1_N2O" localSheetId="0">'[5]Transp.&amp; Distribuição(Upstream)'!$BR$202</definedName>
    <definedName name="total_fugitiva_extra_PFC116" localSheetId="0">'[5]Emissões fugitivas'!$O$260</definedName>
    <definedName name="tabela_GWP" localSheetId="0">'[5]Fatores de Emissão'!$C$520:$E$679</definedName>
    <definedName name="total_Cat14_SF6" localSheetId="0">'[5]Categorias de Escopo 3'!$E$197</definedName>
    <definedName name="gwp_HCFC142b" localSheetId="0">'[5]Fatores de Emissão'!$E$703</definedName>
    <definedName name="DF">[5]Listas!$AQ$3</definedName>
    <definedName name="total_VN_rodo_opcao1_CO2e" localSheetId="0">'[5]Viagens a Negócios'!$BS$1043</definedName>
    <definedName name="total_Cat15_CO2" localSheetId="0">'[5]Categorias de Escopo 3'!$G$163</definedName>
    <definedName name="total_processos_HFC125" localSheetId="0">'[5]Processos industriais'!$Q$21</definedName>
    <definedName name="total_TeD_down_rod_opcao2_CO2bio" localSheetId="0">'[5]Transp&amp;Distribuição(Downstream)'!$BV$164</definedName>
    <definedName name="tabela_navio_b" localSheetId="0">'[5]Fatores de Emissão'!$E$397:$K$402</definedName>
    <definedName name="nome_carvao_NA" localSheetId="0">'[5]Fatores de Emissão'!$C$134</definedName>
    <definedName name="total_Cat5_op_PFC">'[5]Categorias de Escopo 3'!$C$98</definedName>
    <definedName name="tabela_balsas" localSheetId="0">'[5]Fatores de Emissão'!$C$381:$H$383</definedName>
    <definedName name="total_TeD_down_aero_N2O" localSheetId="0">'[5]Transp&amp;Distribuição(Downstream)'!$AG$742</definedName>
    <definedName name="n_e" localSheetId="0">[5]Listas!$CM$6</definedName>
    <definedName name="total_Cat10_CH4" localSheetId="0">'[5]Categorias de Escopo 3'!$E$120</definedName>
    <definedName name="total_CT_onibus_CO2" localSheetId="0">'[5]Emissões casa-trabalho'!$T$252</definedName>
    <definedName name="lista_gases" localSheetId="0">'[5]Fatores de Emissão'!$C$520:$C$553</definedName>
    <definedName name="total_Cat11_NF3" localSheetId="0">'[5]Categorias de Escopo 3'!$G$154</definedName>
    <definedName name="total_TeD_down_aero_CO2bio">'[5]Transp&amp;Distribuição(Downstream)'!$AI$742</definedName>
    <definedName name="total_EFL_CH4" localSheetId="0">[5]Efluentes!$E$154</definedName>
    <definedName name="total_CM_rod_opcao1_CO2" localSheetId="0">'[5]Combustão móvel'!$AZ$198</definedName>
    <definedName name="total_CT_rodo_opcao3_biogenico" localSheetId="0">'[5]Emissões casa-trabalho'!$BS$686</definedName>
    <definedName name="total_Cat9_op_PFC">'[5]Categorias de Escopo 3'!$C$142</definedName>
    <definedName name="lista_ano" localSheetId="0">[5]Listas!$B$2:$B$21</definedName>
    <definedName name="sin_mar">'[5]Fatores Variáveis'!$G$38</definedName>
    <definedName name="total_TeD_up_rod_opcao2_CO2bio" localSheetId="0">'[5]Transp.&amp; Distribuição(Upstream)'!$BV$365</definedName>
    <definedName name="distancia_aviao_longo" localSheetId="0">[5]Listas!$BW$4</definedName>
    <definedName name="total_RS_incin_N2O" localSheetId="0">'[5]Resíduos sólidos'!$E$212</definedName>
    <definedName name="total_PFC_CO2e_Cat4_op">'[5]Categorias de Escopo 3'!$J$54</definedName>
    <definedName name="total_Cat7_remocao" localSheetId="0">'[5]Categorias de Escopo 3'!$H$113</definedName>
    <definedName name="vazio" localSheetId="0">[5]Listas!$A$1</definedName>
    <definedName name="total_naoquioto_halon1301">'[5]Fugitivas - GEE não Quioto'!$P$58</definedName>
    <definedName name="perc_etanol_jun">'[5]Fatores Variáveis'!$J$39</definedName>
    <definedName name="total_ee_compra_CO2_biog_residual">'[5]En. elétrica(escolha de compra)'!$I$124</definedName>
    <definedName name="total_PFC_CO2e_Cat6_op">'[5]Categorias de Escopo 3'!$F$98</definedName>
    <definedName name="total_CV_biomassa" localSheetId="0">'[5]Compra de Energia Térmica'!$E$107</definedName>
    <definedName name="total_HFC_CO2e_Cat8">'[5]Categorias de Escopo 3'!$J$78</definedName>
    <definedName name="tabela_navio_e" localSheetId="0">'[5]Fatores de Emissão'!$E$411:$K$413</definedName>
    <definedName name="total_processos_PFC3110" localSheetId="0">'[5]Processos industriais'!$Q$43</definedName>
    <definedName name="total_perda_localizacao_biog_outras" localSheetId="0">'[5]Perdas T&amp;D (abord. localização)'!$L$115</definedName>
    <definedName name="total_Cat7_op_PFC" localSheetId="0">'[5]Categorias de Escopo 3'!$G$98</definedName>
    <definedName name="gwp_HFC236cb" localSheetId="0">'[5]Fatores de Emissão'!$E$535</definedName>
    <definedName name="total_TeD_down_ferro_CO2" localSheetId="0">'[5]Transp&amp;Distribuição(Downstream)'!$BR$427</definedName>
    <definedName name="total_CT_balsa_N2O" localSheetId="0">'[5]Emissões casa-trabalho'!$M$335</definedName>
    <definedName name="perc_etanol_dez">'[5]Fatores Variáveis'!$P$39</definedName>
    <definedName name="RN">[5]Listas!$BD$3:$BD$9</definedName>
    <definedName name="lista_comb_aereo" localSheetId="0">[5]Listas!$Y$3:$Y$5</definedName>
    <definedName name="total_TeD_up_hidro_frota_CO2" localSheetId="0">'[5]Transp.&amp; Distribuição(Upstream)'!$AB$899</definedName>
    <definedName name="n_d" localSheetId="0">[5]Listas!$CM$5</definedName>
    <definedName name="dbo_dqo" localSheetId="0">[5]Listas!$BY$3:$BY$4</definedName>
    <definedName name="perc_biod_mar">'[5]Fatores Variáveis'!$G$40</definedName>
    <definedName name="Fitofis_Cerrado" localSheetId="0">[5]Listas!$DA$63:$DD$155</definedName>
    <definedName name="distância_VN" localSheetId="0">[5]Listas!$BW$2:$BW$4</definedName>
    <definedName name="total_TeD_down_ferro_CH4" localSheetId="0">'[5]Transp&amp;Distribuição(Downstream)'!$BS$427</definedName>
    <definedName name="total_naoquioto_HCFC142b">'[5]Fugitivas - GEE não Quioto'!$P$69</definedName>
    <definedName name="FE_biodiesel_CO2" localSheetId="0">'[5]Fatores de Emissão'!$H$113</definedName>
    <definedName name="FE_biodiesel_CH4" localSheetId="0">'[5]Fatores de Emissão'!$I$113</definedName>
    <definedName name="total_Cat9_op_CO2e" localSheetId="0">'[5]Categorias de Escopo 3'!$D$155</definedName>
    <definedName name="total_TeD_up_hidro_frota_CO2e" localSheetId="0">'[5]Transp.&amp; Distribuição(Upstream)'!$AE$899</definedName>
    <definedName name="total_CT_rodo_opcao2_biogenico" localSheetId="0">'[5]Emissões casa-trabalho'!$BG$572</definedName>
    <definedName name="total_HFC_CO2e_Cat12">'[5]Categorias de Escopo 3'!$J$122</definedName>
    <definedName name="n_f" localSheetId="0">[5]Listas!$CN$2</definedName>
    <definedName name="FE_aviaoc_longo_CO2" localSheetId="0">'[5]Fatores de Emissão'!$H$317</definedName>
    <definedName name="total_Cat11_CO2e" localSheetId="0">'[5]Categorias de Escopo 3'!$H$155</definedName>
    <definedName name="Mud_solo_biogenico" localSheetId="0">'[5]Mudança no uso do solo'!$I$185</definedName>
    <definedName name="lista_municípios_br">[5]Listas!$BN$2:$BN$700</definedName>
    <definedName name="total_HFC_CO2e_Cat1">'[5]Categorias de Escopo 3'!$D$34</definedName>
    <definedName name="tabela_combustiveis_CombEstacionaria" localSheetId="0">[5]Listas!$G$3:$J$59</definedName>
    <definedName name="FE_trem_passageiro" localSheetId="0">'[5]Fatores de Emissão'!$E$348</definedName>
    <definedName name="total_Cat8_CO2_biomassa" localSheetId="0">'[5]Categorias de Escopo 3'!$I$112</definedName>
    <definedName name="total_HFC_CO2e_Cat9_op">'[5]Categorias de Escopo 3'!$D$122</definedName>
    <definedName name="total_CM_rod_opcao2_CO2e" localSheetId="0">'[5]Combustão móvel'!$BE$360</definedName>
    <definedName name="total_TeD_down_rod_opcao3_CH4" localSheetId="0">'[5]Transp&amp;Distribuição(Downstream)'!$CF$292</definedName>
    <definedName name="lista_setor" localSheetId="0">[5]Listas!$D$2:$D$6</definedName>
    <definedName name="nome_etan_hidrat" localSheetId="0">'[5]Fatores de Emissão'!$C$112</definedName>
    <definedName name="total_processos_HFC41" localSheetId="0">'[5]Processos industriais'!$Q$20</definedName>
    <definedName name="total_fugitiva_HFC32" localSheetId="0">'[5]Emissões fugitivas'!$I$292</definedName>
    <definedName name="nome_PFC">'[5]Emissões fugitivas'!$AE$290</definedName>
    <definedName name="total_CT_onibus_biogenico" localSheetId="0">'[5]Emissões casa-trabalho'!$X$252</definedName>
    <definedName name="total_TeD_down_ferro_concessionaria_N2O" localSheetId="0">'[5]Transp&amp;Distribuição(Downstream)'!$AB$364</definedName>
    <definedName name="total_TeD_down_hidro_frota_CH4" localSheetId="0">'[5]Transp&amp;Distribuição(Downstream)'!$AC$496</definedName>
    <definedName name="gwp_HCFC225ca" localSheetId="0">'[5]Fatores de Emissão'!$E$704</definedName>
    <definedName name="total_fugitiva_HFC236cb" localSheetId="0">'[5]Emissões fugitivas'!$I$303</definedName>
    <definedName name="total_CT_rodo_opcao3_CO2" localSheetId="0">'[5]Emissões casa-trabalho'!$BO$686</definedName>
    <definedName name="total_Cat13_PFC" localSheetId="0">'[5]Categorias de Escopo 3'!$C$186</definedName>
    <definedName name="total_PFC_CO2e_Cat9_op">'[5]Categorias de Escopo 3'!$D$142</definedName>
    <definedName name="gwp_CFC114" localSheetId="0">'[5]Fatores de Emissão'!$E$690</definedName>
    <definedName name="total_Cat8_HFC" localSheetId="0">'[5]Categorias de Escopo 3'!$I$78</definedName>
    <definedName name="RS">[5]Listas!$BG$3:$BG$24</definedName>
    <definedName name="gwp_PFC5114" localSheetId="0">'[5]Fatores de Emissão'!$E$550</definedName>
    <definedName name="total_Cat11_CH4" localSheetId="0">'[5]Categorias de Escopo 3'!$G$120</definedName>
    <definedName name="total_CM_extra_CO2" localSheetId="0">'[5]Combustão móvel'!$D$797</definedName>
    <definedName name="PR">[5]Listas!$BB$3:$BB$31</definedName>
    <definedName name="total_fugitiva_extra_N2O" localSheetId="0">'[5]Emissões fugitivas'!$O$237</definedName>
    <definedName name="total_fugitiva_extra_PFC5114" localSheetId="0">'[5]Emissões fugitivas'!$O$265</definedName>
    <definedName name="total_processos_N2O" localSheetId="0">'[5]Processos industriais'!$Q$17</definedName>
    <definedName name="total_Cat14_HFC" localSheetId="0">'[5]Categorias de Escopo 3'!$E$166</definedName>
    <definedName name="k_jardim_outros_nao_alimentos_E3" localSheetId="0">'[5]Resíduos sólidos da operação'!$BE$46</definedName>
    <definedName name="total_CT_rodo_opcao2_CO2" localSheetId="0">'[5]Emissões casa-trabalho'!$BC$572</definedName>
    <definedName name="FE_aviaop_curto_CH4" localSheetId="0">'[5]Fatores de Emissão'!$I$307</definedName>
    <definedName name="RO">[5]Listas!$BE$3</definedName>
    <definedName name="setor">'[5]Combustão estacionária'!$D$32</definedName>
    <definedName name="total_CM_rod_opcao3_CO2e" localSheetId="0">'[5]Combustão móvel'!$BR$526</definedName>
    <definedName name="total_Cat10_CO2e" localSheetId="0">'[5]Categorias de Escopo 3'!$F$155</definedName>
    <definedName name="total_TeD_up_rod_opcao2_CO2" localSheetId="0">'[5]Transp.&amp; Distribuição(Upstream)'!$BR$365</definedName>
    <definedName name="total_Cat3_HFC" localSheetId="0">'[5]Categorias de Escopo 3'!$G$34</definedName>
    <definedName name="nome_gaso_A" localSheetId="0">'[5]Fatores de Emissão'!$C$98</definedName>
    <definedName name="nome_carvao_5900" localSheetId="0">'[5]Fatores de Emissão'!$C$132</definedName>
    <definedName name="Fitofis_MataAtlantica" localSheetId="0">[5]Listas!$DA$159:$DC$217</definedName>
    <definedName name="gwp_HCFC141b" localSheetId="0">'[5]Fatores de Emissão'!$E$702</definedName>
    <definedName name="total_Cat2_HFC" localSheetId="0">'[5]Categorias de Escopo 3'!$E$34</definedName>
    <definedName name="total_VN_rodo_opcao1_biogenico" localSheetId="0">'[5]Viagens a Negócios'!$BT$1043</definedName>
    <definedName name="total_fugitiva_extra_HFC365mfc" localSheetId="0">'[5]Emissões fugitivas'!$O$255</definedName>
    <definedName name="total_CED_extra_N2O" localSheetId="0">'[5]Combustão estacionária'!$F$274</definedName>
    <definedName name="total_Cat2_NF3" localSheetId="0">'[5]Categorias de Escopo 3'!$E$66</definedName>
    <definedName name="AM">[5]Listas!$AM$3:$AM$20</definedName>
    <definedName name="lista_comb_energia" localSheetId="0">[5]Listas!$R$27:$R$78</definedName>
    <definedName name="total_Cat6_N2O" localSheetId="0">'[5]Categorias de Escopo 3'!$AF$33</definedName>
    <definedName name="total_Cat14_CO2_biomassa" localSheetId="0">'[5]Categorias de Escopo 3'!$E$200</definedName>
    <definedName name="total_fugitiva_extra_HFC152" localSheetId="0">'[5]Emissões fugitivas'!$O$246</definedName>
    <definedName name="total_naoquioto_CCL4">'[5]Fugitivas - GEE não Quioto'!$P$61</definedName>
    <definedName name="total_EFL_outras_CH4" localSheetId="0">[5]Efluentes!$E$219</definedName>
    <definedName name="total_Cat4_op_CO2e" localSheetId="0">'[5]Categorias de Escopo 3'!$J$67</definedName>
    <definedName name="total_Cat15_PFC" localSheetId="0">'[5]Categorias de Escopo 3'!$G$186</definedName>
    <definedName name="total_Cat4_CO2e" localSheetId="0">'[5]Categorias de Escopo 3'!$AC$67</definedName>
    <definedName name="tabela_navio_f" localSheetId="0">'[5]Fatores de Emissão'!$E$414:$K$420</definedName>
    <definedName name="lista_veiculos" localSheetId="0">[5]Listas!$M$34:$M$70</definedName>
    <definedName name="total_TeD_down_rodo_caminhao_CO2" localSheetId="0">'[5]Transp&amp;Distribuição(Downstream)'!$AI$226</definedName>
    <definedName name="vi" localSheetId="0">'[5]Fatores de Emissão'!$C$203</definedName>
    <definedName name="total_HFC_CO2e_Cat10">'[5]Categorias de Escopo 3'!$F$122</definedName>
    <definedName name="total_Cat7_op_HFC" localSheetId="0">'[5]Categorias de Escopo 3'!$G$78</definedName>
    <definedName name="total_CM_rod_opcao2_CO2" localSheetId="0">'[5]Combustão móvel'!$BB$360</definedName>
    <definedName name="total_perda_localizacao_CO2e_outras" localSheetId="0">'[5]Perdas T&amp;D (abord. localização)'!$J$115</definedName>
    <definedName name="total_Mud_solo_CH4" localSheetId="0">'[5]Mudança no uso do solo'!$Q$171</definedName>
    <definedName name="FE_onibusv_biodiesel_N2O" localSheetId="0">'[5]Fatores de Emissão'!$L$270</definedName>
    <definedName name="total_TeD_down_rod_opcao1_N2O" localSheetId="0">'[5]Transp&amp;Distribuição(Downstream)'!$BR$102</definedName>
    <definedName name="total_fugitiva_HFC236ea" localSheetId="0">'[5]Emissões fugitivas'!$I$304</definedName>
    <definedName name="total_Cat1_CO2" localSheetId="0">'[5]Categorias de Escopo 3'!$C$31</definedName>
    <definedName name="total_PFC_CO2e_Cat8">'[5]Categorias de Escopo 3'!$J$98</definedName>
    <definedName name="total_RS_aterro_CO2e" localSheetId="0">'[5]Resíduos sólidos'!$E$128</definedName>
    <definedName name="total_fugitiva_HFC125" localSheetId="0">'[5]Emissões fugitivas'!$I$294</definedName>
    <definedName name="total_Cat7_op_NF3" localSheetId="0">'[5]Categorias de Escopo 3'!$G$110</definedName>
    <definedName name="total_Cat7_N2O" localSheetId="0">'[5]Categorias de Escopo 3'!$AH$33</definedName>
    <definedName name="lista_comb_ferrovia" localSheetId="0">[5]Listas!$Q$3:$Q$15</definedName>
    <definedName name="DOCf_E3">'[5]Resíduos sólidos da operação'!$BE$49</definedName>
    <definedName name="total_Cat2_CO2_biomassa" localSheetId="0">'[5]Categorias de Escopo 3'!$E$68</definedName>
    <definedName name="total_Cat3_CO2_biomassa" localSheetId="0">'[5]Categorias de Escopo 3'!$G$68</definedName>
    <definedName name="total_perda_localizacao_escopo2">'[5]Perdas T&amp;D (abord. localização)'!$H$124</definedName>
    <definedName name="MUS_Am" localSheetId="0">[5]Listas!$DA$17:$DA$60</definedName>
    <definedName name="total_processos_HFC227ea" localSheetId="0">'[5]Processos industriais'!$Q$29</definedName>
    <definedName name="total_Cat13_SF6" localSheetId="0">'[5]Categorias de Escopo 3'!$C$197</definedName>
    <definedName name="total_Cat7_op_SF6" localSheetId="0">'[5]Categorias de Escopo 3'!$G$109</definedName>
    <definedName name="total_Cat3_CO2" localSheetId="0">'[5]Categorias de Escopo 3'!$G$31</definedName>
    <definedName name="total_Cat7_op_CO2e" localSheetId="0">'[5]Categorias de Escopo 3'!$H$111</definedName>
    <definedName name="lnb" localSheetId="0">'[5]Fatores de Emissão'!$E$397:$E$402</definedName>
    <definedName name="perc_etanol_mai">'[5]Fatores Variáveis'!$I$39</definedName>
    <definedName name="total_CT_rodo_opcao3_N2O" localSheetId="0">'[5]Emissões casa-trabalho'!$BQ$686</definedName>
    <definedName name="FE_diesel_CO2" localSheetId="0">'[5]Fatores de Emissão'!$H$99</definedName>
    <definedName name="total_Cat5_op_SF6">'[5]Categorias de Escopo 3'!$C$109</definedName>
    <definedName name="sin_out">'[5]Fatores Variáveis'!$N$38</definedName>
    <definedName name="total_VN_rodo_opcao2_CH4" localSheetId="0">'[5]Viagens a Negócios'!$BS$1087</definedName>
    <definedName name="SP">[5]Listas!$BJ$3:$BJ$246</definedName>
    <definedName name="perc_biod_ago">'[5]Fatores Variáveis'!$L$40</definedName>
    <definedName name="perc_etanol_ago">'[5]Fatores Variáveis'!$L$39</definedName>
    <definedName name="total_TeD_up_hidro_CO2e" localSheetId="0">'[5]Transp.&amp; Distribuição(Upstream)'!$BU$962</definedName>
    <definedName name="k_madeira_E3" localSheetId="0">'[5]Resíduos sólidos da operação'!$BE$45</definedName>
    <definedName name="k_bulkwaste_E3">'[5]Resíduos sólidos da operação'!$BE$48</definedName>
    <definedName name="total_EF_biomassa">'[5]Emissões fugitivas'!$F$279</definedName>
    <definedName name="total_TeD_up_rod_caminhao_CO2" localSheetId="0">'[5]Transp.&amp; Distribuição(Upstream)'!$AI$528</definedName>
    <definedName name="total_Cat2_SF6" localSheetId="0">'[5]Categorias de Escopo 3'!$E$65</definedName>
    <definedName name="total_processos_HFC236cb" localSheetId="0">'[5]Processos industriais'!$Q$30</definedName>
    <definedName name="RJ">[5]Listas!$BC$3:$BC$27</definedName>
    <definedName name="total_EFL_N2O_E3" localSheetId="0">'[5]Efluentes gerados na operação'!$E$328</definedName>
    <definedName name="Lista_sem_fito" localSheetId="0">[5]Listas!$DD$8:$DD$10</definedName>
    <definedName name="vc" localSheetId="0">'[5]Fatores de Emissão'!$C$196</definedName>
    <definedName name="total_E3_categorias_biomassa">'[5]Categorias de Escopo 3'!$H$206</definedName>
    <definedName name="total_OutrasEmissoes_PFC" localSheetId="0">'[5]Categorias de Escopo 3'!$I$186</definedName>
    <definedName name="total_Cat2_PFC" localSheetId="0">'[5]Categorias de Escopo 3'!$E$54</definedName>
    <definedName name="total_RS_outras_CO2e" localSheetId="0">'[5]Resíduos sólidos'!$G$276</definedName>
    <definedName name="perc_biod_jun">'[5]Fatores Variáveis'!$J$40</definedName>
    <definedName name="lista_navio2a" localSheetId="0">[5]Listas!$CM$2:$CM$6</definedName>
    <definedName name="total_Cat4_op_CO2" localSheetId="0">'[5]Categorias de Escopo 3'!$I$31</definedName>
    <definedName name="total_PFC_CO2e_Cat14">'[5]Categorias de Escopo 3'!$F$186</definedName>
    <definedName name="total_EFL_N2O" localSheetId="0">[5]Efluentes!$E$155</definedName>
    <definedName name="total_TeD_down_ferro_concessionaria_CH4" localSheetId="0">'[5]Transp&amp;Distribuição(Downstream)'!$AA$364</definedName>
    <definedName name="eflu_tipo_tratamento_domestico">[5]Listas!$CA$3:$CA$14</definedName>
    <definedName name="total_fugitiva_HFC152" localSheetId="0">'[5]Emissões fugitivas'!$I$299</definedName>
    <definedName name="total_PI_escopo1">'[5]Processos industriais'!$F$139</definedName>
    <definedName name="total_CM_aero_CO2e" localSheetId="0">'[5]Combustão móvel'!$R$734</definedName>
    <definedName name="total_TeD_up_ferro_concessionaria_CO2" localSheetId="0">'[5]Transp.&amp; Distribuição(Upstream)'!$Z$767</definedName>
    <definedName name="total_processos_PFC9118" localSheetId="0">'[5]Processos industriais'!$Q$46</definedName>
    <definedName name="total_TeD_up_aero_carga_CO2e" localSheetId="0">'[5]Transp.&amp; Distribuição(Upstream)'!$AF$1086</definedName>
    <definedName name="total_VN_rodo_opcao3_CO2e" localSheetId="0">'[5]Viagens a Negócios'!$CH$1132</definedName>
    <definedName name="total_fugitiva_PFC4112" localSheetId="0">'[5]Emissões fugitivas'!$I$317</definedName>
    <definedName name="total_PFC_CO2e_Cat12">'[5]Categorias de Escopo 3'!$J$142</definedName>
    <definedName name="total_CM_aero_CH4" localSheetId="0">'[5]Combustão móvel'!$P$734</definedName>
    <definedName name="total_RS_compost_biomassa_E3" localSheetId="0">'[5]Resíduos sólidos da operação'!$E$162</definedName>
    <definedName name="FE_onibusv_diesel_N2O" localSheetId="0">'[5]Fatores de Emissão'!$I$270</definedName>
    <definedName name="MT">[5]Listas!$AW$3:$AW$17</definedName>
    <definedName name="total_fugitiva_extra" localSheetId="0">'[5]Emissões fugitivas'!$G$271</definedName>
    <definedName name="nome_querosene_aviacao" localSheetId="0">'[5]Fatores de Emissão'!$C$103</definedName>
    <definedName name="perc_etanol_mar">'[5]Fatores Variáveis'!$G$39</definedName>
    <definedName name="total_Cat7_CO2_biomassa" localSheetId="0">'[5]Categorias de Escopo 3'!$AH$68</definedName>
    <definedName name="Fitofis_Caatinga" localSheetId="0">[5]Listas!$DA$220:$DC$253</definedName>
    <definedName name="total_PI_biomassa" localSheetId="0">'[5]Processos industriais'!$F$141</definedName>
    <definedName name="total_remocao_Cat15" localSheetId="0">'[5]Categorias de Escopo 3'!$G$201</definedName>
    <definedName name="total_CED_extra_CO2bio" localSheetId="0">'[5]Combustão estacionária'!$G$274</definedName>
    <definedName name="gwp_halon2402" localSheetId="0">'[5]Fatores de Emissão'!$E$694</definedName>
    <definedName name="total_VN_onibus_CH4" localSheetId="0">'[5]Viagens a Negócios'!$AI$989</definedName>
    <definedName name="sin_set">'[5]Fatores Variáveis'!$M$38</definedName>
    <definedName name="total_TeD_up_rod_opcao1_CO2" localSheetId="0">'[5]Transp.&amp; Distribuição(Upstream)'!$BP$202</definedName>
    <definedName name="lista_equip_refrigeraçao" localSheetId="0">[5]Listas!$CJ$2:$CJ$10</definedName>
    <definedName name="AP">[5]Listas!$AN$3:$AN$6</definedName>
    <definedName name="total_CT_rodo_opcao3_CH4" localSheetId="0">'[5]Emissões casa-trabalho'!$BP$686</definedName>
    <definedName name="total_Cat10_remocao" localSheetId="0">'[5]Categorias de Escopo 3'!$F$157</definedName>
    <definedName name="total_ee_localizacao_CH4_outras" localSheetId="0">'[5]En. elétrica (localização)'!$F$291</definedName>
    <definedName name="total_processos_HFC161" localSheetId="0">'[5]Processos industriais'!$Q$28</definedName>
    <definedName name="gwp_SF6" localSheetId="0">'[5]Fatores de Emissão'!$E$542</definedName>
    <definedName name="total_TeD_up_rod_opcao2_CO2e" localSheetId="0">'[5]Transp.&amp; Distribuição(Upstream)'!$BU$365</definedName>
    <definedName name="total_Cat3_SF6" localSheetId="0">'[5]Categorias de Escopo 3'!$G$65</definedName>
    <definedName name="total_naoquioto_halon1211">'[5]Fugitivas - GEE não Quioto'!$P$59</definedName>
    <definedName name="total_VN_metroferro_CO2e" localSheetId="0">'[5]Viagens a Negócios'!$AC$924</definedName>
    <definedName name="total_fugitiva_extra_HFC32" localSheetId="0">'[5]Emissões fugitivas'!$O$239</definedName>
    <definedName name="total_Cat6_remocao" localSheetId="0">'[5]Categorias de Escopo 3'!$F$113</definedName>
    <definedName name="total_TeD_down_rodo_caminhao_CO2e" localSheetId="0">'[5]Transp&amp;Distribuição(Downstream)'!$AL$226</definedName>
    <definedName name="RR">[5]Listas!$BF$3:$BF$4</definedName>
    <definedName name="nome_gaso_aviacao" localSheetId="0">'[5]Fatores de Emissão'!$C$104</definedName>
    <definedName name="total_Cat1_NF3" localSheetId="0">'[5]Categorias de Escopo 3'!$C$66</definedName>
    <definedName name="total_VN_onibus_CO2" localSheetId="0">'[5]Viagens a Negócios'!$AH$989</definedName>
    <definedName name="total_TeD_up_rod_caminhao_biogenico" localSheetId="0">'[5]Transp.&amp; Distribuição(Upstream)'!$AM$528</definedName>
    <definedName name="total_fugitiva_naoQuioto">'[5]Fugitivas - GEE não Quioto'!$E$192</definedName>
    <definedName name="total_Cat9_op_HFC">'[5]Categorias de Escopo 3'!$C$122</definedName>
    <definedName name="total_AA_CO2" localSheetId="0">'[5]Atividades de agricultura'!$O$120</definedName>
    <definedName name="nome_hidroelet" localSheetId="0">[5]Listas!$Q$32</definedName>
    <definedName name="total_Cat3_CO2e" localSheetId="0">'[5]Categorias de Escopo 3'!$H$67</definedName>
    <definedName name="sin_jun">'[5]Fatores Variáveis'!$J$38</definedName>
    <definedName name="nome_GNV" localSheetId="0">'[5]Fatores de Emissão'!$C$100</definedName>
    <definedName name="lista_onibus" localSheetId="0">[5]Listas!$CO$2:$CO$3</definedName>
    <definedName name="perc_biod_jan">'[5]Fatores Variáveis'!$E$40</definedName>
    <definedName name="gwp_metilcloroform" localSheetId="0">'[5]Fatores de Emissão'!$E$697</definedName>
    <definedName name="total_Cat8_CH4" localSheetId="0">'[5]Categorias de Escopo 3'!$I$76</definedName>
    <definedName name="total_Cat5_CH4" localSheetId="0">'[5]Categorias de Escopo 3'!$AD$32</definedName>
    <definedName name="total_CT_homeoffice_CO2" localSheetId="0">'[5]Emissões casa-trabalho'!$I$757</definedName>
    <definedName name="CE">[5]Listas!$AP$3:$AP$14</definedName>
    <definedName name="total_remoçao_mud" localSheetId="0">'[5]Mudança no uso do solo'!$J$185</definedName>
    <definedName name="FE_onibusv_biodiesel_CH4" localSheetId="0">'[5]Fatores de Emissão'!$K$270</definedName>
    <definedName name="total_TeD_up_aero_carga_CO2" localSheetId="0">'[5]Transp.&amp; Distribuição(Upstream)'!$AC$1086</definedName>
    <definedName name="nome_maremotriz" localSheetId="0">[5]Listas!$Q$34</definedName>
    <definedName name="sin_fev">'[5]Fatores Variáveis'!$F$38</definedName>
    <definedName name="ve" localSheetId="0">'[5]Fatores de Emissão'!$C$198</definedName>
    <definedName name="sin_abr">'[5]Fatores Variáveis'!$H$38</definedName>
    <definedName name="total_processos_NF3" localSheetId="0">'[5]Processos industriais'!$Q$38</definedName>
    <definedName name="total_CM_rod_opcao1_CO2e" localSheetId="0">'[5]Combustão móvel'!$BC$198</definedName>
    <definedName name="MUS_MA" localSheetId="0">[5]Listas!$DA$161:$DA$217</definedName>
    <definedName name="total_CT_rodo_opcao1_CH4" localSheetId="0">'[5]Emissões casa-trabalho'!$BB$459</definedName>
    <definedName name="total_fugitiva_extra_PFC3110" localSheetId="0">'[5]Emissões fugitivas'!$O$263</definedName>
    <definedName name="gwp_HFC4310mee" localSheetId="0">'[5]Fatores de Emissão'!$E$541</definedName>
    <definedName name="total_CM_rod_opcao3_CH4" localSheetId="0">'[5]Combustão móvel'!$BP$526</definedName>
    <definedName name="total_Cat9_CH4" localSheetId="0">'[5]Categorias de Escopo 3'!$AJ$32</definedName>
    <definedName name="total_TeD_down_rod_opcao2_CO2e" localSheetId="0">'[5]Transp&amp;Distribuição(Downstream)'!$BU$164</definedName>
    <definedName name="tabela_navio_j" localSheetId="0">'[5]Fatores de Emissão'!$E$438:$K$440</definedName>
    <definedName name="total_TeD_up_ferro_N2O" localSheetId="0">'[5]Transp.&amp; Distribuição(Upstream)'!$BT$830</definedName>
    <definedName name="n_l" localSheetId="0">[5]Listas!$CN$8</definedName>
    <definedName name="total_VN_aero_passageiro_CH4" localSheetId="0">'[5]Viagens a Negócios'!$AD$797</definedName>
    <definedName name="total_Cat5_CO2" localSheetId="0">'[5]Categorias de Escopo 3'!$AD$31</definedName>
    <definedName name="total_processos_HFC152" localSheetId="0">'[5]Processos industriais'!$Q$26</definedName>
    <definedName name="total_Cat3_remocao" localSheetId="0">'[5]Categorias de Escopo 3'!$H$69</definedName>
    <definedName name="tabela_concessionarias" localSheetId="0">'[5]Fatores de Emissão'!$C$354:$F$366</definedName>
    <definedName name="total_TeD_up_rod_opcao3_CO2e" localSheetId="0">'[5]Transp.&amp; Distribuição(Upstream)'!$CH$695</definedName>
    <definedName name="total_processos_perfluorciclopropano" localSheetId="0">'[5]Processos industriais'!$Q$48</definedName>
    <definedName name="total_Cat14_remocao" localSheetId="0">'[5]Categorias de Escopo 3'!$F$201</definedName>
    <definedName name="total_Cat5_op_CH4" localSheetId="0">'[5]Categorias de Escopo 3'!$C$76</definedName>
    <definedName name="perc_biod_dez">'[5]Fatores Variáveis'!$P$40</definedName>
    <definedName name="total_naoquioto_CFC11">'[5]Fugitivas - GEE não Quioto'!$P$52</definedName>
    <definedName name="total_OutrasEmissoes_biomassa" localSheetId="0">'[5]Categorias de Escopo 3'!$I$200</definedName>
    <definedName name="total_TeD_down_rod_opcao2_CH4" localSheetId="0">'[5]Transp&amp;Distribuição(Downstream)'!$BS$164</definedName>
    <definedName name="nome_helioterm" localSheetId="0">[5]Listas!$Q$30</definedName>
    <definedName name="total_Cat9_op_NF3">'[5]Categorias de Escopo 3'!$C$154</definedName>
    <definedName name="FE_aviaop_longo_CO2" localSheetId="0">'[5]Fatores de Emissão'!$H$309</definedName>
    <definedName name="FE_diesel_N2O" localSheetId="0">'[5]Fatores de Emissão'!$J$99</definedName>
    <definedName name="PE">[5]Listas!$AZ$3:$AZ$13</definedName>
    <definedName name="gwp_HFC134" localSheetId="0">'[5]Fatores de Emissão'!$E$527</definedName>
    <definedName name="total_RS_aterro_CH4" localSheetId="0">'[5]Resíduos sólidos'!$AH$122</definedName>
    <definedName name="total_CED_N2O" localSheetId="0">'[5]Combustão estacionária'!$S$147</definedName>
    <definedName name="nome_carvao_6000" localSheetId="0">'[5]Fatores de Emissão'!$C$133</definedName>
    <definedName name="total_CM_ferro_CO2e" localSheetId="0">'[5]Combustão móvel'!$BE$596</definedName>
    <definedName name="MUS_PA" localSheetId="0">[5]Listas!$DA$258:$DA$290</definedName>
    <definedName name="total_fugitiva_tab2" localSheetId="0">'[5]Emissões fugitivas'!$H$149</definedName>
    <definedName name="nome_termoelet" localSheetId="0">[5]Listas!$Q$33</definedName>
    <definedName name="total_AA_biomassa" localSheetId="0">'[5]Atividades de agricultura'!$F$144</definedName>
    <definedName name="total_CM_rod_opcao1_CO2bio" localSheetId="0">'[5]Combustão móvel'!$BD$198</definedName>
    <definedName name="total_PFC_OutrasEmissoes_CO2e">'[5]Categorias de Escopo 3'!$J$186</definedName>
    <definedName name="total_EFL_CH4_E3" localSheetId="0">'[5]Efluentes gerados na operação'!$E$327</definedName>
    <definedName name="tabela_navio_g" localSheetId="0">'[5]Fatores de Emissão'!$E$421:$K$427</definedName>
    <definedName name="total_EFL_outras_biog" localSheetId="0">[5]Efluentes!$H$219</definedName>
    <definedName name="total_naoquioto_HCFC225cb">'[5]Fugitivas - GEE não Quioto'!$P$71</definedName>
    <definedName name="total_processos_HFC236ea" localSheetId="0">'[5]Processos industriais'!$Q$31</definedName>
    <definedName name="k_alimentos_lodo" localSheetId="0">'[5]Resíduos sólidos'!$BD$64</definedName>
    <definedName name="lista_balsas" localSheetId="0">[5]Listas!$U$30:$U$32</definedName>
    <definedName name="total_Cat6_op_CO2_biomassa" localSheetId="0">'[5]Categorias de Escopo 3'!$E$112</definedName>
    <definedName name="perc_biod_mai">'[5]Fatores Variáveis'!$I$40</definedName>
    <definedName name="FE_aviaoc_longo_N2O" localSheetId="0">'[5]Fatores de Emissão'!$J$317</definedName>
    <definedName name="total_CT_balsa_CO2" localSheetId="0">'[5]Emissões casa-trabalho'!$K$335</definedName>
    <definedName name="total_VN_metroferro_CO2" localSheetId="0">'[5]Viagens a Negócios'!$Z$924</definedName>
    <definedName name="total_CT_rodo_opcao2_N2O" localSheetId="0">'[5]Emissões casa-trabalho'!$BE$572</definedName>
    <definedName name="total_VN_escopo3">'[5]Viagens a Negócios'!$U$1203</definedName>
    <definedName name="gwp_CFC11" localSheetId="0">'[5]Fatores de Emissão'!$E$686</definedName>
    <definedName name="total_VN_rodo_opcao3_CH4" localSheetId="0">'[5]Viagens a Negócios'!$CF$1132</definedName>
    <definedName name="total_RS_outras_N2O" localSheetId="0">'[5]Resíduos sólidos'!$F$276</definedName>
    <definedName name="total_HFC_CO2e_Cat4_op">'[5]Categorias de Escopo 3'!$J$34</definedName>
    <definedName name="total_CM_CO2e">'[5]Combustão móvel'!$F$805</definedName>
    <definedName name="total_Cat4_op_PFC">'[5]Categorias de Escopo 3'!$I$54</definedName>
    <definedName name="tabela_comb_mov_Deslocamento_CT" localSheetId="0">[5]Listas!$M$18:$O$25</definedName>
    <definedName name="total_TeD_up_ferro_CO2" localSheetId="0">'[5]Transp.&amp; Distribuição(Upstream)'!$BR$830</definedName>
    <definedName name="total_Cat15_CH4" localSheetId="0">'[5]Categorias de Escopo 3'!$G$164</definedName>
    <definedName name="total_Cat8_CO2biog">'[5]Categorias de Escopo 3'!$J$112</definedName>
    <definedName name="t_2" localSheetId="0">[5]Listas!$AD$4:$AD$25</definedName>
    <definedName name="total_fugitiva_HFC236fa" localSheetId="0">'[5]Emissões fugitivas'!$I$305</definedName>
    <definedName name="total_PFC_CO2e_Cat2">'[5]Categorias de Escopo 3'!$F$54</definedName>
    <definedName name="total_fugitiva_HFC227ea" localSheetId="0">'[5]Emissões fugitivas'!$I$302</definedName>
    <definedName name="total_naoquioto_halon2402">'[5]Fugitivas - GEE não Quioto'!$P$60</definedName>
    <definedName name="total_Cat11_CO2biog">'[5]Categorias de Escopo 3'!$H$156</definedName>
    <definedName name="total_ee_compra_CO2e_residual">'[5]En. elétrica(escolha de compra)'!$E$135</definedName>
    <definedName name="total_Cat2_CO2" localSheetId="0">'[5]Categorias de Escopo 3'!$E$31</definedName>
    <definedName name="total_Cat9_remocao" localSheetId="0">'[5]Categorias de Escopo 3'!$D$157</definedName>
    <definedName name="total_perda_localizacao_N2O_outras" localSheetId="0">'[5]Perdas T&amp;D (abord. localização)'!$H$115</definedName>
    <definedName name="total_Cat9_CO2_biomassa" localSheetId="0">'[5]Categorias de Escopo 3'!$AJ$68</definedName>
    <definedName name="eflu_kgProteína_pessoa.ano">[5]Listas!$CB$63</definedName>
    <definedName name="total_TeD_up_hidro_frota_N2O" localSheetId="0">'[5]Transp.&amp; Distribuição(Upstream)'!$AD$899</definedName>
    <definedName name="MUS_CA" localSheetId="0">[5]Listas!$DA$222:$DA$253</definedName>
    <definedName name="perc_biod_jul">'[5]Fatores Variáveis'!$K$40</definedName>
    <definedName name="total_Cat13_CO2e" localSheetId="0">'[5]Categorias de Escopo 3'!$D$199</definedName>
    <definedName name="total_CT_rodo_opcao1_N2O" localSheetId="0">'[5]Emissões casa-trabalho'!$BC$459</definedName>
    <definedName name="total_perda_compra_CO2e_residual">'[5]Perdas T&amp;D (escolha de compra)'!$E$131</definedName>
    <definedName name="total_EFL_biomassa_E3" localSheetId="0">'[5]Efluentes gerados na operação'!$D$337:$E$337</definedName>
    <definedName name="total_Cat8_SF6" localSheetId="0">'[5]Categorias de Escopo 3'!$I$109</definedName>
    <definedName name="total_Cat2_N2O" localSheetId="0">'[5]Categorias de Escopo 3'!$E$33</definedName>
    <definedName name="MUS_Pan" localSheetId="0">[5]Listas!$DA$295:$DA$313</definedName>
    <definedName name="lista_energia" localSheetId="0">[5]Listas!$Q$28:$Q$34</definedName>
    <definedName name="total_RS_aterro_CH4_E3" localSheetId="0">'[5]Resíduos sólidos da operação'!$E$128</definedName>
    <definedName name="total_TeD_up_rod_opcao1_CO2bio" localSheetId="0">'[5]Transp.&amp; Distribuição(Upstream)'!$BT$202</definedName>
    <definedName name="total_Cat3_NF3" localSheetId="0">'[5]Categorias de Escopo 3'!$G$66</definedName>
    <definedName name="total_Cat12_CO2" localSheetId="0">'[5]Categorias de Escopo 3'!$I$119</definedName>
    <definedName name="total_Cat12_CO2_biomassa" localSheetId="0">'[5]Categorias de Escopo 3'!$I$156</definedName>
    <definedName name="eflu_TeorN_proteina">[5]Listas!$CB$64</definedName>
    <definedName name="total_Cat4_op_CO2_biomassa" localSheetId="0">'[5]Categorias de Escopo 3'!$I$68</definedName>
    <definedName name="total_Cat5_op_NF3">'[5]Categorias de Escopo 3'!$C$110</definedName>
    <definedName name="total_Cat2_CO2e" localSheetId="0">'[5]Categorias de Escopo 3'!$F$67</definedName>
    <definedName name="tabela_comb_movel" localSheetId="0">[5]Listas!$M$3:$O$11</definedName>
    <definedName name="total_fugitiva_NF3" localSheetId="0">'[5]Emissões fugitivas'!$I$311</definedName>
    <definedName name="total_VN_rodo_opcao3_N2O" localSheetId="0">'[5]Viagens a Negócios'!$CG$1132</definedName>
    <definedName name="total_perda_compra_CH4" localSheetId="0">'[5]Perdas T&amp;D (escolha de compra)'!$AE$97</definedName>
    <definedName name="total_Cat11_PFC" localSheetId="0">'[5]Categorias de Escopo 3'!$G$142</definedName>
    <definedName name="total_HFC_CO2e_Cat11">'[5]Categorias de Escopo 3'!$H$122</definedName>
    <definedName name="total_PFC_CO2e_Cat1">'[5]Categorias de Escopo 3'!$D$54</definedName>
    <definedName name="total_TeD_down_rod_opcao1_CO2e" localSheetId="0">'[5]Transp&amp;Distribuição(Downstream)'!$BS$102</definedName>
    <definedName name="lista_metro_trem" localSheetId="0">[5]Listas!$CQ$2:$CQ$3</definedName>
    <definedName name="nome_oleo_diesel" localSheetId="0">'[5]Fatores de Emissão'!$C$99</definedName>
    <definedName name="total_fugitiva_tab3" localSheetId="0">'[5]Emissões fugitivas'!$I$183</definedName>
    <definedName name="total_Cat6_CO2" localSheetId="0">'[5]Categorias de Escopo 3'!$AF$31</definedName>
    <definedName name="total_TeD_down_rodo_caminhao_CH4" localSheetId="0">'[5]Transp&amp;Distribuição(Downstream)'!$AJ$226</definedName>
    <definedName name="tab_FE_VN" localSheetId="0">'[5]Fatores de Emissão'!$C$307:$J$309</definedName>
    <definedName name="total_HFC_CO2e_Cat5_op">'[5]Categorias de Escopo 3'!$D$78</definedName>
    <definedName name="total_fugitiva_extra_HFC227ea" localSheetId="0">'[5]Emissões fugitivas'!$O$249</definedName>
    <definedName name="total_CT_onibus_CO2e" localSheetId="0">'[5]Emissões casa-trabalho'!$W$252</definedName>
    <definedName name="total_HFC_CO2e_Cat13">'[5]Categorias de Escopo 3'!$D$166</definedName>
    <definedName name="total_TeD_down_aero_carga_CH4" localSheetId="0">'[5]Transp&amp;Distribuição(Downstream)'!$AD$683</definedName>
    <definedName name="total_TeD_down_rodo_caminhao_biogenico" localSheetId="0">'[5]Transp&amp;Distribuição(Downstream)'!$AM$226</definedName>
    <definedName name="total_OutrasEmissoes_NF3" localSheetId="0">'[5]Categorias de Escopo 3'!$I$198</definedName>
    <definedName name="total_Cat12_remocao" localSheetId="0">'[5]Categorias de Escopo 3'!$J$157</definedName>
    <definedName name="total_Cat7_op_CH4" localSheetId="0">'[5]Categorias de Escopo 3'!$G$76</definedName>
    <definedName name="tabela_consumo" localSheetId="0">'[5]Fatores de Emissão'!$C$192:$AE$237</definedName>
    <definedName name="total_processos_HFC365mfc" localSheetId="0">'[5]Processos industriais'!$Q$35</definedName>
    <definedName name="tabela_onibus" localSheetId="0">'[5]Fatores de Emissão'!$D$245:$K$263</definedName>
    <definedName name="nome_etan_anidro" localSheetId="0">'[5]Fatores de Emissão'!$C$118</definedName>
    <definedName name="total_naoquioto_CFC114">'[5]Fugitivas - GEE não Quioto'!$P$56</definedName>
    <definedName name="total_TeD_down_aero_carga_CO2" localSheetId="0">'[5]Transp&amp;Distribuição(Downstream)'!$AC$683</definedName>
    <definedName name="total_CM_rod_opcao1_CH4" localSheetId="0">'[5]Combustão móvel'!$BA$198</definedName>
    <definedName name="lista_SIA">'[5]Fatores Variáveis'!$B$108:$C$112</definedName>
    <definedName name="total_TeD_up_rod_caminhao_N2O" localSheetId="0">'[5]Transp.&amp; Distribuição(Upstream)'!$AK$528</definedName>
    <definedName name="total_perda_compra_N2O" localSheetId="0">'[5]Perdas T&amp;D (escolha de compra)'!$AF$97</definedName>
    <definedName name="total_AA_escopo1">'[5]Atividades de agricultura'!$F$142</definedName>
    <definedName name="gwp_CFC115" localSheetId="0">'[5]Fatores de Emissão'!$E$691</definedName>
    <definedName name="lnl" localSheetId="0">'[5]Fatores de Emissão'!$E$442</definedName>
    <definedName name="vk" localSheetId="0">'[5]Fatores de Emissão'!$C$205</definedName>
    <definedName name="gwp_HFC236fa" localSheetId="0">'[5]Fatores de Emissão'!$E$537</definedName>
    <definedName name="total_Cat4_CO2" localSheetId="0">'[5]Categorias de Escopo 3'!$AB$31</definedName>
    <definedName name="FE_aviaop_medio_CO2" localSheetId="0">'[5]Fatores de Emissão'!$H$308</definedName>
    <definedName name="total_processos_PFC4112" localSheetId="0">'[5]Processos industriais'!$Q$44</definedName>
    <definedName name="total_CT_metroferro_CO2e" localSheetId="0">'[5]Emissões casa-trabalho'!$N$139</definedName>
    <definedName name="total_Cat7_op_CO2_biomassa" localSheetId="0">'[5]Categorias de Escopo 3'!$G$112</definedName>
    <definedName name="total_ee_localizacao_CO2_outras" localSheetId="0">'[5]En. elétrica (localização)'!$D$291</definedName>
    <definedName name="total_TeD_down_rod_opcao3_CO2e" localSheetId="0">'[5]Transp&amp;Distribuição(Downstream)'!$CH$292</definedName>
    <definedName name="sin_dez">'[5]Fatores Variáveis'!$P$38</definedName>
    <definedName name="total_perda_localizacao_CO2_outras" localSheetId="0">'[5]Perdas T&amp;D (abord. localização)'!$D$115</definedName>
    <definedName name="total_VN_rodo_opcao3_biogenico" localSheetId="0">'[5]Viagens a Negócios'!$CI$1132</definedName>
    <definedName name="total_fugitiva_HFC134a" localSheetId="0">'[5]Emissões fugitivas'!$I$296</definedName>
    <definedName name="total_perda_compra_biog" localSheetId="0">'[5]Perdas T&amp;D (escolha de compra)'!$AH$97</definedName>
    <definedName name="total_TeD_up_aero_CO2" localSheetId="0">'[5]Transp.&amp; Distribuição(Upstream)'!$AE$1147</definedName>
    <definedName name="total_Cat6_op_SF6">'[5]Categorias de Escopo 3'!$E$109</definedName>
    <definedName name="total_Cat10_NF3" localSheetId="0">'[5]Categorias de Escopo 3'!$E$154</definedName>
    <definedName name="total_fugitiva_extra_CH4" localSheetId="0">'[5]Emissões fugitivas'!$O$236</definedName>
    <definedName name="total_TeD_down_ferro_concessionaria_CO2" localSheetId="0">'[5]Transp&amp;Distribuição(Downstream)'!$Z$364</definedName>
    <definedName name="total_Cat11_SF6" localSheetId="0">'[5]Categorias de Escopo 3'!$G$153</definedName>
    <definedName name="total_processos_PFC116" localSheetId="0">'[5]Processos industriais'!$Q$40</definedName>
    <definedName name="total_fugitiva_HFC161" localSheetId="0">'[5]Emissões fugitivas'!$I$301</definedName>
    <definedName name="total_Cat9_op_CH4" localSheetId="0">'[5]Categorias de Escopo 3'!$C$120</definedName>
    <definedName name="total_Cat4_op_HFC">'[5]Categorias de Escopo 3'!$I$34</definedName>
    <definedName name="gwp_HFC245fa" localSheetId="0">'[5]Fatores de Emissão'!$E$539</definedName>
    <definedName name="total_TeD_up_ferro_concessionaria_N2O" localSheetId="0">'[5]Transp.&amp; Distribuição(Upstream)'!$AB$767</definedName>
    <definedName name="total_RS_outras_CO2" localSheetId="0">'[5]Resíduos sólidos'!$D$276</definedName>
    <definedName name="total_Cat14_CO2" localSheetId="0">'[5]Categorias de Escopo 3'!$E$163</definedName>
    <definedName name="lista_veiculos_E3">[5]Listas!$M$87:$M$121</definedName>
    <definedName name="total_CED_extra_CH4" localSheetId="0">'[5]Combustão estacionária'!$E$274</definedName>
    <definedName name="total_fugitiva_extra_HFC236ea" localSheetId="0">'[5]Emissões fugitivas'!$O$251</definedName>
    <definedName name="eflu_trat_sequenc" localSheetId="0">[5]Listas!$CH$3:$CH$5</definedName>
    <definedName name="lng" localSheetId="0">'[5]Fatores de Emissão'!$E$421:$E$427</definedName>
    <definedName name="total_RS_compost_N2O" localSheetId="0">'[5]Resíduos sólidos'!$E$158</definedName>
    <definedName name="gwp_NF3" localSheetId="0">'[5]Fatores de Emissão'!$E$543</definedName>
    <definedName name="total_PFC_CO2e_Cat13">'[5]Categorias de Escopo 3'!$D$186</definedName>
    <definedName name="gwp_HFC125" localSheetId="0">'[5]Fatores de Emissão'!$E$526</definedName>
    <definedName name="tabela_navio_d" localSheetId="0">'[5]Fatores de Emissão'!$E$408:$K$410</definedName>
    <definedName name="total_CM_aero_CO2" localSheetId="0">'[5]Combustão móvel'!$O$734</definedName>
    <definedName name="total_Cat9_op_N2O" localSheetId="0">'[5]Categorias de Escopo 3'!$C$121</definedName>
    <definedName name="total_CED_extra">'[5]Combustão estacionária'!$H$274</definedName>
    <definedName name="DOCf_mod" localSheetId="0">'[5]Resíduos sólidos'!$BD$67</definedName>
    <definedName name="lista_caminhao" localSheetId="0">[5]Listas!$CS$2:$CS$21</definedName>
    <definedName name="k_papel_texteis_E3" localSheetId="0">'[5]Resíduos sólidos da operação'!$BE$44</definedName>
    <definedName name="versao_ferramenta" localSheetId="0">[5]Atualizações!$B$11</definedName>
    <definedName name="eflu_DBO_removida" localSheetId="0">[5]Listas!$CB$65</definedName>
    <definedName name="nome_diesel_comercial" localSheetId="0">[5]Listas!$Q$4</definedName>
    <definedName name="total_TeD_down_aero_CO2" localSheetId="0">'[5]Transp&amp;Distribuição(Downstream)'!$AE$742</definedName>
    <definedName name="total_VN_onibus_N2O" localSheetId="0">'[5]Viagens a Negócios'!$AJ$989</definedName>
    <definedName name="total_Cat7_CO2e" localSheetId="0">'[5]Categorias de Escopo 3'!$AI$67</definedName>
    <definedName name="total_RS_compost_CH4" localSheetId="0">'[5]Resíduos sólidos'!$E$157</definedName>
    <definedName name="total_EF_escopo1">'[5]Emissões fugitivas'!$E$277</definedName>
    <definedName name="gwp_CFC12" localSheetId="0">'[5]Fatores de Emissão'!$E$687</definedName>
    <definedName name="total_Mud_solo_escopo1">'[5]Mudança no uso do solo'!$F$191</definedName>
    <definedName name="total_CM_rod_opcao2_N2O" localSheetId="0">'[5]Combustão móvel'!$BD$360</definedName>
    <definedName name="total_Cat14_N2O" localSheetId="0">'[5]Categorias de Escopo 3'!$E$165</definedName>
    <definedName name="total_fugitiva_extra_CO2" localSheetId="0">'[5]Emissões fugitivas'!$O$235</definedName>
    <definedName name="nome_carvao_3300" localSheetId="0">'[5]Fatores de Emissão'!$C$126</definedName>
    <definedName name="total_Cat1_CO2e" localSheetId="0">'[5]Categorias de Escopo 3'!$D$67</definedName>
    <definedName name="FE_aviaoc_curto_N2O" localSheetId="0">'[5]Fatores de Emissão'!$J$315</definedName>
    <definedName name="total_CED_escopo1">'[5]Combustão estacionária'!$E$281</definedName>
    <definedName name="total_CV_escopo2">'[5]Compra de Energia Térmica'!$E$112</definedName>
    <definedName name="total_Cat1_N2O" localSheetId="0">'[5]Categorias de Escopo 3'!$C$33</definedName>
    <definedName name="total_OutrasEmissoes_HFC" localSheetId="0">'[5]Categorias de Escopo 3'!$I$166</definedName>
    <definedName name="lista_comb_movel" localSheetId="0">[5]Listas!$M$3:$M$11</definedName>
    <definedName name="total_Cat4_op_SFC">'[5]Categorias de Escopo 3'!$I$65</definedName>
    <definedName name="total_Cat4_op_CH4" localSheetId="0">'[5]Categorias de Escopo 3'!$I$32</definedName>
    <definedName name="gwp_PFC116" localSheetId="0">'[5]Fatores de Emissão'!$E$545</definedName>
    <definedName name="processos_industriais_remocao" localSheetId="0">'[5]Processos industriais'!$J$133</definedName>
    <definedName name="total_fugitiva_extra_NF3" localSheetId="0">'[5]Emissões fugitivas'!$O$258</definedName>
    <definedName name="total_remocao_Cat1" localSheetId="0">'[5]Categorias de Escopo 3'!$C$69</definedName>
    <definedName name="total_perda_compra_CO2_residual" localSheetId="0">'[5]Perdas T&amp;D (escolha de compra)'!$BO$114</definedName>
    <definedName name="total_HFC_CO2e_Cat3">'[5]Categorias de Escopo 3'!$H$34</definedName>
    <definedName name="total_CM_rod_opcao1_N2O" localSheetId="0">'[5]Combustão móvel'!$BB$198</definedName>
    <definedName name="total_fugitiva_extra_PFC14" localSheetId="0">'[5]Emissões fugitivas'!$O$259</definedName>
    <definedName name="lista_comb_hidroviario" localSheetId="0">[5]Listas!$U$3:$U$8</definedName>
    <definedName name="total_remocao_Cat3" localSheetId="0">'[5]Categorias de Escopo 3'!$G$69</definedName>
    <definedName name="MG">[5]Listas!$AU$3:$AU$69</definedName>
    <definedName name="total_TeD_down_aero_carga_CO2e" localSheetId="0">'[5]Transp&amp;Distribuição(Downstream)'!$AF$683</definedName>
    <definedName name="total_fugitiva_PFC318" localSheetId="0">'[5]Emissões fugitivas'!$I$315</definedName>
    <definedName name="total_CED_N2O_biomassa" localSheetId="0">'[5]Combustão estacionária'!$V$147</definedName>
    <definedName name="total_Cat14_PFC" localSheetId="0">'[5]Categorias de Escopo 3'!$E$186</definedName>
    <definedName name="total_TeD_up_ferro_concessionaria_CH4" localSheetId="0">'[5]Transp.&amp; Distribuição(Upstream)'!$AA$767</definedName>
    <definedName name="total_perda_compra_CO2e" localSheetId="0">'[5]Perdas T&amp;D (escolha de compra)'!$AG$97</definedName>
    <definedName name="total_Cat6_CO2_biomassa" localSheetId="0">'[5]Categorias de Escopo 3'!$AF$68</definedName>
    <definedName name="total_TeD_down_ferro_concessionaria_CO2e" localSheetId="0">'[5]Transp&amp;Distribuição(Downstream)'!$AC$364</definedName>
    <definedName name="total_VN_rodo_opcao2_biogenico" localSheetId="0">'[5]Viagens a Negócios'!$BV$1087</definedName>
    <definedName name="total_Cat5_CO2e" localSheetId="0">'[5]Categorias de Escopo 3'!$AE$67</definedName>
    <definedName name="FE_aviaop_medio_CH4" localSheetId="0">'[5]Fatores de Emissão'!$I$308</definedName>
    <definedName name="total_AA_CH4" localSheetId="0">'[5]Atividades de agricultura'!$O$121</definedName>
    <definedName name="total_TeD_down_hidro_frota_CO2" localSheetId="0">'[5]Transp&amp;Distribuição(Downstream)'!$AB$496</definedName>
    <definedName name="total_remocao_Cat14" localSheetId="0">'[5]Categorias de Escopo 3'!$E$201</definedName>
    <definedName name="total_TeD_down_rod_opcao2_CO2" localSheetId="0">'[5]Transp&amp;Distribuição(Downstream)'!$BR$164</definedName>
    <definedName name="k_jardim_outros_nao_alimentos" localSheetId="0">'[5]Resíduos sólidos'!$BD$63</definedName>
    <definedName name="AC">[5]Listas!$AK$3:$AK$5</definedName>
    <definedName name="lista_navio2b" localSheetId="0">[5]Listas!$CN$2:$CN$8</definedName>
    <definedName name="total_Cat11_CO2_biomassa" localSheetId="0">'[5]Categorias de Escopo 3'!$G$156</definedName>
    <definedName name="total_CM_hidro_CO2" localSheetId="0">'[5]Combustão móvel'!$BB$666</definedName>
    <definedName name="distancia_aviao_curto" localSheetId="0">[5]Listas!$BW$2</definedName>
    <definedName name="PI">[5]Listas!$BA$3:$BA$14</definedName>
    <definedName name="total_Cat8_CO2e" localSheetId="0">'[5]Categorias de Escopo 3'!$J$111</definedName>
    <definedName name="total_RS_biomassa" localSheetId="0">'[5]Resíduos sólidos'!$E$286</definedName>
    <definedName name="sin_jan">'[5]Fatores Variáveis'!$E$38</definedName>
    <definedName name="total_Cat10_PFC" localSheetId="0">'[5]Categorias de Escopo 3'!$E$142</definedName>
    <definedName name="total_HFC_CO2e_Cat6_op">'[5]Categorias de Escopo 3'!$F$78</definedName>
    <definedName name="total_Cat3_PFC" localSheetId="0">'[5]Categorias de Escopo 3'!$G$54</definedName>
    <definedName name="gwp_CFC13" localSheetId="0">'[5]Fatores de Emissão'!$E$688</definedName>
    <definedName name="total_PFC_CO2e_Cat3">'[5]Categorias de Escopo 3'!$H$54</definedName>
    <definedName name="tabela_navio_k" localSheetId="0">'[5]Fatores de Emissão'!$E$441:$K$441</definedName>
    <definedName name="total_TeD_down_CO2e">'[5]Transp&amp;Distribuição(Downstream)'!$V$749</definedName>
    <definedName name="total_processos_CH4" localSheetId="0">'[5]Processos industriais'!$Q$16</definedName>
    <definedName name="total_fugitiva_extra_HFC245ca" localSheetId="0">'[5]Emissões fugitivas'!$O$253</definedName>
    <definedName name="total_Cat12_HFC" localSheetId="0">'[5]Categorias de Escopo 3'!$I$122</definedName>
    <definedName name="total_TeD_down_hidro_CO2bio" localSheetId="0">'[5]Transp&amp;Distribuição(Downstream)'!$BV$559</definedName>
    <definedName name="lista_navio1" localSheetId="0">[5]Listas!$CL$2:$CL$3</definedName>
    <definedName name="SC">[5]Listas!$BH$3:$BH$8</definedName>
    <definedName name="total_RS_incin_N2O_E3" localSheetId="0">'[5]Resíduos sólidos da operação'!$E$212</definedName>
    <definedName name="estados_br_E3" localSheetId="0">'[5]Resíduos sólidos da operação'!$D$52</definedName>
    <definedName name="vm" localSheetId="0">'[5]Fatores de Emissão'!$C$207</definedName>
    <definedName name="tabela_navio_l" localSheetId="0">'[5]Fatores de Emissão'!$E$442:$K$442</definedName>
    <definedName name="total_CM_extra_CO2bio" localSheetId="0">'[5]Combustão móvel'!$G$797</definedName>
    <definedName name="lista_comb_mov_Deslocamento_CT" localSheetId="0">[5]Listas!$M$18:$M$26</definedName>
    <definedName name="total_Cat14_CH4" localSheetId="0">'[5]Categorias de Escopo 3'!$E$164</definedName>
    <definedName name="FE_aviaop_medio_N2O" localSheetId="0">'[5]Fatores de Emissão'!$J$308</definedName>
    <definedName name="sin_mai">'[5]Fatores Variáveis'!$I$38</definedName>
    <definedName name="total_Cat11_N2O" localSheetId="0">'[5]Categorias de Escopo 3'!$G$121</definedName>
    <definedName name="total_processos_HFC143a" localSheetId="0">'[5]Processos industriais'!$Q$25</definedName>
    <definedName name="total_OutrasEmissoes_CH4" localSheetId="0">'[5]Categorias de Escopo 3'!$I$164</definedName>
    <definedName name="total_Cat14_NF3" localSheetId="0">'[5]Categorias de Escopo 3'!$E$198</definedName>
    <definedName name="total_VN_biomassa" localSheetId="0">'[5]Viagens a Negócios'!$U$1205</definedName>
    <definedName name="lne" localSheetId="0">'[5]Fatores de Emissão'!$E$411:$E$413</definedName>
    <definedName name="ES">[5]Listas!$AR$3:$AR$14</definedName>
    <definedName name="tabela_navio_h" localSheetId="0">'[5]Fatores de Emissão'!$E$428:$K$434</definedName>
    <definedName name="DOCf_high" localSheetId="0">'[5]Resíduos sólidos'!$BD$68</definedName>
    <definedName name="total_CM_ferro_N2O" localSheetId="0">'[5]Combustão móvel'!$BD$596</definedName>
    <definedName name="lnh" localSheetId="0">'[5]Fatores de Emissão'!$E$428:$E$434</definedName>
    <definedName name="total_CV_CH4" localSheetId="0">'[5]Compra de Energia Térmica'!$F$92</definedName>
    <definedName name="total_fugitiva_extra_HFC236cb" localSheetId="0">'[5]Emissões fugitivas'!$O$250</definedName>
    <definedName name="total_TeD_up_aero_carga_N2O" localSheetId="0">'[5]Transp.&amp; Distribuição(Upstream)'!$AE$1086</definedName>
    <definedName name="total_Cat3_CH4" localSheetId="0">'[5]Categorias de Escopo 3'!$G$32</definedName>
    <definedName name="total_OutrasEmissoes_remocao" localSheetId="0">'[5]Categorias de Escopo 3'!$J$201</definedName>
    <definedName name="DEFRA_energia">[5]Listas!$CW$13</definedName>
    <definedName name="total_OutrasEmissoes_CO2biog">'[5]Categorias de Escopo 3'!$J$200</definedName>
    <definedName name="total_Cat12_N2O" localSheetId="0">'[5]Categorias de Escopo 3'!$I$121</definedName>
    <definedName name="total_Cat6_op_CH4" localSheetId="0">'[5]Categorias de Escopo 3'!$E$76</definedName>
    <definedName name="perc_biod_nov">'[5]Fatores Variáveis'!$O$40</definedName>
    <definedName name="total_Cat6_op_PFC">'[5]Categorias de Escopo 3'!$E$98</definedName>
    <definedName name="total_Cat4_CO2biog">'[5]Categorias de Escopo 3'!$J$68</definedName>
    <definedName name="total_ee_localizacao_CO2_sin" localSheetId="0">'[5]En. elétrica (localização)'!$AD$91</definedName>
    <definedName name="nome_carvao_3100" localSheetId="0">'[5]Fatores de Emissão'!$C$125</definedName>
    <definedName name="lista_comb" localSheetId="0">[5]Listas!$G$3:$G$59</definedName>
    <definedName name="total_processos_HFC23" localSheetId="0">'[5]Processos industriais'!$Q$18</definedName>
    <definedName name="total_Cat5_op_CO2e" localSheetId="0">'[5]Categorias de Escopo 3'!$D$111</definedName>
    <definedName name="total_EFL_outras_CO2e" localSheetId="0">[5]Efluentes!$G$219</definedName>
    <definedName name="total_TeD_up_ferro_CH4" localSheetId="0">'[5]Transp.&amp; Distribuição(Upstream)'!$BS$830</definedName>
    <definedName name="total_HFC_OutrasEmissoes_CO2e">'[5]Categorias de Escopo 3'!$J$166</definedName>
    <definedName name="lna" localSheetId="0">'[5]Fatores de Emissão'!$E$390:$E$396</definedName>
    <definedName name="perc_etanol_nov">'[5]Fatores Variáveis'!$O$39</definedName>
    <definedName name="total_HFC_CO2e_Cat2">'[5]Categorias de Escopo 3'!$F$34</definedName>
    <definedName name="lnf" localSheetId="0">'[5]Fatores de Emissão'!$E$414:$E$420</definedName>
    <definedName name="total_Cat6_op_N2O" localSheetId="0">'[5]Categorias de Escopo 3'!$E$77</definedName>
    <definedName name="total_ee_compra_N2O_residual">'[5]En. elétrica(escolha de compra)'!$BQ$118</definedName>
    <definedName name="total_Cat13_CO2" localSheetId="0">'[5]Categorias de Escopo 3'!$C$163</definedName>
    <definedName name="total_TeD_up_rod_opcao1_CO2e" localSheetId="0">'[5]Transp.&amp; Distribuição(Upstream)'!$BS$202</definedName>
    <definedName name="total_processos_HFC245ca" localSheetId="0">'[5]Processos industriais'!$Q$33</definedName>
    <definedName name="total_TeD_up_ferro_concessionaria_CO2e" localSheetId="0">'[5]Transp.&amp; Distribuição(Upstream)'!$AC$767</definedName>
    <definedName name="total_EFL_CO2e_E3" localSheetId="0">'[5]Efluentes gerados na operação'!$E$329</definedName>
    <definedName name="total_RS_incin_biomassa" localSheetId="0">'[5]Resíduos sólidos'!$E$213</definedName>
    <definedName name="total_fugitiva_HFC41" localSheetId="0">'[5]Emissões fugitivas'!$I$293</definedName>
    <definedName name="total_perda_compra_biog_escopo2" localSheetId="0">'[5]Perdas T&amp;D (escolha de compra)'!$H$140</definedName>
    <definedName name="total_fugitiva_extra_HFC236fa" localSheetId="0">'[5]Emissões fugitivas'!$O$252</definedName>
    <definedName name="total_CV_CH4_biomassa" localSheetId="0">'[5]Compra de Energia Térmica'!$F$107</definedName>
    <definedName name="total_CM_aero_N2O" localSheetId="0">'[5]Combustão móvel'!$Q$734</definedName>
    <definedName name="total_fugitiva_trifluorometil" localSheetId="0">'[5]Emissões fugitivas'!$I$320</definedName>
    <definedName name="total_VN_aero_distancia_CH4" localSheetId="0">'[5]Viagens a Negócios'!$Z$859</definedName>
    <definedName name="total_fugitiva_extra_PFC9118" localSheetId="0">'[5]Emissões fugitivas'!$O$266</definedName>
    <definedName name="total_perda_compra_escopo2">'[5]Perdas T&amp;D (escolha de compra)'!$H$138</definedName>
    <definedName name="tab_FE_energia" localSheetId="0">'[5]Fatores de Emissão'!$C$452:$Q$508</definedName>
    <definedName name="total_Cat1_remocao" localSheetId="0">'[5]Categorias de Escopo 3'!$D$69</definedName>
    <definedName name="gwp_HFC227ea" localSheetId="0">'[5]Fatores de Emissão'!$E$534</definedName>
    <definedName name="t_1" localSheetId="0">[5]Listas!$AC$4:$AC$28</definedName>
    <definedName name="gwp_HFC245ca" localSheetId="0">'[5]Fatores de Emissão'!$E$538</definedName>
    <definedName name="tabela_comb_hidroviario" localSheetId="0">[5]Listas!$U$3:$W$8</definedName>
    <definedName name="total_Cat6_CO2e" localSheetId="0">'[5]Categorias de Escopo 3'!$AG$67</definedName>
    <definedName name="total_fugitiva_extra_HFC23" localSheetId="0">'[5]Emissões fugitivas'!$O$238</definedName>
    <definedName name="tabela_GWP_naoQuioto" localSheetId="0">'[5]Fatores de Emissão'!$C$686:$E$705</definedName>
    <definedName name="total_Cat11_remocao" localSheetId="0">'[5]Categorias de Escopo 3'!$H$157</definedName>
    <definedName name="vl" localSheetId="0">'[5]Fatores de Emissão'!$C$206</definedName>
    <definedName name="total_TeD_up_aero_carga_CH4" localSheetId="0">'[5]Transp.&amp; Distribuição(Upstream)'!$AD$1086</definedName>
    <definedName name="n_c" localSheetId="0">[5]Listas!$CM$4</definedName>
    <definedName name="total_fugitiva_tab1" localSheetId="0">'[5]Emissões fugitivas'!$J$111</definedName>
    <definedName name="gwp_PFC14" localSheetId="0">'[5]Fatores de Emissão'!$E$544</definedName>
    <definedName name="total_TeD_down_aero_carga_N2O" localSheetId="0">'[5]Transp&amp;Distribuição(Downstream)'!$AE$683</definedName>
    <definedName name="eflu_ocupacao" localSheetId="0">[5]Listas!$CA$51:$CB$54</definedName>
    <definedName name="perc_biod_anual" localSheetId="0">'[5]Fatores Variáveis'!$Q$40</definedName>
    <definedName name="tabela_comb_ferrovia" localSheetId="0">[5]Listas!$Q$3:$S$15</definedName>
    <definedName name="total_Cat15_N2O" localSheetId="0">'[5]Categorias de Escopo 3'!$G$165</definedName>
    <definedName name="total_processos_HFC245fa" localSheetId="0">'[5]Processos industriais'!$Q$34</definedName>
    <definedName name="total_Cat5_op_N2O" localSheetId="0">'[5]Categorias de Escopo 3'!$C$77</definedName>
    <definedName name="nome_carvao_3700" localSheetId="0">'[5]Fatores de Emissão'!$C$127</definedName>
    <definedName name="tabela_metro" localSheetId="0">'[5]Fatores de Emissão'!$C$325:$D$343</definedName>
    <definedName name="tab_FE_ced" localSheetId="0">'[5]Fatores de Emissão'!$B$27:$AB$87</definedName>
    <definedName name="total_Cat9_N2O" localSheetId="0">'[5]Categorias de Escopo 3'!$AJ$33</definedName>
    <definedName name="total_Cat8_remocao" localSheetId="0">'[5]Categorias de Escopo 3'!$J$113</definedName>
    <definedName name="k_alimentos_lodo_E3" localSheetId="0">'[5]Resíduos sólidos da operação'!$BE$47</definedName>
    <definedName name="total_TeD_up_ferro_CO2e" localSheetId="0">'[5]Transp.&amp; Distribuição(Upstream)'!$BU$830</definedName>
    <definedName name="total_Cat7_CO2biog">'[5]Categorias de Escopo 3'!$H$112</definedName>
    <definedName name="total_TeD_down_rodo_caminhao_N20" localSheetId="0">'[5]Transp&amp;Distribuição(Downstream)'!$AK$226</definedName>
    <definedName name="gwp_trifluorometil" localSheetId="0">'[5]Fatores de Emissão'!$E$552</definedName>
    <definedName name="gwp_PFC318" localSheetId="0">'[5]Fatores de Emissão'!$E$547</definedName>
    <definedName name="total_TeD_up_CO2bio" localSheetId="0">'[5]Transp.&amp; Distribuição(Upstream)'!$V$1156</definedName>
    <definedName name="total_Cat5_op_CO2_biomassa" localSheetId="0">'[5]Categorias de Escopo 3'!$C$112</definedName>
    <definedName name="gwp_perfluorociclopropano" localSheetId="0">'[5]Fatores de Emissão'!$E$553</definedName>
    <definedName name="tabela_comb_aereo" localSheetId="0">[5]Listas!$Y$3:$AA$5</definedName>
    <definedName name="total_Cat12_PFC" localSheetId="0">'[5]Categorias de Escopo 3'!$I$142</definedName>
    <definedName name="total_naoquioto_CFC12">'[5]Fugitivas - GEE não Quioto'!$P$53</definedName>
    <definedName name="total_naoquioto_HCFC22">'[5]Fugitivas - GEE não Quioto'!$P$65</definedName>
    <definedName name="total_RS_incineracao_E3">'[5]Resíduos sólidos da operação'!$E$214</definedName>
    <definedName name="total_ee_compra_CH4" localSheetId="0">'[5]En. elétrica(escolha de compra)'!$AE$99</definedName>
    <definedName name="perc_etanol_jul">'[5]Fatores Variáveis'!$K$39</definedName>
    <definedName name="perc_biod_fev">'[5]Fatores Variáveis'!$F$40</definedName>
    <definedName name="gwp_HFC152" localSheetId="0">'[5]Fatores de Emissão'!$E$531</definedName>
    <definedName name="perc_etanol_set">'[5]Fatores Variáveis'!$M$39</definedName>
    <definedName name="municipios_temp_pluv" localSheetId="0">[5]Listas!$BN$1:$BR$700</definedName>
    <definedName name="total_Cat9_CO2biog">'[5]Categorias de Escopo 3'!$D$156</definedName>
    <definedName name="total_Cat7_op_CO2" localSheetId="0">'[5]Categorias de Escopo 3'!$G$75</definedName>
    <definedName name="total_TeD_up_aero_CH4" localSheetId="0">'[5]Transp.&amp; Distribuição(Upstream)'!$AF$1147</definedName>
    <definedName name="MUS_Ce" localSheetId="0">[5]Listas!$DA$65:$DA$155</definedName>
    <definedName name="vn" localSheetId="0">'[5]Fatores de Emissão'!$C$208</definedName>
    <definedName name="total_naoquioto_HCFC124">'[5]Fugitivas - GEE não Quioto'!$P$67</definedName>
    <definedName name="municípios_br_E3" localSheetId="0">'[5]Resíduos sólidos da operação'!$D$53</definedName>
    <definedName name="total_remocao_Cat13" localSheetId="0">'[5]Categorias de Escopo 3'!$C$201</definedName>
    <definedName name="total_Cat6_op_HFC">'[5]Categorias de Escopo 3'!$E$78</definedName>
    <definedName name="total_EFL_outras_CO2" localSheetId="0">[5]Efluentes!$D$219</definedName>
    <definedName name="total_RS_incin_CH4" localSheetId="0">'[5]Resíduos sólidos'!$E$211</definedName>
    <definedName name="total_RS_compost_CO2e_E3">'[5]Resíduos sólidos da operação'!$E$161</definedName>
    <definedName name="total_TeD_up_rod_opcao1_CH4" localSheetId="0">'[5]Transp.&amp; Distribuição(Upstream)'!$BQ$202</definedName>
    <definedName name="total_processos_HFC32" localSheetId="0">'[5]Processos industriais'!$Q$19</definedName>
    <definedName name="perc_biod_set">'[5]Fatores Variáveis'!$M$40</definedName>
    <definedName name="perc_etanol_abr">'[5]Fatores Variáveis'!$H$39</definedName>
    <definedName name="lnk" localSheetId="0">'[5]Fatores de Emissão'!$E$441</definedName>
    <definedName name="lista_veiculos_eletricos">[5]Listas!$M$76:$M$82</definedName>
    <definedName name="total_CED_CO2" localSheetId="0">'[5]Combustão estacionária'!$Q$147</definedName>
    <definedName name="sin_jul">'[5]Fatores Variáveis'!$K$38</definedName>
    <definedName name="total_Cat14_CO2biog">'[5]Categorias de Escopo 3'!$F$200</definedName>
    <definedName name="t_4">[5]Listas!$AF$4</definedName>
    <definedName name="eflu_ch4_recuperado" localSheetId="0">[5]Listas!$BZ$3:$BZ$4</definedName>
    <definedName name="tabela_combustivel_frota" localSheetId="0">[5]Listas!$M$34:$O$70</definedName>
    <definedName name="total_OutrasEmissoes_CO2e" localSheetId="0">'[5]Categorias de Escopo 3'!$J$199</definedName>
    <definedName name="total_fugitiva_CH4" localSheetId="0">'[5]Emissões fugitivas'!$I$289</definedName>
    <definedName name="total_Cat8_PFC" localSheetId="0">'[5]Categorias de Escopo 3'!$I$98</definedName>
    <definedName name="nome_GNL">'[5]Fatores de Emissão'!$C$101</definedName>
    <definedName name="total_CT_onibus_N2O" localSheetId="0">'[5]Emissões casa-trabalho'!$V$252</definedName>
    <definedName name="BA">[5]Listas!$AO$3:$AO$34</definedName>
    <definedName name="total_RS_incin_biomassa_E3" localSheetId="0">'[5]Resíduos sólidos da operação'!$E$213</definedName>
    <definedName name="total_TeD_down_ferro_CO2e" localSheetId="0">'[5]Transp&amp;Distribuição(Downstream)'!$BU$427</definedName>
    <definedName name="eflu_tipo_tratamento_MCF_domestico">[5]Listas!$CA$3:$CE$14</definedName>
    <definedName name="total_TeD_up_rod_opcao3_CO2bio" localSheetId="0">'[5]Transp.&amp; Distribuição(Upstream)'!$CI$695</definedName>
    <definedName name="gwp_HFC365mfc" localSheetId="0">'[5]Fatores de Emissão'!$E$540</definedName>
    <definedName name="total_TeD_up_hidro_N2O" localSheetId="0">'[5]Transp.&amp; Distribuição(Upstream)'!$BT$962</definedName>
    <definedName name="gwp_N2O" localSheetId="0">'[5]Fatores de Emissão'!$E$522</definedName>
    <definedName name="total_VN_rodo_opcao1_CO2" localSheetId="0">'[5]Viagens a Negócios'!$BP$1043</definedName>
    <definedName name="gwp_HCFC123" localSheetId="0">'[5]Fatores de Emissão'!$E$700</definedName>
    <definedName name="total_Cat7_op_N2O" localSheetId="0">'[5]Categorias de Escopo 3'!$G$77</definedName>
    <definedName name="nome_GLP">'[5]Fatores de Emissão'!$C$102</definedName>
    <definedName name="total_CM_ferro_CO2bio" localSheetId="0">'[5]Combustão móvel'!$BF$596</definedName>
    <definedName name="total_processos_HFC143" localSheetId="0">'[5]Processos industriais'!$Q$24</definedName>
    <definedName name="total_Cat14_CO2e" localSheetId="0">'[5]Categorias de Escopo 3'!$F$199</definedName>
    <definedName name="FE_aviaop_longo_CH4" localSheetId="0">'[5]Fatores de Emissão'!$I$309</definedName>
    <definedName name="n_a" localSheetId="0">[5]Listas!$CM$2</definedName>
    <definedName name="total_perda_localizacao_CO2_sin" localSheetId="0">'[5]Perdas T&amp;D (abord. localização)'!$AD$93</definedName>
    <definedName name="gwp_PFC3110" localSheetId="0">'[5]Fatores de Emissão'!$E$548</definedName>
    <definedName name="total_processos_PFC218" localSheetId="0">'[5]Processos industriais'!$Q$41</definedName>
    <definedName name="total_perda_compra_CO2_biog_residual">'[5]Perdas T&amp;D (escolha de compra)'!$I$121</definedName>
    <definedName name="total_fugitiva_HFC4310mee" localSheetId="0">'[5]Emissões fugitivas'!$I$309</definedName>
    <definedName name="perc_etanol_anual" localSheetId="0">'[5]Fatores Variáveis'!$Q$39</definedName>
    <definedName name="gwp_HFC143a" localSheetId="0">'[5]Fatores de Emissão'!$E$530</definedName>
    <definedName name="TO">[5]Listas!$BK$3:$BK$8</definedName>
    <definedName name="total_Cat13_CH4" localSheetId="0">'[5]Categorias de Escopo 3'!$C$164</definedName>
    <definedName name="total_VN_balsa_CH4" localSheetId="0">'[5]Viagens a Negócios'!$AA$1196</definedName>
    <definedName name="total_RS_outras_biog" localSheetId="0">'[5]Resíduos sólidos'!$H$276</definedName>
    <definedName name="total_TeD_up_hidro_CO2bio" localSheetId="0">'[5]Transp.&amp; Distribuição(Upstream)'!$BV$962</definedName>
    <definedName name="total_Cat7_op">'[5]Categorias de Escopo 3'!$I$204</definedName>
    <definedName name="lista_naoQuioto" localSheetId="0">'[5]Fatores de Emissão'!$C$686:$C$705</definedName>
    <definedName name="gwp_HCFC21" localSheetId="0">'[5]Fatores de Emissão'!$E$698</definedName>
    <definedName name="total_TeD_up_rod_opcao3_CO2" localSheetId="0">'[5]Transp.&amp; Distribuição(Upstream)'!$CE$695</definedName>
    <definedName name="total_CED_CH4_biomassa" localSheetId="0">'[5]Combustão estacionária'!$U$147</definedName>
    <definedName name="lni" localSheetId="0">'[5]Fatores de Emissão'!$E$435:$E$437</definedName>
    <definedName name="Fitofis_Pampa" localSheetId="0">[5]Listas!$DA$256:$DC$290</definedName>
    <definedName name="total_Cat2_remocao" localSheetId="0">'[5]Categorias de Escopo 3'!$F$69</definedName>
    <definedName name="total_TeD_down_hidro_frota_N20" localSheetId="0">'[5]Transp&amp;Distribuição(Downstream)'!$AD$496</definedName>
    <definedName name="total_RS_compost_CO2e" localSheetId="0">'[5]Resíduos sólidos'!$E$159</definedName>
    <definedName name="tabela_FE_CM_ano" localSheetId="0">'[5]Fatores de Emissão'!$BF$142:$DF$188</definedName>
    <definedName name="gwp_HFC161" localSheetId="0">'[5]Fatores de Emissão'!$E$533</definedName>
    <definedName name="total_fugitiva_extra_HFC41" localSheetId="0">'[5]Emissões fugitivas'!$O$240</definedName>
    <definedName name="total_fugitiva_extra_HFC152a" localSheetId="0">'[5]Emissões fugitivas'!$O$247</definedName>
    <definedName name="FE_aviaoc_curto_CO2" localSheetId="0">'[5]Fatores de Emissão'!$H$315</definedName>
    <definedName name="total_OutrasEmissoes_N2O" localSheetId="0">'[5]Categorias de Escopo 3'!$I$165</definedName>
    <definedName name="total_Cat5_N2O" localSheetId="0">'[5]Categorias de Escopo 3'!$AD$33</definedName>
    <definedName name="total_Mud_solo_CO2" localSheetId="0">'[5]Mudança no uso do solo'!$Q$170</definedName>
    <definedName name="total_fugitiva_naoQuioto_tab1" localSheetId="0">'[5]Fugitivas - GEE não Quioto'!$J$102</definedName>
    <definedName name="gwp_HFC152a" localSheetId="0">'[5]Fatores de Emissão'!$E$532</definedName>
    <definedName name="FE_onibusv_diesel_CH4" localSheetId="0">'[5]Fatores de Emissão'!$H$270</definedName>
    <definedName name="total_VN_rodo_opcao1_CH4" localSheetId="0">'[5]Viagens a Negócios'!$BQ$1043</definedName>
    <definedName name="lnc" localSheetId="0">'[5]Fatores de Emissão'!$E$403:$E$407</definedName>
    <definedName name="total_CT_rodo_opcao2_CO2e" localSheetId="0">'[5]Emissões casa-trabalho'!$BF$572</definedName>
    <definedName name="total_fugitiva_extra_PFC218" localSheetId="0">'[5]Emissões fugitivas'!$O$261</definedName>
    <definedName name="n_j" localSheetId="0">[5]Listas!$CN$6</definedName>
    <definedName name="FE_onibusv_diesel_CO2" localSheetId="0">'[5]Fatores de Emissão'!$G$270</definedName>
    <definedName name="total_ee_compra_biog_escopo2">'[5]En. elétrica(escolha de compra)'!$E$144</definedName>
    <definedName name="total_TeD_up_rod_opcao2_CH4" localSheetId="0">'[5]Transp.&amp; Distribuição(Upstream)'!$BS$365</definedName>
    <definedName name="total_Cat11_HFC" localSheetId="0">'[5]Categorias de Escopo 3'!$G$122</definedName>
    <definedName name="total_VN_onibus_biogenico" localSheetId="0">'[5]Viagens a Negócios'!$AL$989</definedName>
    <definedName name="total_RS_aterro_biomassa_E3" localSheetId="0">'[5]Resíduos sólidos da operação'!$E$130</definedName>
    <definedName name="total_Cat6_CO2biog">'[5]Categorias de Escopo 3'!$F$112</definedName>
    <definedName name="FE_aviaoc_medio_CH4" localSheetId="0">'[5]Fatores de Emissão'!$I$316</definedName>
    <definedName name="SE">[5]Listas!$BI$3:$BI$5</definedName>
    <definedName name="gwp_PFC4112" localSheetId="0">'[5]Fatores de Emissão'!$E$549</definedName>
    <definedName name="total_EFL_escopo1">[5]Efluentes!$D$226</definedName>
    <definedName name="total_naoquioto_CFC115">'[5]Fugitivas - GEE não Quioto'!$P$57</definedName>
    <definedName name="total_Cat2_CH4" localSheetId="0">'[5]Categorias de Escopo 3'!$E$32</definedName>
    <definedName name="n_i" localSheetId="0">[5]Listas!$CN$5</definedName>
    <definedName name="total_RS_incin_CO2_E3" localSheetId="0">'[5]Resíduos sólidos da operação'!$E$210</definedName>
    <definedName name="total_Cat13_N2O" localSheetId="0">'[5]Categorias de Escopo 3'!$C$165</definedName>
    <definedName name="total_Cat13_CO2_biomassa" localSheetId="0">'[5]Categorias de Escopo 3'!$C$200</definedName>
    <definedName name="total_perda_localizacao_CH4_outras" localSheetId="0">'[5]Perdas T&amp;D (abord. localização)'!$F$115</definedName>
    <definedName name="distancia_aviao_medio" localSheetId="0">[5]Listas!$BW$3</definedName>
    <definedName name="total_fugitiva_HFC365mfc" localSheetId="0">'[5]Emissões fugitivas'!$I$308</definedName>
    <definedName name="perc_etanol_out">'[5]Fatores Variáveis'!$N$39</definedName>
    <definedName name="EFL_CO2e" localSheetId="0">[5]Efluentes!$E$156</definedName>
    <definedName name="total_fugitiva_HFC245fa" localSheetId="0">'[5]Emissões fugitivas'!$I$307</definedName>
    <definedName name="total_RS_aterro_biog" localSheetId="0">'[5]Resíduos sólidos'!$AH$124</definedName>
    <definedName name="total_RS_escopo1">'[5]Resíduos sólidos'!$E$284</definedName>
    <definedName name="total_CM_rod_opcao3_CO2bio" localSheetId="0">'[5]Combustão móvel'!$BS$526</definedName>
    <definedName name="FE_aviaoc_medio_N2O" localSheetId="0">'[5]Fatores de Emissão'!$J$316</definedName>
    <definedName name="total_CM_rod_opcao3_CO2" localSheetId="0">'[5]Combustão móvel'!$BO$526</definedName>
    <definedName name="total_naoquioto_CFC113">'[5]Fugitivas - GEE não Quioto'!$P$55</definedName>
    <definedName name="total_VN_balsa_CO2" localSheetId="0">'[5]Viagens a Negócios'!$Z$1196</definedName>
    <definedName name="total_Cat12_SF6" localSheetId="0">'[5]Categorias de Escopo 3'!$I$153</definedName>
    <definedName name="total_processos_SF6" localSheetId="0">'[5]Processos industriais'!$Q$37</definedName>
    <definedName name="total_TeD_up_rod_opcao3_N2O" localSheetId="0">'[5]Transp.&amp; Distribuição(Upstream)'!$CG$695</definedName>
    <definedName name="k_bulkwaste">'[5]Resíduos sólidos'!$BD$65</definedName>
    <definedName name="total_fugitiva_PFC116" localSheetId="0">'[5]Emissões fugitivas'!$I$313</definedName>
    <definedName name="gwp_bromometano" localSheetId="0">'[5]Fatores de Emissão'!$E$696</definedName>
    <definedName name="total_naoquioto_metilclor">'[5]Fugitivas - GEE não Quioto'!$P$63</definedName>
    <definedName name="gwp_PFC218" localSheetId="0">'[5]Fatores de Emissão'!$E$546</definedName>
    <definedName name="MS">[5]Listas!$AV$3:$AV$12</definedName>
    <definedName name="gwp_HFC236ea" localSheetId="0">'[5]Fatores de Emissão'!$E$536</definedName>
    <definedName name="gwp_HFC23" localSheetId="0">'[5]Fatores de Emissão'!$E$523</definedName>
    <definedName name="total_RS_aterro_CO2e_E3">'[5]Resíduos sólidos da operação'!$E$129</definedName>
    <definedName name="total_RS_compost_biomassa" localSheetId="0">'[5]Resíduos sólidos'!$E$160</definedName>
    <definedName name="Fator_recuperacao" localSheetId="0">'[5]Resíduos sólidos da operação'!$BE$54</definedName>
    <definedName name="total_RS_incin_CH4_E3" localSheetId="0">'[5]Resíduos sólidos da operação'!$E$211</definedName>
    <definedName name="total_TeD_down_hidro_CH4" localSheetId="0">'[5]Transp&amp;Distribuição(Downstream)'!$BS$559</definedName>
    <definedName name="total_Cat4_remocao" localSheetId="0">'[5]Categorias de Escopo 3'!$J$69</definedName>
    <definedName name="total_PFC_CO2e_Cat15">'[5]Categorias de Escopo 3'!$H$186</definedName>
    <definedName name="total_fugitiva_PFC3110" localSheetId="0">'[5]Emissões fugitivas'!$I$316</definedName>
    <definedName name="lista_CH4_recuperado" localSheetId="0">[5]Listas!$BT$2:$BT$4</definedName>
    <definedName name="n_b" localSheetId="0">[5]Listas!$CM$3</definedName>
    <definedName name="n_h" localSheetId="0">[5]Listas!$CN$4</definedName>
    <definedName name="total_VN_aero_passageiro_CO2e" localSheetId="0">'[5]Viagens a Negócios'!$AF$797</definedName>
    <definedName name="tabela_FE_ferrovia" localSheetId="0">'[5]Fatores de Emissão'!$C$95:$J$135</definedName>
    <definedName name="total_TeD_up_rod_opcao3_CH4" localSheetId="0">'[5]Transp.&amp; Distribuição(Upstream)'!$CF$695</definedName>
    <definedName name="total_Mud_solo_biomassa" localSheetId="0">'[5]Mudança no uso do solo'!$F$193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2" authorId="0">
      <text>
        <r>
          <rPr>
            <sz val="10"/>
            <rFont val="SimSun"/>
            <charset val="134"/>
          </rPr>
          <t>======
ID#AAABscKvhwQ
Ricardo Mattos e Dinato    (2025-10-14 21:04:48)
Veículo automotor destinado ao transporte de passageiros, com capacidade para até oito pessoas, exclusive o condutor.
Fonte: MC (2008)</t>
        </r>
      </text>
    </comment>
    <comment ref="B3" authorId="0">
      <text>
        <r>
          <rPr>
            <sz val="10"/>
            <rFont val="SimSun"/>
            <charset val="134"/>
          </rPr>
          <t>======
ID#AAABscYS5jM
Ricardo Mattos e Dinato    (2025-10-14 21:04:48)
Veículo automotor destinado ao transporte de passageiros, com capacidade para até oito pessoas, exclusive o condutor.
Fonte: MC (2008)</t>
        </r>
      </text>
    </comment>
    <comment ref="B4" authorId="0">
      <text>
        <r>
          <rPr>
            <sz val="10"/>
            <rFont val="SimSun"/>
            <charset val="134"/>
          </rPr>
          <t>======
ID#AAABscYS5gk
Ricardo Mattos e Dinato    (2025-10-14 21:04:48)
Veículo automotor de duas rodas, com ou sem side-car, dirigido por condutor em posição montada.
Fonte: MC (2008)</t>
        </r>
      </text>
    </comment>
    <comment ref="B5" authorId="0">
      <text>
        <r>
          <rPr>
            <sz val="10"/>
            <rFont val="SimSun"/>
            <charset val="134"/>
          </rPr>
          <t>======
ID#AAABscYS5eI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6" authorId="0">
      <text>
        <r>
          <rPr>
            <sz val="10"/>
            <rFont val="SimSun"/>
            <charset val="134"/>
          </rPr>
          <t>======
ID#AAABtwan1sg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7" authorId="0">
      <text>
        <r>
          <rPr>
            <sz val="10"/>
            <rFont val="SimSun"/>
            <charset val="134"/>
          </rPr>
          <t>======
ID#AAABscKvhqI
Ricardo Mattos e Dinato    (2025-10-14 21:04:47)
Veículo automotor destinado ao transporte de passageiros, com capacidade para até oito pessoas, exclusive o condutor.
Fonte: MC (2008)</t>
        </r>
      </text>
    </comment>
    <comment ref="B8" authorId="0">
      <text>
        <r>
          <rPr>
            <sz val="10"/>
            <rFont val="SimSun"/>
            <charset val="134"/>
          </rPr>
          <t>======
ID#AAABtwan1oQ
Ricardo Mattos e Dinato    (2025-10-14 21:04:48)
Veículo automotor destinado ao transporte de passageiros, com capacidade para até oito pessoas, exclusive o condutor.
Fonte: MC (2008)</t>
        </r>
      </text>
    </comment>
    <comment ref="B9" authorId="0">
      <text>
        <r>
          <rPr>
            <sz val="10"/>
            <rFont val="SimSun"/>
            <charset val="134"/>
          </rPr>
          <t>======
ID#AAABscYS5eY
Ricardo Mattos e Dinato    (2025-10-14 21:04:48)
Veículo automotor de duas rodas, com ou sem side-car, dirigido por condutor em posição montada.
Fonte: MC (2008)</t>
        </r>
      </text>
    </comment>
    <comment ref="B10" authorId="0">
      <text>
        <r>
          <rPr>
            <sz val="10"/>
            <rFont val="SimSun"/>
            <charset val="134"/>
          </rPr>
          <t>======
ID#AAABtwan1rk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1" authorId="0">
      <text>
        <r>
          <rPr>
            <sz val="10"/>
            <rFont val="SimSun"/>
            <charset val="134"/>
          </rPr>
          <t>======
ID#AAABscYS5eM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2" authorId="0">
      <text>
        <r>
          <rPr>
            <sz val="10"/>
            <rFont val="SimSun"/>
            <charset val="134"/>
          </rPr>
          <t>======
ID#AAABscKvhus
Ricardo Mattos e Dinato    (2025-10-14 21:04:48)
Veículo automotor destinado ao transporte de passageiros, com capacidade para até oito pessoas, exclusive o condutor.
Fonte: MC (2008)</t>
        </r>
      </text>
    </comment>
    <comment ref="B13" authorId="0">
      <text>
        <r>
          <rPr>
            <sz val="10"/>
            <rFont val="SimSun"/>
            <charset val="134"/>
          </rPr>
          <t>======
ID#AAABscYS5fw
Ricardo Mattos e Dinato    (2025-10-14 21:04:48)
Veículo automotor destinado ao transporte de passageiros, com capacidade para até oito pessoas, exclusive o condutor.
Fonte: MC (2008)</t>
        </r>
      </text>
    </comment>
    <comment ref="B14" authorId="0">
      <text>
        <r>
          <rPr>
            <sz val="10"/>
            <rFont val="SimSun"/>
            <charset val="134"/>
          </rPr>
          <t>======
ID#AAABscKvhrU
Ricardo Mattos e Dinato    (2025-10-14 21:04:47)
Veículo automotor de duas rodas, com ou sem side-car, dirigido por condutor em posição montada.
Fonte: MC (2008)</t>
        </r>
      </text>
    </comment>
    <comment ref="B15" authorId="0">
      <text>
        <r>
          <rPr>
            <sz val="10"/>
            <rFont val="SimSun"/>
            <charset val="134"/>
          </rPr>
          <t>======
ID#AAABtwan1rg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6" authorId="0">
      <text>
        <r>
          <rPr>
            <sz val="10"/>
            <rFont val="SimSun"/>
            <charset val="134"/>
          </rPr>
          <t>======
ID#AAABscYS5hE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7" authorId="0">
      <text>
        <r>
          <rPr>
            <sz val="10"/>
            <rFont val="SimSun"/>
            <charset val="134"/>
          </rPr>
          <t>======
ID#AAABscKvhsY
Ricardo Mattos e Dinato    (2025-10-14 21:04:47)
Veículo automotor destinado ao transporte de passageiros, com capacidade para até oito pessoas, exclusive o condutor.
Fonte: MC (2008)</t>
        </r>
      </text>
    </comment>
    <comment ref="B18" authorId="0">
      <text>
        <r>
          <rPr>
            <sz val="10"/>
            <rFont val="SimSun"/>
            <charset val="134"/>
          </rPr>
          <t>======
ID#AAABscKvhv8
Ricardo Mattos e Dinato    (2025-10-14 21:04:48)
Veículo automotor destinado ao transporte de passageiros, com capacidade para até oito pessoas, exclusive o condutor.
Fonte: MC (2008)</t>
        </r>
      </text>
    </comment>
    <comment ref="B19" authorId="0">
      <text>
        <r>
          <rPr>
            <sz val="10"/>
            <rFont val="SimSun"/>
            <charset val="134"/>
          </rPr>
          <t>======
ID#AAABscYS5jU
Ricardo Mattos e Dinato    (2025-10-14 21:04:48)
Veículo automotor de duas rodas, com ou sem side-car, dirigido por condutor em posição montada.
Fonte: MC (2008)</t>
        </r>
      </text>
    </comment>
    <comment ref="B20" authorId="0">
      <text>
        <r>
          <rPr>
            <sz val="10"/>
            <rFont val="SimSun"/>
            <charset val="134"/>
          </rPr>
          <t>======
ID#AAABtwan1sU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 authorId="0">
      <text>
        <r>
          <rPr>
            <sz val="10"/>
            <rFont val="SimSun"/>
            <charset val="134"/>
          </rPr>
          <t>======
ID#AAABtwan1ok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2" authorId="0">
      <text>
        <r>
          <rPr>
            <sz val="10"/>
            <rFont val="SimSun"/>
            <charset val="134"/>
          </rPr>
          <t>======
ID#AAABscKvhwo
Ricardo Mattos e Dinato    (2025-10-14 21:04:48)
Veículo automotor destinado ao transporte de passageiros, com capacidade para até oito pessoas, exclusive o condutor.
Fonte: MC (2008)</t>
        </r>
      </text>
    </comment>
    <comment ref="B23" authorId="0">
      <text>
        <r>
          <rPr>
            <sz val="10"/>
            <rFont val="SimSun"/>
            <charset val="134"/>
          </rPr>
          <t>======
ID#AAABtwan1r0
Ricardo Mattos e Dinato    (2025-10-14 21:04:48)
Veículo automotor destinado ao transporte de passageiros, com capacidade para até oito pessoas, exclusive o condutor.
Fonte: MC (2008)</t>
        </r>
      </text>
    </comment>
    <comment ref="B24" authorId="0">
      <text>
        <r>
          <rPr>
            <sz val="10"/>
            <rFont val="SimSun"/>
            <charset val="134"/>
          </rPr>
          <t>======
ID#AAABscYS5fM
Ricardo Mattos e Dinato    (2025-10-14 21:04:48)
Veículo automotor de duas rodas, com ou sem side-car, dirigido por condutor em posição montada.
Fonte: MC (2008)</t>
        </r>
      </text>
    </comment>
    <comment ref="B25" authorId="0">
      <text>
        <r>
          <rPr>
            <sz val="10"/>
            <rFont val="SimSun"/>
            <charset val="134"/>
          </rPr>
          <t>======
ID#AAABscYS5i0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6" authorId="0">
      <text>
        <r>
          <rPr>
            <sz val="10"/>
            <rFont val="SimSun"/>
            <charset val="134"/>
          </rPr>
          <t>======
ID#AAABscYS5eA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7" authorId="0">
      <text>
        <r>
          <rPr>
            <sz val="10"/>
            <rFont val="SimSun"/>
            <charset val="134"/>
          </rPr>
          <t>======
ID#AAABscYS5f8
Ricardo Mattos e Dinato    (2025-10-14 21:04:48)
Veículo automotor destinado ao transporte de passageiros, com capacidade para até oito pessoas, exclusive o condutor.
Fonte: MC (2008)</t>
        </r>
      </text>
    </comment>
    <comment ref="B28" authorId="0">
      <text>
        <r>
          <rPr>
            <sz val="10"/>
            <rFont val="SimSun"/>
            <charset val="134"/>
          </rPr>
          <t>======
ID#AAABscKvhsU
Ricardo Mattos e Dinato    (2025-10-14 21:04:47)
Veículo automotor destinado ao transporte de passageiros, com capacidade para até oito pessoas, exclusive o condutor.
Fonte: MC (2008)</t>
        </r>
      </text>
    </comment>
    <comment ref="B29" authorId="0">
      <text>
        <r>
          <rPr>
            <sz val="10"/>
            <rFont val="SimSun"/>
            <charset val="134"/>
          </rPr>
          <t>======
ID#AAABtwan1o4
Ricardo Mattos e Dinato    (2025-10-14 21:04:48)
Veículo automotor de duas rodas, com ou sem side-car, dirigido por condutor em posição montada.
Fonte: MC (2008)</t>
        </r>
      </text>
    </comment>
    <comment ref="B30" authorId="0">
      <text>
        <r>
          <rPr>
            <sz val="10"/>
            <rFont val="SimSun"/>
            <charset val="134"/>
          </rPr>
          <t>======
ID#AAABscKvhqg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1" authorId="0">
      <text>
        <r>
          <rPr>
            <sz val="10"/>
            <rFont val="SimSun"/>
            <charset val="134"/>
          </rPr>
          <t>======
ID#AAABscKvhpQ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2" authorId="0">
      <text>
        <r>
          <rPr>
            <sz val="10"/>
            <rFont val="SimSun"/>
            <charset val="134"/>
          </rPr>
          <t>======
ID#AAABscKvhs0
Ricardo Mattos e Dinato    (2025-10-14 21:04:48)
Veículo automotor destinado ao transporte de passageiros, com capacidade para até oito pessoas, exclusive o condutor.
Fonte: MC (2008)</t>
        </r>
      </text>
    </comment>
    <comment ref="B33" authorId="0">
      <text>
        <r>
          <rPr>
            <sz val="10"/>
            <rFont val="SimSun"/>
            <charset val="134"/>
          </rPr>
          <t>======
ID#AAABtwan1o0
Ricardo Mattos e Dinato    (2025-10-14 21:04:48)
Veículo automotor destinado ao transporte de passageiros, com capacidade para até oito pessoas, exclusive o condutor.
Fonte: MC (2008)</t>
        </r>
      </text>
    </comment>
    <comment ref="B34" authorId="0">
      <text>
        <r>
          <rPr>
            <sz val="10"/>
            <rFont val="SimSun"/>
            <charset val="134"/>
          </rPr>
          <t>======
ID#AAABscKvhq8
Ricardo Mattos e Dinato    (2025-10-14 21:04:47)
Veículo automotor de duas rodas, com ou sem side-car, dirigido por condutor em posição montada.
Fonte: MC (2008)</t>
        </r>
      </text>
    </comment>
    <comment ref="B35" authorId="0">
      <text>
        <r>
          <rPr>
            <sz val="10"/>
            <rFont val="SimSun"/>
            <charset val="134"/>
          </rPr>
          <t>======
ID#AAABscKvhuk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6" authorId="0">
      <text>
        <r>
          <rPr>
            <sz val="10"/>
            <rFont val="SimSun"/>
            <charset val="134"/>
          </rPr>
          <t>======
ID#AAABtwan1rE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7" authorId="0">
      <text>
        <r>
          <rPr>
            <sz val="10"/>
            <rFont val="SimSun"/>
            <charset val="134"/>
          </rPr>
          <t>======
ID#AAABscYS5hw
Ricardo Mattos e Dinato    (2025-10-14 21:04:48)
Veículo automotor destinado ao transporte de passageiros, com capacidade para até oito pessoas, exclusive o condutor.
Fonte: MC (2008)</t>
        </r>
      </text>
    </comment>
    <comment ref="B38" authorId="0">
      <text>
        <r>
          <rPr>
            <sz val="10"/>
            <rFont val="SimSun"/>
            <charset val="134"/>
          </rPr>
          <t>======
ID#AAABtwan1qk
Ricardo Mattos e Dinato    (2025-10-14 21:04:48)
Veículo automotor destinado ao transporte de passageiros, com capacidade para até oito pessoas, exclusive o condutor.
Fonte: MC (2008)</t>
        </r>
      </text>
    </comment>
    <comment ref="B39" authorId="0">
      <text>
        <r>
          <rPr>
            <sz val="10"/>
            <rFont val="SimSun"/>
            <charset val="134"/>
          </rPr>
          <t>======
ID#AAABscKvhpY
Ricardo Mattos e Dinato    (2025-10-14 21:04:47)
Veículo automotor de duas rodas, com ou sem side-car, dirigido por condutor em posição montada.
Fonte: MC (2008)</t>
        </r>
      </text>
    </comment>
    <comment ref="B40" authorId="0">
      <text>
        <r>
          <rPr>
            <sz val="10"/>
            <rFont val="SimSun"/>
            <charset val="134"/>
          </rPr>
          <t>======
ID#AAABtwan1qI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1" authorId="0">
      <text>
        <r>
          <rPr>
            <sz val="10"/>
            <rFont val="SimSun"/>
            <charset val="134"/>
          </rPr>
          <t>======
ID#AAABtwan1qU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2" authorId="0">
      <text>
        <r>
          <rPr>
            <sz val="10"/>
            <rFont val="SimSun"/>
            <charset val="134"/>
          </rPr>
          <t>======
ID#AAABtwan1oc
Ricardo Mattos e Dinato    (2025-10-14 21:04:48)
Veículo automotor destinado ao transporte de passageiros, com capacidade para até oito pessoas, exclusive o condutor.
Fonte: MC (2008)</t>
        </r>
      </text>
    </comment>
    <comment ref="B43" authorId="0">
      <text>
        <r>
          <rPr>
            <sz val="10"/>
            <rFont val="SimSun"/>
            <charset val="134"/>
          </rPr>
          <t>======
ID#AAABscKvhtY
Ricardo Mattos e Dinato    (2025-10-14 21:04:48)
Veículo automotor destinado ao transporte de passageiros, com capacidade para até oito pessoas, exclusive o condutor.
Fonte: MC (2008)</t>
        </r>
      </text>
    </comment>
    <comment ref="B44" authorId="0">
      <text>
        <r>
          <rPr>
            <sz val="10"/>
            <rFont val="SimSun"/>
            <charset val="134"/>
          </rPr>
          <t>======
ID#AAABscKvhuU
Ricardo Mattos e Dinato    (2025-10-14 21:04:48)
Veículo automotor de duas rodas, com ou sem side-car, dirigido por condutor em posição montada.
Fonte: MC (2008)</t>
        </r>
      </text>
    </comment>
    <comment ref="B45" authorId="0">
      <text>
        <r>
          <rPr>
            <sz val="10"/>
            <rFont val="SimSun"/>
            <charset val="134"/>
          </rPr>
          <t>======
ID#AAABscKvhqU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6" authorId="0">
      <text>
        <r>
          <rPr>
            <sz val="10"/>
            <rFont val="SimSun"/>
            <charset val="134"/>
          </rPr>
          <t>======
ID#AAABscYS5d0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7" authorId="0">
      <text>
        <r>
          <rPr>
            <sz val="10"/>
            <rFont val="SimSun"/>
            <charset val="134"/>
          </rPr>
          <t>======
ID#AAABscKvhrk
Ricardo Mattos e Dinato    (2025-10-14 21:04:47)
Veículo automotor destinado ao transporte de passageiros, com capacidade para até oito pessoas, exclusive o condutor.
Fonte: MC (2008)</t>
        </r>
      </text>
    </comment>
    <comment ref="B48" authorId="0">
      <text>
        <r>
          <rPr>
            <sz val="10"/>
            <rFont val="SimSun"/>
            <charset val="134"/>
          </rPr>
          <t>======
ID#AAABtwan1qY
Ricardo Mattos e Dinato    (2025-10-14 21:04:48)
Veículo automotor destinado ao transporte de passageiros, com capacidade para até oito pessoas, exclusive o condutor.
Fonte: MC (2008)</t>
        </r>
      </text>
    </comment>
    <comment ref="B49" authorId="0">
      <text>
        <r>
          <rPr>
            <sz val="10"/>
            <rFont val="SimSun"/>
            <charset val="134"/>
          </rPr>
          <t>======
ID#AAABscYS5hQ
Ricardo Mattos e Dinato    (2025-10-14 21:04:48)
Veículo automotor de duas rodas, com ou sem side-car, dirigido por condutor em posição montada.
Fonte: MC (2008)</t>
        </r>
      </text>
    </comment>
    <comment ref="B50" authorId="0">
      <text>
        <r>
          <rPr>
            <sz val="10"/>
            <rFont val="SimSun"/>
            <charset val="134"/>
          </rPr>
          <t>======
ID#AAABtwan1sw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1" authorId="0">
      <text>
        <r>
          <rPr>
            <sz val="10"/>
            <rFont val="SimSun"/>
            <charset val="134"/>
          </rPr>
          <t>======
ID#AAABscYS5fI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2" authorId="0">
      <text>
        <r>
          <rPr>
            <sz val="10"/>
            <rFont val="SimSun"/>
            <charset val="134"/>
          </rPr>
          <t>======
ID#AAABscYS5dk
Ricardo Mattos e Dinato    (2025-10-14 21:04:48)
Veículo automotor destinado ao transporte de passageiros, com capacidade para até oito pessoas, exclusive o condutor.
Fonte: MC (2008)</t>
        </r>
      </text>
    </comment>
    <comment ref="B53" authorId="0">
      <text>
        <r>
          <rPr>
            <sz val="10"/>
            <rFont val="SimSun"/>
            <charset val="134"/>
          </rPr>
          <t>======
ID#AAABscYS5jw
Ricardo Mattos e Dinato    (2025-10-14 21:04:48)
Veículo automotor destinado ao transporte de passageiros, com capacidade para até oito pessoas, exclusive o condutor.
Fonte: MC (2008)</t>
        </r>
      </text>
    </comment>
    <comment ref="B54" authorId="0">
      <text>
        <r>
          <rPr>
            <sz val="10"/>
            <rFont val="SimSun"/>
            <charset val="134"/>
          </rPr>
          <t>======
ID#AAABscYS5hU
Ricardo Mattos e Dinato    (2025-10-14 21:04:48)
Veículo automotor de duas rodas, com ou sem side-car, dirigido por condutor em posição montada.
Fonte: MC (2008)</t>
        </r>
      </text>
    </comment>
    <comment ref="B55" authorId="0">
      <text>
        <r>
          <rPr>
            <sz val="10"/>
            <rFont val="SimSun"/>
            <charset val="134"/>
          </rPr>
          <t>======
ID#AAABscYS5c0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6" authorId="0">
      <text>
        <r>
          <rPr>
            <sz val="10"/>
            <rFont val="SimSun"/>
            <charset val="134"/>
          </rPr>
          <t>======
ID#AAABscYS5hI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7" authorId="0">
      <text>
        <r>
          <rPr>
            <sz val="10"/>
            <rFont val="SimSun"/>
            <charset val="134"/>
          </rPr>
          <t>======
ID#AAABtwan1q0
Ricardo Mattos e Dinato    (2025-10-14 21:04:48)
Veículo automotor destinado ao transporte de passageiros, com capacidade para até oito pessoas, exclusive o condutor.
Fonte: MC (2008)</t>
        </r>
      </text>
    </comment>
    <comment ref="B58" authorId="0">
      <text>
        <r>
          <rPr>
            <sz val="10"/>
            <rFont val="SimSun"/>
            <charset val="134"/>
          </rPr>
          <t>======
ID#AAABscKvhp8
Ricardo Mattos e Dinato    (2025-10-14 21:04:47)
Veículo automotor destinado ao transporte de passageiros, com capacidade para até oito pessoas, exclusive o condutor.
Fonte: MC (2008)</t>
        </r>
      </text>
    </comment>
    <comment ref="B59" authorId="0">
      <text>
        <r>
          <rPr>
            <sz val="10"/>
            <rFont val="SimSun"/>
            <charset val="134"/>
          </rPr>
          <t>======
ID#AAABscYS5dM
Ricardo Mattos e Dinato    (2025-10-14 21:04:48)
Veículo automotor de duas rodas, com ou sem side-car, dirigido por condutor em posição montada.
Fonte: MC (2008)</t>
        </r>
      </text>
    </comment>
    <comment ref="B60" authorId="0">
      <text>
        <r>
          <rPr>
            <sz val="10"/>
            <rFont val="SimSun"/>
            <charset val="134"/>
          </rPr>
          <t>======
ID#AAABscYS5js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61" authorId="0">
      <text>
        <r>
          <rPr>
            <sz val="10"/>
            <rFont val="SimSun"/>
            <charset val="134"/>
          </rPr>
          <t>======
ID#AAABscYS5ds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List>
</comments>
</file>

<file path=xl/comments2.xml><?xml version="1.0" encoding="utf-8"?>
<comments xmlns="http://schemas.openxmlformats.org/spreadsheetml/2006/main">
  <authors>
    <author/>
  </authors>
  <commentList>
    <comment ref="B2" authorId="0">
      <text>
        <r>
          <rPr>
            <sz val="10"/>
            <rFont val="SimSun"/>
            <charset val="134"/>
          </rPr>
          <t>======
ID#AAABscKvhr0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 authorId="0">
      <text>
        <r>
          <rPr>
            <sz val="10"/>
            <rFont val="SimSun"/>
            <charset val="134"/>
          </rPr>
          <t>======
ID#AAABscKvhvw
Ricardo Mattos e Dinato    (2025-10-14 21:04:48)
Veículo automotor de transporte coletivo com capacidade para até vinte passageiros.
Fonte: MC (2008)</t>
        </r>
      </text>
    </comment>
    <comment ref="B4" authorId="0">
      <text>
        <r>
          <rPr>
            <sz val="10"/>
            <rFont val="SimSun"/>
            <charset val="134"/>
          </rPr>
          <t>======
ID#AAABscYS5jI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5" authorId="0">
      <text>
        <r>
          <rPr>
            <sz val="10"/>
            <rFont val="SimSun"/>
            <charset val="134"/>
          </rPr>
          <t>======
ID#AAABscKvhvc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6" authorId="0">
      <text>
        <r>
          <rPr>
            <sz val="10"/>
            <rFont val="SimSun"/>
            <charset val="134"/>
          </rPr>
          <t>======
ID#AAABscKvhxw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7" authorId="0">
      <text>
        <r>
          <rPr>
            <sz val="10"/>
            <rFont val="SimSun"/>
            <charset val="134"/>
          </rPr>
          <t>======
ID#AAABtwan1sE
Ricardo Mattos e Dinato    (2025-10-14 21:04:48)
Veículo automotor de transporte coletivo com capacidade para até vinte passageiros.
Fonte: MC (2008)</t>
        </r>
      </text>
    </comment>
    <comment ref="B8" authorId="0">
      <text>
        <r>
          <rPr>
            <sz val="10"/>
            <rFont val="SimSun"/>
            <charset val="134"/>
          </rPr>
          <t>======
ID#AAABscYS5es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9" authorId="0">
      <text>
        <r>
          <rPr>
            <sz val="10"/>
            <rFont val="SimSun"/>
            <charset val="134"/>
          </rPr>
          <t>======
ID#AAABscYS5dQ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0" authorId="0">
      <text>
        <r>
          <rPr>
            <sz val="10"/>
            <rFont val="SimSun"/>
            <charset val="134"/>
          </rPr>
          <t>======
ID#AAABscKvhpc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1" authorId="0">
      <text>
        <r>
          <rPr>
            <sz val="10"/>
            <rFont val="SimSun"/>
            <charset val="134"/>
          </rPr>
          <t>======
ID#AAABscYS5ho
Ricardo Mattos e Dinato    (2025-10-14 21:04:48)
Veículo automotor de transporte coletivo com capacidade para até vinte passageiros.
Fonte: MC (2008)</t>
        </r>
      </text>
    </comment>
    <comment ref="B12" authorId="0">
      <text>
        <r>
          <rPr>
            <sz val="10"/>
            <rFont val="SimSun"/>
            <charset val="134"/>
          </rPr>
          <t>======
ID#AAABscYS5dA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3" authorId="0">
      <text>
        <r>
          <rPr>
            <sz val="10"/>
            <rFont val="SimSun"/>
            <charset val="134"/>
          </rPr>
          <t>======
ID#AAABscKvhws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4" authorId="0">
      <text>
        <r>
          <rPr>
            <sz val="10"/>
            <rFont val="SimSun"/>
            <charset val="134"/>
          </rPr>
          <t>======
ID#AAABtwan1pA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5" authorId="0">
      <text>
        <r>
          <rPr>
            <sz val="10"/>
            <rFont val="SimSun"/>
            <charset val="134"/>
          </rPr>
          <t>======
ID#AAABscKvhpM
Ricardo Mattos e Dinato    (2025-10-14 21:04:47)
Veículo automotor de transporte coletivo com capacidade para até vinte passageiros.
Fonte: MC (2008)</t>
        </r>
      </text>
    </comment>
    <comment ref="B16" authorId="0">
      <text>
        <r>
          <rPr>
            <sz val="10"/>
            <rFont val="SimSun"/>
            <charset val="134"/>
          </rPr>
          <t>======
ID#AAABscKvhvg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7" authorId="0">
      <text>
        <r>
          <rPr>
            <sz val="10"/>
            <rFont val="SimSun"/>
            <charset val="134"/>
          </rPr>
          <t>======
ID#AAABtwan1ps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8" authorId="0">
      <text>
        <r>
          <rPr>
            <sz val="10"/>
            <rFont val="SimSun"/>
            <charset val="134"/>
          </rPr>
          <t>======
ID#AAABscKvhqY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9" authorId="0">
      <text>
        <r>
          <rPr>
            <sz val="10"/>
            <rFont val="SimSun"/>
            <charset val="134"/>
          </rPr>
          <t>======
ID#AAABscKvhs8
Ricardo Mattos e Dinato    (2025-10-14 21:04:48)
Veículo automotor de transporte coletivo com capacidade para até vinte passageiros.
Fonte: MC (2008)</t>
        </r>
      </text>
    </comment>
    <comment ref="B20" authorId="0">
      <text>
        <r>
          <rPr>
            <sz val="10"/>
            <rFont val="SimSun"/>
            <charset val="134"/>
          </rPr>
          <t>======
ID#AAABtwan1qw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21" authorId="0">
      <text>
        <r>
          <rPr>
            <sz val="10"/>
            <rFont val="SimSun"/>
            <charset val="134"/>
          </rPr>
          <t>======
ID#AAABscKvhsE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22" authorId="0">
      <text>
        <r>
          <rPr>
            <sz val="10"/>
            <rFont val="SimSun"/>
            <charset val="134"/>
          </rPr>
          <t>======
ID#AAABscKvhww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3" authorId="0">
      <text>
        <r>
          <rPr>
            <sz val="10"/>
            <rFont val="SimSun"/>
            <charset val="134"/>
          </rPr>
          <t>======
ID#AAABscYS5io
Ricardo Mattos e Dinato    (2025-10-14 21:04:48)
Veículo automotor de transporte coletivo com capacidade para até vinte passageiros.
Fonte: MC (2008)</t>
        </r>
      </text>
    </comment>
    <comment ref="B24" authorId="0">
      <text>
        <r>
          <rPr>
            <sz val="10"/>
            <rFont val="SimSun"/>
            <charset val="134"/>
          </rPr>
          <t>======
ID#AAABscKvhuQ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25" authorId="0">
      <text>
        <r>
          <rPr>
            <sz val="10"/>
            <rFont val="SimSun"/>
            <charset val="134"/>
          </rPr>
          <t>======
ID#AAABscKvhso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26" authorId="0">
      <text>
        <r>
          <rPr>
            <sz val="10"/>
            <rFont val="SimSun"/>
            <charset val="134"/>
          </rPr>
          <t>======
ID#AAABscYS5j4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7" authorId="0">
      <text>
        <r>
          <rPr>
            <sz val="10"/>
            <rFont val="SimSun"/>
            <charset val="134"/>
          </rPr>
          <t>======
ID#AAABscYS5eQ
Ricardo Mattos e Dinato    (2025-10-14 21:04:48)
Veículo automotor de transporte coletivo com capacidade para até vinte passageiros.
Fonte: MC (2008)</t>
        </r>
      </text>
    </comment>
    <comment ref="B28" authorId="0">
      <text>
        <r>
          <rPr>
            <sz val="10"/>
            <rFont val="SimSun"/>
            <charset val="134"/>
          </rPr>
          <t>======
ID#AAABscKvhrE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29" authorId="0">
      <text>
        <r>
          <rPr>
            <sz val="10"/>
            <rFont val="SimSun"/>
            <charset val="134"/>
          </rPr>
          <t>======
ID#AAABtwan1qE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30" authorId="0">
      <text>
        <r>
          <rPr>
            <sz val="10"/>
            <rFont val="SimSun"/>
            <charset val="134"/>
          </rPr>
          <t>======
ID#AAABscKvhpo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1" authorId="0">
      <text>
        <r>
          <rPr>
            <sz val="10"/>
            <rFont val="SimSun"/>
            <charset val="134"/>
          </rPr>
          <t>======
ID#AAABscKvhss
Ricardo Mattos e Dinato    (2025-10-14 21:04:47)
Veículo automotor de transporte coletivo com capacidade para até vinte passageiros.
Fonte: MC (2008)</t>
        </r>
      </text>
    </comment>
    <comment ref="B32" authorId="0">
      <text>
        <r>
          <rPr>
            <sz val="10"/>
            <rFont val="SimSun"/>
            <charset val="134"/>
          </rPr>
          <t>======
ID#AAABtwan1rU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33" authorId="0">
      <text>
        <r>
          <rPr>
            <sz val="10"/>
            <rFont val="SimSun"/>
            <charset val="134"/>
          </rPr>
          <t>======
ID#AAABscKvhsw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34" authorId="0">
      <text>
        <r>
          <rPr>
            <sz val="10"/>
            <rFont val="SimSun"/>
            <charset val="134"/>
          </rPr>
          <t>======
ID#AAABtwan1qM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5" authorId="0">
      <text>
        <r>
          <rPr>
            <sz val="10"/>
            <rFont val="SimSun"/>
            <charset val="134"/>
          </rPr>
          <t>======
ID#AAABscKvht0
Ricardo Mattos e Dinato    (2025-10-14 21:04:48)
Veículo automotor de transporte coletivo com capacidade para até vinte passageiros.
Fonte: MC (2008)</t>
        </r>
      </text>
    </comment>
    <comment ref="B36" authorId="0">
      <text>
        <r>
          <rPr>
            <sz val="10"/>
            <rFont val="SimSun"/>
            <charset val="134"/>
          </rPr>
          <t>======
ID#AAABscKvhxg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37" authorId="0">
      <text>
        <r>
          <rPr>
            <sz val="10"/>
            <rFont val="SimSun"/>
            <charset val="134"/>
          </rPr>
          <t>======
ID#AAABscKvhtU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38" authorId="0">
      <text>
        <r>
          <rPr>
            <sz val="10"/>
            <rFont val="SimSun"/>
            <charset val="134"/>
          </rPr>
          <t>======
ID#AAABscYS5dg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9" authorId="0">
      <text>
        <r>
          <rPr>
            <sz val="10"/>
            <rFont val="SimSun"/>
            <charset val="134"/>
          </rPr>
          <t>======
ID#AAABscKvhxU
Ricardo Mattos e Dinato    (2025-10-14 21:04:48)
Veículo automotor de transporte coletivo com capacidade para até vinte passageiros.
Fonte: MC (2008)</t>
        </r>
      </text>
    </comment>
    <comment ref="B40" authorId="0">
      <text>
        <r>
          <rPr>
            <sz val="10"/>
            <rFont val="SimSun"/>
            <charset val="134"/>
          </rPr>
          <t>======
ID#AAABscKvhw8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41" authorId="0">
      <text>
        <r>
          <rPr>
            <sz val="10"/>
            <rFont val="SimSun"/>
            <charset val="134"/>
          </rPr>
          <t>======
ID#AAABscKvhrc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42" authorId="0">
      <text>
        <r>
          <rPr>
            <sz val="10"/>
            <rFont val="SimSun"/>
            <charset val="134"/>
          </rPr>
          <t>======
ID#AAABscKvhts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3" authorId="0">
      <text>
        <r>
          <rPr>
            <sz val="10"/>
            <rFont val="SimSun"/>
            <charset val="134"/>
          </rPr>
          <t>======
ID#AAABscYS5iM
Ricardo Mattos e Dinato    (2025-10-14 21:04:48)
Veículo automotor de transporte coletivo com capacidade para até vinte passageiros.
Fonte: MC (2008)</t>
        </r>
      </text>
    </comment>
    <comment ref="B44" authorId="0">
      <text>
        <r>
          <rPr>
            <sz val="10"/>
            <rFont val="SimSun"/>
            <charset val="134"/>
          </rPr>
          <t>======
ID#AAABscKvhto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45" authorId="0">
      <text>
        <r>
          <rPr>
            <sz val="10"/>
            <rFont val="SimSun"/>
            <charset val="134"/>
          </rPr>
          <t>======
ID#AAABscKvhtQ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46" authorId="0">
      <text>
        <r>
          <rPr>
            <sz val="10"/>
            <rFont val="SimSun"/>
            <charset val="134"/>
          </rPr>
          <t>======
ID#AAABscKvhsc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7" authorId="0">
      <text>
        <r>
          <rPr>
            <sz val="10"/>
            <rFont val="SimSun"/>
            <charset val="134"/>
          </rPr>
          <t>======
ID#AAABscYS5go
Ricardo Mattos e Dinato    (2025-10-14 21:04:48)
Veículo automotor de transporte coletivo com capacidade para até vinte passageiros.
Fonte: MC (2008)</t>
        </r>
      </text>
    </comment>
    <comment ref="B48" authorId="0">
      <text>
        <r>
          <rPr>
            <sz val="10"/>
            <rFont val="SimSun"/>
            <charset val="134"/>
          </rPr>
          <t>======
ID#AAABscKvhvs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49" authorId="0">
      <text>
        <r>
          <rPr>
            <sz val="10"/>
            <rFont val="SimSun"/>
            <charset val="134"/>
          </rPr>
          <t>======
ID#AAABscKvhu8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List>
</comments>
</file>

<file path=xl/comments3.xml><?xml version="1.0" encoding="utf-8"?>
<comments xmlns="http://schemas.openxmlformats.org/spreadsheetml/2006/main">
  <authors>
    <author/>
  </authors>
  <commentList>
    <comment ref="B2" authorId="0">
      <text>
        <r>
          <rPr>
            <sz val="10"/>
            <rFont val="SimSun"/>
            <charset val="134"/>
          </rPr>
          <t>======
ID#AAABscYS5gA
Ricardo Mattos e Dinato    (2025-10-14 21:04:48)
Veículo automotor destinado ao transporte de passageiros, com capacidade para até oito pessoas, exclusive o condutor.
Fonte: MC (2008)</t>
        </r>
      </text>
    </comment>
    <comment ref="B3" authorId="0">
      <text>
        <r>
          <rPr>
            <sz val="10"/>
            <rFont val="SimSun"/>
            <charset val="134"/>
          </rPr>
          <t>======
ID#AAABtwan1rI
Ricardo Mattos e Dinato    (2025-10-14 21:04:48)
Veículo automotor destinado ao transporte de passageiros, com capacidade para até oito pessoas, exclusive o condutor.
Fonte: MC (2008)</t>
        </r>
      </text>
    </comment>
    <comment ref="B4" authorId="0">
      <text>
        <r>
          <rPr>
            <sz val="10"/>
            <rFont val="SimSun"/>
            <charset val="134"/>
          </rPr>
          <t>======
ID#AAABtwan1sY
Ricardo Mattos e Dinato    (2025-10-14 21:04:48)
Veículo automotor destinado ao transporte de passageiros, com capacidade para até oito pessoas, exclusive o condutor.
Fonte: MC (2008)</t>
        </r>
      </text>
    </comment>
    <comment ref="B5" authorId="0">
      <text>
        <r>
          <rPr>
            <sz val="10"/>
            <rFont val="SimSun"/>
            <charset val="134"/>
          </rPr>
          <t>======
ID#AAABtwan1qQ
Ricardo Mattos e Dinato    (2025-10-14 21:04:48)
Veículo automotor destinado ao transporte de passageiros, com capacidade para até oito pessoas, exclusive o condutor.
Fonte: MC (2008)</t>
        </r>
      </text>
    </comment>
    <comment ref="B6" authorId="0">
      <text>
        <r>
          <rPr>
            <sz val="10"/>
            <rFont val="SimSun"/>
            <charset val="134"/>
          </rPr>
          <t>======
ID#AAABtwan1rs
Ricardo Mattos e Dinato    (2025-10-14 21:04:48)
Veículo automotor destinado ao transporte de passageiros, com capacidade para até oito pessoas, exclusive o condutor.
Fonte: MC (2008)</t>
        </r>
      </text>
    </comment>
    <comment ref="B7" authorId="0">
      <text>
        <r>
          <rPr>
            <sz val="10"/>
            <rFont val="SimSun"/>
            <charset val="134"/>
          </rPr>
          <t>======
ID#AAABtwan1pE
Ricardo Mattos e Dinato    (2025-10-14 21:04:48)
Veículo automotor destinado ao transporte de passageiros, com capacidade para até oito pessoas, exclusive o condutor.
Fonte: MC (2008)</t>
        </r>
      </text>
    </comment>
    <comment ref="B8" authorId="0">
      <text>
        <r>
          <rPr>
            <sz val="10"/>
            <rFont val="SimSun"/>
            <charset val="134"/>
          </rPr>
          <t>======
ID#AAABscKvhqw
Ricardo Mattos e Dinato    (2025-10-14 21:04:47)
Veículo automotor destinado ao transporte de passageiros, com capacidade para até oito pessoas, exclusive o condutor.
Fonte: MC (2008)</t>
        </r>
      </text>
    </comment>
    <comment ref="B9" authorId="0">
      <text>
        <r>
          <rPr>
            <sz val="10"/>
            <rFont val="SimSun"/>
            <charset val="134"/>
          </rPr>
          <t>======
ID#AAABscKvhu4
Ricardo Mattos e Dinato    (2025-10-14 21:04:48)
Veículo automotor destinado ao transporte de passageiros, com capacidade para até oito pessoas, exclusive o condutor.
Fonte: MC (2008)</t>
        </r>
      </text>
    </comment>
    <comment ref="B10" authorId="0">
      <text>
        <r>
          <rPr>
            <sz val="10"/>
            <rFont val="SimSun"/>
            <charset val="134"/>
          </rPr>
          <t>======
ID#AAABscKvhpU
Ricardo Mattos e Dinato    (2025-10-14 21:04:47)
Veículo automotor destinado ao transporte de passageiros, com capacidade para até oito pessoas, exclusive o condutor.
Fonte: MC (2008)</t>
        </r>
      </text>
    </comment>
    <comment ref="B11" authorId="0">
      <text>
        <r>
          <rPr>
            <sz val="10"/>
            <rFont val="SimSun"/>
            <charset val="134"/>
          </rPr>
          <t>======
ID#AAABscKvhxE
Ricardo Mattos e Dinato    (2025-10-14 21:04:48)
Veículo automotor destinado ao transporte de passageiros, com capacidade para até oito pessoas, exclusive o condutor.
Fonte: MC (2008)</t>
        </r>
      </text>
    </comment>
    <comment ref="B12" authorId="0">
      <text>
        <r>
          <rPr>
            <sz val="10"/>
            <rFont val="SimSun"/>
            <charset val="134"/>
          </rPr>
          <t>======
ID#AAABscYS5g4
Ricardo Mattos e Dinato    (2025-10-14 21:04:48)
Veículo automotor destinado ao transporte de passageiros, com capacidade para até oito pessoas, exclusive o condutor.
Fonte: MC (2008)</t>
        </r>
      </text>
    </comment>
    <comment ref="B13" authorId="0">
      <text>
        <r>
          <rPr>
            <sz val="10"/>
            <rFont val="SimSun"/>
            <charset val="134"/>
          </rPr>
          <t>======
ID#AAABscKvhrg
Ricardo Mattos e Dinato    (2025-10-14 21:04:47)
Veículo automotor destinado ao transporte de passageiros, com capacidade para até oito pessoas, exclusive o condutor.
Fonte: MC (2008)</t>
        </r>
      </text>
    </comment>
  </commentList>
</comments>
</file>

<file path=xl/comments4.xml><?xml version="1.0" encoding="utf-8"?>
<comments xmlns="http://schemas.openxmlformats.org/spreadsheetml/2006/main">
  <authors>
    <author/>
  </authors>
  <commentList>
    <comment ref="B46" authorId="0">
      <text>
        <r>
          <rPr>
            <sz val="10"/>
            <rFont val="SimSun"/>
            <charset val="134"/>
          </rPr>
          <t>======
ID#AAABscKvhxQ
Lucas cesilla de souza    (2025-10-14 21:04:48)
50% umidade</t>
        </r>
      </text>
    </comment>
  </commentList>
</comments>
</file>

<file path=xl/comments5.xml><?xml version="1.0" encoding="utf-8"?>
<comments xmlns="http://schemas.openxmlformats.org/spreadsheetml/2006/main">
  <authors>
    <author/>
  </authors>
  <commentList>
    <comment ref="A1" authorId="0">
      <text>
        <r>
          <rPr>
            <sz val="10"/>
            <rFont val="SimSun"/>
            <charset val="134"/>
          </rPr>
          <t>======
ID#AAABtwan1oE
Tiago Jesus    (2025-10-14 21:04:48)
Tabela 3. Fatores de emissão por utilização de combustíveis fósseis em fontes móveis</t>
        </r>
      </text>
    </comment>
    <comment ref="B4" authorId="0">
      <text>
        <r>
          <rPr>
            <sz val="10"/>
            <rFont val="SimSun"/>
            <charset val="134"/>
          </rPr>
          <t>======
ID#AAABtwan1pI
GVces    (2025-10-14 21:04:48)
A unidade do Poder Calorífico Inferior do GNV é kcal/m³.</t>
        </r>
      </text>
    </comment>
    <comment ref="A12" authorId="0">
      <text>
        <r>
          <rPr>
            <sz val="10"/>
            <rFont val="SimSun"/>
            <charset val="134"/>
          </rPr>
          <t>======
ID#AAABtwan1q4
Tiago Jesus    (2025-10-14 21:04:48)
Tabela 4. Fatores de emissão por utilização biocombustível em fontes móveis</t>
        </r>
      </text>
    </comment>
    <comment ref="B14" authorId="0">
      <text>
        <r>
          <rPr>
            <sz val="10"/>
            <rFont val="SimSun"/>
            <charset val="134"/>
          </rPr>
          <t>======
ID#AAABscYS5i8
Tiago Zillio Soares    (2025-10-14 21:04:48)
A unidade do Poder Calorífico Inferior do biometano é kcal/m³.</t>
        </r>
      </text>
    </comment>
  </commentList>
</comments>
</file>

<file path=xl/comments6.xml><?xml version="1.0" encoding="utf-8"?>
<comments xmlns="http://schemas.openxmlformats.org/spreadsheetml/2006/main">
  <authors>
    <author/>
  </authors>
  <commentList>
    <comment ref="A1" authorId="0">
      <text>
        <r>
          <rPr>
            <sz val="10"/>
            <rFont val="SimSun"/>
            <charset val="134"/>
          </rPr>
          <t>======
ID#AAABscYS5e0
Tiago Jesus    (2025-10-14 21:04:48)
Tabela 14. Fatores de emissão para transporte de passageiro em metrô</t>
        </r>
      </text>
    </comment>
    <comment ref="B2" authorId="0">
      <text>
        <r>
          <rPr>
            <sz val="10"/>
            <rFont val="SimSun"/>
            <charset val="134"/>
          </rPr>
          <t>======
ID#AAABscYS5gY
Aletea Cristina Avila Madacki    (2025-10-14 21:04:48)
Estimativa igual ao dado de emissão mais antigo disponível (2008).</t>
        </r>
      </text>
    </comment>
    <comment ref="B3" authorId="0">
      <text>
        <r>
          <rPr>
            <sz val="10"/>
            <rFont val="SimSun"/>
            <charset val="134"/>
          </rPr>
          <t>======
ID#AAABscKvhxY
Aletea Cristina Avila Madacki    (2025-10-14 21:04:48)
Estimativa igual ao dado de emissão mais antigo disponível (2008).</t>
        </r>
      </text>
    </comment>
  </commentList>
</comments>
</file>

<file path=xl/comments7.xml><?xml version="1.0" encoding="utf-8"?>
<comments xmlns="http://schemas.openxmlformats.org/spreadsheetml/2006/main">
  <authors>
    <author/>
  </authors>
  <commentList>
    <comment ref="B1" authorId="0">
      <text>
        <r>
          <rPr>
            <sz val="10"/>
            <rFont val="SimSun"/>
            <charset val="134"/>
          </rPr>
          <t>======
ID#AAABscYS5ec
Tiago Jesus    (2025-10-14 21:04:48)
Tabela 15. Fatores de emissão para transporte de passageiros em trem</t>
        </r>
      </text>
    </comment>
    <comment ref="C2" authorId="0">
      <text>
        <r>
          <rPr>
            <sz val="10"/>
            <rFont val="SimSun"/>
            <charset val="134"/>
          </rPr>
          <t>======
ID#AAABtwan1p8
Ricardo Mattos e Dinato    (2025-10-14 21:04:48)
O valor fornecido pelo DEFRA de CO2e/p.km foi dividido pelo FE do grid do Reino Unido.
Utilizamos como base os valores fornecidos para os trens classificados como "light rail train" pois são os que mais se assemelham aos trens nacionais.</t>
        </r>
      </text>
    </comment>
    <comment ref="A3" authorId="0">
      <text>
        <r>
          <rPr>
            <sz val="10"/>
            <rFont val="SimSun"/>
            <charset val="134"/>
          </rPr>
          <t>======
ID#AAABtwan1s0
Tiago Jesus    (2025-10-14 21:04:48)
Atualizar. Repetimos 2023</t>
        </r>
      </text>
    </comment>
    <comment ref="C3" authorId="0">
      <text>
        <r>
          <rPr>
            <sz val="10"/>
            <rFont val="SimSun"/>
            <charset val="134"/>
          </rPr>
          <t>======
ID#AAABscKvhxI
Ricardo Mattos e Dinato    (2025-10-14 21:04:48)
O valor fornecido pelo DEFRA de CO2e/p.km foi dividido pelo FE do grid do Reino Unido.
Utilizamos como base os valores fornecidos para os trens classificados como "light rail train" pois são os que mais se assemelham aos trens nacionais.</t>
        </r>
      </text>
    </comment>
  </commentList>
</comments>
</file>

<file path=xl/comments8.xml><?xml version="1.0" encoding="utf-8"?>
<comments xmlns="http://schemas.openxmlformats.org/spreadsheetml/2006/main">
  <authors>
    <author/>
  </authors>
  <commentList>
    <comment ref="A1" authorId="0">
      <text>
        <r>
          <rPr>
            <sz val="10"/>
            <rFont val="SimSun"/>
            <charset val="134"/>
          </rPr>
          <t>======
ID#AAABscYS5is
Tiago Jesus    (2025-10-14 21:04:48)
Tabela 17. Fatores de emissão para transporte de passageiros em balsas</t>
        </r>
      </text>
    </comment>
  </commentList>
</comments>
</file>

<file path=xl/comments9.xml><?xml version="1.0" encoding="utf-8"?>
<comments xmlns="http://schemas.openxmlformats.org/spreadsheetml/2006/main">
  <authors>
    <author/>
  </authors>
  <commentList>
    <comment ref="B2" authorId="0">
      <text>
        <r>
          <rPr>
            <sz val="10"/>
            <rFont val="SimSun"/>
            <charset val="134"/>
          </rPr>
          <t>======
ID#AAABscYS5eg
Ricardo Mattos e Dinato    (2025-10-14 21:04:48)
Veículo automotor destinado ao transporte de passageiros, com capacidade para até oito pessoas, exclusive o condutor.
Fonte: MC (2008)</t>
        </r>
      </text>
    </comment>
    <comment ref="B3" authorId="0">
      <text>
        <r>
          <rPr>
            <sz val="10"/>
            <rFont val="SimSun"/>
            <charset val="134"/>
          </rPr>
          <t>======
ID#AAABscYS5ek
Ricardo Mattos e Dinato    (2025-10-14 21:04:48)
Veículo automotor destinado ao transporte de passageiros, com capacidade para até oito pessoas, exclusive o condutor.
Fonte: MC (2008)</t>
        </r>
      </text>
    </comment>
    <comment ref="B4" authorId="0">
      <text>
        <r>
          <rPr>
            <sz val="10"/>
            <rFont val="SimSun"/>
            <charset val="134"/>
          </rPr>
          <t>======
ID#AAABscKvhxM
Ricardo Mattos e Dinato    (2025-10-14 21:04:48)
Veículo automotor destinado ao transporte de passageiros, com capacidade para até oito pessoas, exclusive o condutor.
Fonte: MC (2008)</t>
        </r>
      </text>
    </comment>
    <comment ref="B5" authorId="0">
      <text>
        <r>
          <rPr>
            <sz val="10"/>
            <rFont val="SimSun"/>
            <charset val="134"/>
          </rPr>
          <t>======
ID#AAABscKvhwI
Ricardo Mattos e Dinato    (2025-10-14 21:04:48)
Veículo automotor destinado ao transporte de passageiros, com capacidade para até oito pessoas, exclusive o condutor.
Fonte: MC (2008)</t>
        </r>
      </text>
    </comment>
    <comment ref="B6" authorId="0">
      <text>
        <r>
          <rPr>
            <sz val="10"/>
            <rFont val="SimSun"/>
            <charset val="134"/>
          </rPr>
          <t>======
ID#AAABscYS5h8
Ricardo Mattos e Dinato    (2025-10-14 21:04:48)
Veículo automotor destinado ao transporte de passageiros, com capacidade para até oito pessoas, exclusive o condutor.
Fonte: MC (2008)</t>
        </r>
      </text>
    </comment>
    <comment ref="B7" authorId="0">
      <text>
        <r>
          <rPr>
            <sz val="10"/>
            <rFont val="SimSun"/>
            <charset val="134"/>
          </rPr>
          <t>======
ID#AAABscKvhxo
Ricardo Mattos e Dinato    (2025-10-14 21:04:48)
Veículo automotor destinado ao transporte de passageiros, com capacidade para até oito pessoas, exclusive o condutor.
Fonte: MC (2008)</t>
        </r>
      </text>
    </comment>
    <comment ref="B8" authorId="0">
      <text>
        <r>
          <rPr>
            <sz val="10"/>
            <rFont val="SimSun"/>
            <charset val="134"/>
          </rPr>
          <t>======
ID#AAABtwan1po
Ricardo Mattos e Dinato    (2025-10-14 21:04:48)
Veículo automotor destinado ao transporte de passageiros, com capacidade para até oito pessoas, exclusive o condutor.
Fonte: MC (2008)</t>
        </r>
      </text>
    </comment>
    <comment ref="B9" authorId="0">
      <text>
        <r>
          <rPr>
            <sz val="10"/>
            <rFont val="SimSun"/>
            <charset val="134"/>
          </rPr>
          <t>======
ID#AAABscYS5fY
Ricardo Mattos e Dinato    (2025-10-14 21:04:48)
Veículo automotor destinado ao transporte de passageiros, com capacidade para até oito pessoas, exclusive o condutor.
Fonte: MC (2008)</t>
        </r>
      </text>
    </comment>
    <comment ref="B10" authorId="0">
      <text>
        <r>
          <rPr>
            <sz val="10"/>
            <rFont val="SimSun"/>
            <charset val="134"/>
          </rPr>
          <t>======
ID#AAABscKvhpw
Ricardo Mattos e Dinato    (2025-10-14 21:04:47)
Veículo automotor destinado ao transporte de passageiros, com capacidade para até oito pessoas, exclusive o condutor.
Fonte: MC (2008)</t>
        </r>
      </text>
    </comment>
    <comment ref="B11" authorId="0">
      <text>
        <r>
          <rPr>
            <sz val="10"/>
            <rFont val="SimSun"/>
            <charset val="134"/>
          </rPr>
          <t>======
ID#AAABscYS5g0
Ricardo Mattos e Dinato    (2025-10-14 21:04:48)
Veículo automotor destinado ao transporte de passageiros, com capacidade para até oito pessoas, exclusive o condutor.
Fonte: MC (2008)</t>
        </r>
      </text>
    </comment>
    <comment ref="B12" authorId="0">
      <text>
        <r>
          <rPr>
            <sz val="10"/>
            <rFont val="SimSun"/>
            <charset val="134"/>
          </rPr>
          <t>======
ID#AAABtwan1pU
Ricardo Mattos e Dinato    (2025-10-14 21:04:48)
Veículo automotor de duas rodas, com ou sem side-car, dirigido por condutor em posição montada.
Fonte: MC (2008)</t>
        </r>
      </text>
    </comment>
    <comment ref="B13" authorId="0">
      <text>
        <r>
          <rPr>
            <sz val="10"/>
            <rFont val="SimSun"/>
            <charset val="134"/>
          </rPr>
          <t>======
ID#AAABtwan1pg
Ricardo Mattos e Dinato    (2025-10-14 21:04:48)
Veículo automotor de duas rodas, com ou sem side-car, dirigido por condutor em posição montada.
Fonte: MC (2008)</t>
        </r>
      </text>
    </comment>
    <comment ref="B14" authorId="0">
      <text>
        <r>
          <rPr>
            <sz val="10"/>
            <rFont val="SimSun"/>
            <charset val="134"/>
          </rPr>
          <t>======
ID#AAABscKvhvY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5" authorId="0">
      <text>
        <r>
          <rPr>
            <sz val="10"/>
            <rFont val="SimSun"/>
            <charset val="134"/>
          </rPr>
          <t>======
ID#AAABscYS5fg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6" authorId="0">
      <text>
        <r>
          <rPr>
            <sz val="10"/>
            <rFont val="SimSun"/>
            <charset val="134"/>
          </rPr>
          <t>======
ID#AAABscKvhr4
Ricardo Mattos e Dinato    (2025-10-14 21:04:47)
Veículo automotor destinado ao transporte de passageiros, com capacidade para até oito pessoas, exclusive o condutor.
Fonte: MC (2008)</t>
        </r>
      </text>
    </comment>
    <comment ref="B17" authorId="0">
      <text>
        <r>
          <rPr>
            <sz val="10"/>
            <rFont val="SimSun"/>
            <charset val="134"/>
          </rPr>
          <t>======
ID#AAABscKvhps
Ricardo Mattos e Dinato    (2025-10-14 21:04:47)
Veículo automotor destinado ao transporte de passageiros, com capacidade para até oito pessoas, exclusive o condutor.
Fonte: MC (2008)</t>
        </r>
      </text>
    </comment>
    <comment ref="B18" authorId="0">
      <text>
        <r>
          <rPr>
            <sz val="10"/>
            <rFont val="SimSun"/>
            <charset val="134"/>
          </rPr>
          <t>======
ID#AAABscKvhxA
Ricardo Mattos e Dinato    (2025-10-14 21:04:48)
Veículo automotor de duas rodas, com ou sem side-car, dirigido por condutor em posição montada.
Fonte: MC (2008)</t>
        </r>
      </text>
    </comment>
    <comment ref="B19" authorId="0">
      <text>
        <r>
          <rPr>
            <sz val="10"/>
            <rFont val="SimSun"/>
            <charset val="134"/>
          </rPr>
          <t>======
ID#AAABscYS5jA
Ricardo Mattos e Dinato    (2025-10-14 21:04:48)
Veículo automotor de duas rodas, com ou sem side-car, dirigido por condutor em posição montada.
Fonte: MC (2008)</t>
        </r>
      </text>
    </comment>
    <comment ref="B20" authorId="0">
      <text>
        <r>
          <rPr>
            <sz val="10"/>
            <rFont val="SimSun"/>
            <charset val="134"/>
          </rPr>
          <t>======
ID#AAABtwan1pk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 authorId="0">
      <text>
        <r>
          <rPr>
            <sz val="10"/>
            <rFont val="SimSun"/>
            <charset val="134"/>
          </rPr>
          <t>======
ID#AAABscYS5i4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2" authorId="0">
      <text>
        <r>
          <rPr>
            <sz val="10"/>
            <rFont val="SimSun"/>
            <charset val="134"/>
          </rPr>
          <t>======
ID#AAABscYS5fU
Ricardo Mattos e Dinato    (2025-10-14 21:04:48)
Veículo automotor destinado ao transporte de passageiros, com capacidade para até oito pessoas, exclusive o condutor.
Fonte: MC (2008)</t>
        </r>
      </text>
    </comment>
    <comment ref="B23" authorId="0">
      <text>
        <r>
          <rPr>
            <sz val="10"/>
            <rFont val="SimSun"/>
            <charset val="134"/>
          </rPr>
          <t>======
ID#AAABscYS5jE
Ricardo Mattos e Dinato    (2025-10-14 21:04:48)
Veículo automotor destinado ao transporte de passageiros, com capacidade para até oito pessoas, exclusive o condutor.
Fonte: MC (2008)</t>
        </r>
      </text>
    </comment>
    <comment ref="B24" authorId="0">
      <text>
        <r>
          <rPr>
            <sz val="10"/>
            <rFont val="SimSun"/>
            <charset val="134"/>
          </rPr>
          <t>======
ID#AAABscKvhvE
Ricardo Mattos e Dinato    (2025-10-14 21:04:48)
Veículo automotor de duas rodas, com ou sem side-car, dirigido por condutor em posição montada.
Fonte: MC (2008)</t>
        </r>
      </text>
    </comment>
    <comment ref="B25" authorId="0">
      <text>
        <r>
          <rPr>
            <sz val="10"/>
            <rFont val="SimSun"/>
            <charset val="134"/>
          </rPr>
          <t>======
ID#AAABscYS5cw
Ricardo Mattos e Dinato    (2025-10-14 21:04:48)
Veículo automotor de duas rodas, com ou sem side-car, dirigido por condutor em posição montada.
Fonte: MC (2008)</t>
        </r>
      </text>
    </comment>
    <comment ref="B26" authorId="0">
      <text>
        <r>
          <rPr>
            <sz val="10"/>
            <rFont val="SimSun"/>
            <charset val="134"/>
          </rPr>
          <t>======
ID#AAABscKvhq0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7" authorId="0">
      <text>
        <r>
          <rPr>
            <sz val="10"/>
            <rFont val="SimSun"/>
            <charset val="134"/>
          </rPr>
          <t>======
ID#AAABtwan1qo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8" authorId="0">
      <text>
        <r>
          <rPr>
            <sz val="10"/>
            <rFont val="SimSun"/>
            <charset val="134"/>
          </rPr>
          <t>======
ID#AAABtwan1sk
Ricardo Mattos e Dinato    (2025-10-14 21:04:48)
Veículo automotor destinado ao transporte de passageiros, com capacidade para até oito pessoas, exclusive o condutor.
Fonte: MC (2008)</t>
        </r>
      </text>
    </comment>
    <comment ref="B29" authorId="0">
      <text>
        <r>
          <rPr>
            <sz val="10"/>
            <rFont val="SimSun"/>
            <charset val="134"/>
          </rPr>
          <t>======
ID#AAABscYS5jg
Ricardo Mattos e Dinato    (2025-10-14 21:04:48)
Veículo automotor destinado ao transporte de passageiros, com capacidade para até oito pessoas, exclusive o condutor.
Fonte: MC (2008)</t>
        </r>
      </text>
    </comment>
    <comment ref="B30" authorId="0">
      <text>
        <r>
          <rPr>
            <sz val="10"/>
            <rFont val="SimSun"/>
            <charset val="134"/>
          </rPr>
          <t>======
ID#AAABscYS5eE
Ricardo Mattos e Dinato    (2025-10-14 21:04:48)
Veículo automotor de duas rodas, com ou sem side-car, dirigido por condutor em posição montada.
Fonte: MC (2008)</t>
        </r>
      </text>
    </comment>
    <comment ref="B31" authorId="0">
      <text>
        <r>
          <rPr>
            <sz val="10"/>
            <rFont val="SimSun"/>
            <charset val="134"/>
          </rPr>
          <t>======
ID#AAABscKvht8
Ricardo Mattos e Dinato    (2025-10-14 21:04:48)
Veículo automotor de duas rodas, com ou sem side-car, dirigido por condutor em posição montada.
Fonte: MC (2008)</t>
        </r>
      </text>
    </comment>
    <comment ref="B32" authorId="0">
      <text>
        <r>
          <rPr>
            <sz val="10"/>
            <rFont val="SimSun"/>
            <charset val="134"/>
          </rPr>
          <t>======
ID#AAABtwan1oA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3" authorId="0">
      <text>
        <r>
          <rPr>
            <sz val="10"/>
            <rFont val="SimSun"/>
            <charset val="134"/>
          </rPr>
          <t>======
ID#AAABscKvhrY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4" authorId="0">
      <text>
        <r>
          <rPr>
            <sz val="10"/>
            <rFont val="SimSun"/>
            <charset val="134"/>
          </rPr>
          <t>======
ID#AAABscKvhqE
Ricardo Mattos e Dinato    (2025-10-14 21:04:47)
Veículo automotor destinado ao transporte de passageiros, com capacidade para até oito pessoas, exclusive o condutor.
Fonte: MC (2008)</t>
        </r>
      </text>
    </comment>
    <comment ref="B35" authorId="0">
      <text>
        <r>
          <rPr>
            <sz val="10"/>
            <rFont val="SimSun"/>
            <charset val="134"/>
          </rPr>
          <t>======
ID#AAABscKvhp0
Ricardo Mattos e Dinato    (2025-10-14 21:04:47)
Veículo automotor destinado ao transporte de passageiros, com capacidade para até oito pessoas, exclusive o condutor.
Fonte: MC (2008)</t>
        </r>
      </text>
    </comment>
    <comment ref="B36" authorId="0">
      <text>
        <r>
          <rPr>
            <sz val="10"/>
            <rFont val="SimSun"/>
            <charset val="134"/>
          </rPr>
          <t>======
ID#AAABtwan1r4
Ricardo Mattos e Dinato    (2025-10-14 21:04:48)
Veículo automotor de duas rodas, com ou sem side-car, dirigido por condutor em posição montada.
Fonte: MC (2008)</t>
        </r>
      </text>
    </comment>
    <comment ref="B37" authorId="0">
      <text>
        <r>
          <rPr>
            <sz val="10"/>
            <rFont val="SimSun"/>
            <charset val="134"/>
          </rPr>
          <t>======
ID#AAABscYS5ic
Ricardo Mattos e Dinato    (2025-10-14 21:04:48)
Veículo automotor de duas rodas, com ou sem side-car, dirigido por condutor em posição montada.
Fonte: MC (2008)</t>
        </r>
      </text>
    </comment>
    <comment ref="B38" authorId="0">
      <text>
        <r>
          <rPr>
            <sz val="10"/>
            <rFont val="SimSun"/>
            <charset val="134"/>
          </rPr>
          <t>======
ID#AAABscYS5fk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39" authorId="0">
      <text>
        <r>
          <rPr>
            <sz val="10"/>
            <rFont val="SimSun"/>
            <charset val="134"/>
          </rPr>
          <t>======
ID#AAABscYS5iU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0" authorId="0">
      <text>
        <r>
          <rPr>
            <sz val="10"/>
            <rFont val="SimSun"/>
            <charset val="134"/>
          </rPr>
          <t>======
ID#AAABscYS5dU
Ricardo Mattos e Dinato    (2025-10-14 21:04:48)
Veículo automotor destinado ao transporte de passageiros, com capacidade para até oito pessoas, exclusive o condutor.
Fonte: MC (2008)</t>
        </r>
      </text>
    </comment>
    <comment ref="B41" authorId="0">
      <text>
        <r>
          <rPr>
            <sz val="10"/>
            <rFont val="SimSun"/>
            <charset val="134"/>
          </rPr>
          <t>======
ID#AAABscKvhr8
Ricardo Mattos e Dinato    (2025-10-14 21:04:47)
Veículo automotor destinado ao transporte de passageiros, com capacidade para até oito pessoas, exclusive o condutor.
Fonte: MC (2008)</t>
        </r>
      </text>
    </comment>
    <comment ref="B42" authorId="0">
      <text>
        <r>
          <rPr>
            <sz val="10"/>
            <rFont val="SimSun"/>
            <charset val="134"/>
          </rPr>
          <t>======
ID#AAABscKvhqA
Ricardo Mattos e Dinato    (2025-10-14 21:04:47)
Veículo automotor de duas rodas, com ou sem side-car, dirigido por condutor em posição montada.
Fonte: MC (2008)</t>
        </r>
      </text>
    </comment>
    <comment ref="B43" authorId="0">
      <text>
        <r>
          <rPr>
            <sz val="10"/>
            <rFont val="SimSun"/>
            <charset val="134"/>
          </rPr>
          <t>======
ID#AAABscKvhro
Ricardo Mattos e Dinato    (2025-10-14 21:04:47)
Veículo automotor de duas rodas, com ou sem side-car, dirigido por condutor em posição montada.
Fonte: MC (2008)</t>
        </r>
      </text>
    </comment>
    <comment ref="B44" authorId="0">
      <text>
        <r>
          <rPr>
            <sz val="10"/>
            <rFont val="SimSun"/>
            <charset val="134"/>
          </rPr>
          <t>======
ID#AAABscYS5do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5" authorId="0">
      <text>
        <r>
          <rPr>
            <sz val="10"/>
            <rFont val="SimSun"/>
            <charset val="134"/>
          </rPr>
          <t>======
ID#AAABscKvhwU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46" authorId="0">
      <text>
        <r>
          <rPr>
            <sz val="10"/>
            <rFont val="SimSun"/>
            <charset val="134"/>
          </rPr>
          <t>======
ID#AAABscKvhwM
Ricardo Mattos e Dinato    (2025-10-14 21:04:48)
Veículo automotor destinado ao transporte de passageiros, com capacidade para até oito pessoas, exclusive o condutor.
Fonte: MC (2008)</t>
        </r>
      </text>
    </comment>
    <comment ref="B47" authorId="0">
      <text>
        <r>
          <rPr>
            <sz val="10"/>
            <rFont val="SimSun"/>
            <charset val="134"/>
          </rPr>
          <t>======
ID#AAABscYS5e8
Ricardo Mattos e Dinato    (2025-10-14 21:04:48)
Veículo automotor destinado ao transporte de passageiros, com capacidade para até oito pessoas, exclusive o condutor.
Fonte: MC (2008)</t>
        </r>
      </text>
    </comment>
    <comment ref="B48" authorId="0">
      <text>
        <r>
          <rPr>
            <sz val="10"/>
            <rFont val="SimSun"/>
            <charset val="134"/>
          </rPr>
          <t>======
ID#AAABscKvhuY
Ricardo Mattos e Dinato    (2025-10-14 21:04:48)
Veículo automotor de duas rodas, com ou sem side-car, dirigido por condutor em posição montada.
Fonte: MC (2008)</t>
        </r>
      </text>
    </comment>
    <comment ref="B49" authorId="0">
      <text>
        <r>
          <rPr>
            <sz val="10"/>
            <rFont val="SimSun"/>
            <charset val="134"/>
          </rPr>
          <t>======
ID#AAABtwan1qA
Ricardo Mattos e Dinato    (2025-10-14 21:04:48)
Veículo automotor de duas rodas, com ou sem side-car, dirigido por condutor em posição montada.
Fonte: MC (2008)</t>
        </r>
      </text>
    </comment>
    <comment ref="B50" authorId="0">
      <text>
        <r>
          <rPr>
            <sz val="10"/>
            <rFont val="SimSun"/>
            <charset val="134"/>
          </rPr>
          <t>======
ID#AAABtwan1ss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1" authorId="0">
      <text>
        <r>
          <rPr>
            <sz val="10"/>
            <rFont val="SimSun"/>
            <charset val="134"/>
          </rPr>
          <t>======
ID#AAABscKvhsA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2" authorId="0">
      <text>
        <r>
          <rPr>
            <sz val="10"/>
            <rFont val="SimSun"/>
            <charset val="134"/>
          </rPr>
          <t>======
ID#AAABscKvhuA
Ricardo Mattos e Dinato    (2025-10-14 21:04:48)
Veículo automotor destinado ao transporte de passageiros, com capacidade para até oito pessoas, exclusive o condutor.
Fonte: MC (2008)</t>
        </r>
      </text>
    </comment>
    <comment ref="B53" authorId="0">
      <text>
        <r>
          <rPr>
            <sz val="10"/>
            <rFont val="SimSun"/>
            <charset val="134"/>
          </rPr>
          <t>======
ID#AAABscKvhp4
Ricardo Mattos e Dinato    (2025-10-14 21:04:47)
Veículo automotor destinado ao transporte de passageiros, com capacidade para até oito pessoas, exclusive o condutor.
Fonte: MC (2008)</t>
        </r>
      </text>
    </comment>
    <comment ref="B54" authorId="0">
      <text>
        <r>
          <rPr>
            <sz val="10"/>
            <rFont val="SimSun"/>
            <charset val="134"/>
          </rPr>
          <t>======
ID#AAABtwan1so
Ricardo Mattos e Dinato    (2025-10-14 21:04:48)
Veículo automotor de duas rodas, com ou sem side-car, dirigido por condutor em posição montada.
Fonte: MC (2008)</t>
        </r>
      </text>
    </comment>
    <comment ref="B55" authorId="0">
      <text>
        <r>
          <rPr>
            <sz val="10"/>
            <rFont val="SimSun"/>
            <charset val="134"/>
          </rPr>
          <t>======
ID#AAABscKvhwY
Ricardo Mattos e Dinato    (2025-10-14 21:04:48)
Veículo automotor de duas rodas, com ou sem side-car, dirigido por condutor em posição montada.
Fonte: MC (2008)</t>
        </r>
      </text>
    </comment>
    <comment ref="B56" authorId="0">
      <text>
        <r>
          <rPr>
            <sz val="10"/>
            <rFont val="SimSun"/>
            <charset val="134"/>
          </rPr>
          <t>======
ID#AAABtwan1pw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7" authorId="0">
      <text>
        <r>
          <rPr>
            <sz val="10"/>
            <rFont val="SimSun"/>
            <charset val="134"/>
          </rPr>
          <t>======
ID#AAABscKvhsI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58" authorId="0">
      <text>
        <r>
          <rPr>
            <sz val="10"/>
            <rFont val="SimSun"/>
            <charset val="134"/>
          </rPr>
          <t>======
ID#AAABscKvhtA
Ricardo Mattos e Dinato    (2025-10-14 21:04:48)
Veículo automotor destinado ao transporte de passageiros, com capacidade para até oito pessoas, exclusive o condutor.
Fonte: MC (2008)</t>
        </r>
      </text>
    </comment>
    <comment ref="B59" authorId="0">
      <text>
        <r>
          <rPr>
            <sz val="10"/>
            <rFont val="SimSun"/>
            <charset val="134"/>
          </rPr>
          <t>======
ID#AAABscKvhuc
Ricardo Mattos e Dinato    (2025-10-14 21:04:48)
Veículo automotor destinado ao transporte de passageiros, com capacidade para até oito pessoas, exclusive o condutor.
Fonte: MC (2008)</t>
        </r>
      </text>
    </comment>
    <comment ref="B60" authorId="0">
      <text>
        <r>
          <rPr>
            <sz val="10"/>
            <rFont val="SimSun"/>
            <charset val="134"/>
          </rPr>
          <t>======
ID#AAABtwan1p0
Ricardo Mattos e Dinato    (2025-10-14 21:04:48)
Veículo automotor de duas rodas, com ou sem side-car, dirigido por condutor em posição montada.
Fonte: MC (2008)</t>
        </r>
      </text>
    </comment>
    <comment ref="B61" authorId="0">
      <text>
        <r>
          <rPr>
            <sz val="10"/>
            <rFont val="SimSun"/>
            <charset val="134"/>
          </rPr>
          <t>======
ID#AAABtwan1oo
Ricardo Mattos e Dinato    (2025-10-14 21:04:48)
Veículo automotor de duas rodas, com ou sem side-car, dirigido por condutor em posição montada.
Fonte: MC (2008)</t>
        </r>
      </text>
    </comment>
    <comment ref="B62" authorId="0">
      <text>
        <r>
          <rPr>
            <sz val="10"/>
            <rFont val="SimSun"/>
            <charset val="134"/>
          </rPr>
          <t>======
ID#AAABscYS5dE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63" authorId="0">
      <text>
        <r>
          <rPr>
            <sz val="10"/>
            <rFont val="SimSun"/>
            <charset val="134"/>
          </rPr>
          <t>======
ID#AAABscKvhrM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64" authorId="0">
      <text>
        <r>
          <rPr>
            <sz val="10"/>
            <rFont val="SimSun"/>
            <charset val="134"/>
          </rPr>
          <t>======
ID#AAABscKvht4
Ricardo Mattos e Dinato    (2025-10-14 21:04:48)
Veículo automotor destinado ao transporte de passageiros, com capacidade para até oito pessoas, exclusive o condutor.
Fonte: MC (2008)</t>
        </r>
      </text>
    </comment>
    <comment ref="B65" authorId="0">
      <text>
        <r>
          <rPr>
            <sz val="10"/>
            <rFont val="SimSun"/>
            <charset val="134"/>
          </rPr>
          <t>======
ID#AAABscKvhrI
Ricardo Mattos e Dinato    (2025-10-14 21:04:47)
Veículo automotor destinado ao transporte de passageiros, com capacidade para até oito pessoas, exclusive o condutor.
Fonte: MC (2008)</t>
        </r>
      </text>
    </comment>
    <comment ref="B66" authorId="0">
      <text>
        <r>
          <rPr>
            <sz val="10"/>
            <rFont val="SimSun"/>
            <charset val="134"/>
          </rPr>
          <t>======
ID#AAABscYS5jo
Ricardo Mattos e Dinato    (2025-10-14 21:04:48)
Veículo automotor de duas rodas, com ou sem side-car, dirigido por condutor em posição montada.
Fonte: MC (2008)</t>
        </r>
      </text>
    </comment>
    <comment ref="B67" authorId="0">
      <text>
        <r>
          <rPr>
            <sz val="10"/>
            <rFont val="SimSun"/>
            <charset val="134"/>
          </rPr>
          <t>======
ID#AAABscYS5fo
Ricardo Mattos e Dinato    (2025-10-14 21:04:48)
Veículo automotor de duas rodas, com ou sem side-car, dirigido por condutor em posição montada.
Fonte: MC (2008)</t>
        </r>
      </text>
    </comment>
    <comment ref="B68" authorId="0">
      <text>
        <r>
          <rPr>
            <sz val="10"/>
            <rFont val="SimSun"/>
            <charset val="134"/>
          </rPr>
          <t>======
ID#AAABscYS5c4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69" authorId="0">
      <text>
        <r>
          <rPr>
            <sz val="10"/>
            <rFont val="SimSun"/>
            <charset val="134"/>
          </rPr>
          <t>======
ID#AAABscYS5gM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70" authorId="0">
      <text>
        <r>
          <rPr>
            <sz val="10"/>
            <rFont val="SimSun"/>
            <charset val="134"/>
          </rPr>
          <t>======
ID#AAABscKvhtI
Ricardo Mattos e Dinato    (2025-10-14 21:04:48)
Veículo automotor destinado ao transporte de passageiros, com capacidade para até oito pessoas, exclusive o condutor.
Fonte: MC (2008)</t>
        </r>
      </text>
    </comment>
    <comment ref="B71" authorId="0">
      <text>
        <r>
          <rPr>
            <sz val="10"/>
            <rFont val="SimSun"/>
            <charset val="134"/>
          </rPr>
          <t>======
ID#AAABtwan1rM
Ricardo Mattos e Dinato    (2025-10-14 21:04:48)
Veículo automotor destinado ao transporte de passageiros, com capacidade para até oito pessoas, exclusive o condutor.
Fonte: MC (2008)</t>
        </r>
      </text>
    </comment>
    <comment ref="B72" authorId="0">
      <text>
        <r>
          <rPr>
            <sz val="10"/>
            <rFont val="SimSun"/>
            <charset val="134"/>
          </rPr>
          <t>======
ID#AAABscKvhuE
Ricardo Mattos e Dinato    (2025-10-14 21:04:48)
Veículo automotor de duas rodas, com ou sem side-car, dirigido por condutor em posição montada.
Fonte: MC (2008)</t>
        </r>
      </text>
    </comment>
    <comment ref="B73" authorId="0">
      <text>
        <r>
          <rPr>
            <sz val="10"/>
            <rFont val="SimSun"/>
            <charset val="134"/>
          </rPr>
          <t>======
ID#AAABscYS5fs
Ricardo Mattos e Dinato    (2025-10-14 21:04:48)
Veículo automotor de duas rodas, com ou sem side-car, dirigido por condutor em posição montada.
Fonte: MC (2008)</t>
        </r>
      </text>
    </comment>
    <comment ref="B74" authorId="0">
      <text>
        <r>
          <rPr>
            <sz val="10"/>
            <rFont val="SimSun"/>
            <charset val="134"/>
          </rPr>
          <t>======
ID#AAABscYS5fE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75" authorId="0">
      <text>
        <r>
          <rPr>
            <sz val="10"/>
            <rFont val="SimSun"/>
            <charset val="134"/>
          </rPr>
          <t>======
ID#AAABscKvhtM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76" authorId="0">
      <text>
        <r>
          <rPr>
            <sz val="10"/>
            <rFont val="SimSun"/>
            <charset val="134"/>
          </rPr>
          <t>======
ID#AAABscYS5hs
Ricardo Mattos e Dinato    (2025-10-14 21:04:48)
Veículo automotor destinado ao transporte de passageiros, com capacidade para até oito pessoas, exclusive o condutor.
Fonte: MC (2008)</t>
        </r>
      </text>
    </comment>
    <comment ref="B77" authorId="0">
      <text>
        <r>
          <rPr>
            <sz val="10"/>
            <rFont val="SimSun"/>
            <charset val="134"/>
          </rPr>
          <t>======
ID#AAABtwan1qg
Ricardo Mattos e Dinato    (2025-10-14 21:04:48)
Veículo automotor destinado ao transporte de passageiros, com capacidade para até oito pessoas, exclusive o condutor.
Fonte: MC (2008)</t>
        </r>
      </text>
    </comment>
    <comment ref="B78" authorId="0">
      <text>
        <r>
          <rPr>
            <sz val="10"/>
            <rFont val="SimSun"/>
            <charset val="134"/>
          </rPr>
          <t>======
ID#AAABscKvhpI
Ricardo Mattos e Dinato    (2025-10-14 21:04:47)
Veículo automotor de duas rodas, com ou sem side-car, dirigido por condutor em posição montada.
Fonte: MC (2008)</t>
        </r>
      </text>
    </comment>
    <comment ref="B79" authorId="0">
      <text>
        <r>
          <rPr>
            <sz val="10"/>
            <rFont val="SimSun"/>
            <charset val="134"/>
          </rPr>
          <t>======
ID#AAABscYS5ik
Ricardo Mattos e Dinato    (2025-10-14 21:04:48)
Veículo automotor de duas rodas, com ou sem side-car, dirigido por condutor em posição montada.
Fonte: MC (2008)</t>
        </r>
      </text>
    </comment>
    <comment ref="B80" authorId="0">
      <text>
        <r>
          <rPr>
            <sz val="10"/>
            <rFont val="SimSun"/>
            <charset val="134"/>
          </rPr>
          <t>======
ID#AAABtwan1oU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81" authorId="0">
      <text>
        <r>
          <rPr>
            <sz val="10"/>
            <rFont val="SimSun"/>
            <charset val="134"/>
          </rPr>
          <t>======
ID#AAABscYS5h0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95" authorId="0">
      <text>
        <r>
          <rPr>
            <sz val="10"/>
            <rFont val="SimSun"/>
            <charset val="134"/>
          </rPr>
          <t>======
ID#AAABscKvhqo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96" authorId="0">
      <text>
        <r>
          <rPr>
            <sz val="10"/>
            <rFont val="SimSun"/>
            <charset val="134"/>
          </rPr>
          <t>======
ID#AAABscYS5hk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97" authorId="0">
      <text>
        <r>
          <rPr>
            <sz val="10"/>
            <rFont val="SimSun"/>
            <charset val="134"/>
          </rPr>
          <t>======
ID#AAABtwan1rQ
Ricardo Mattos e Dinato    (2025-10-14 21:04:48)
Veículo automotor de transporte coletivo com capacidade para até vinte passageiros.
Fonte: MC (2008)</t>
        </r>
      </text>
    </comment>
    <comment ref="B98" authorId="0">
      <text>
        <r>
          <rPr>
            <sz val="10"/>
            <rFont val="SimSun"/>
            <charset val="134"/>
          </rPr>
          <t>======
ID#AAABtwan1rA
Ricardo Mattos e Dinato    (2025-10-14 21:04:48)
Veículo automotor de transporte coletivo com capacidade para até vinte passageiros.
Fonte: MC (2008)</t>
        </r>
      </text>
    </comment>
    <comment ref="B99" authorId="0">
      <text>
        <r>
          <rPr>
            <sz val="10"/>
            <rFont val="SimSun"/>
            <charset val="134"/>
          </rPr>
          <t>======
ID#AAABscYS5c8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00" authorId="0">
      <text>
        <r>
          <rPr>
            <sz val="10"/>
            <rFont val="SimSun"/>
            <charset val="134"/>
          </rPr>
          <t>======
ID#AAABscKvhtc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01" authorId="0">
      <text>
        <r>
          <rPr>
            <sz val="10"/>
            <rFont val="SimSun"/>
            <charset val="134"/>
          </rPr>
          <t>======
ID#AAABscKvhvI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02" authorId="0">
      <text>
        <r>
          <rPr>
            <sz val="10"/>
            <rFont val="SimSun"/>
            <charset val="134"/>
          </rPr>
          <t>======
ID#AAABscYS5hY
Ricardo Mattos e Dinato    (2025-10-14 21:04:48)
Veículo automotor de transporte coletivo com capacidade para até vinte passageiros.
Fonte: MC (2008)</t>
        </r>
      </text>
    </comment>
    <comment ref="B103" authorId="0">
      <text>
        <r>
          <rPr>
            <sz val="10"/>
            <rFont val="SimSun"/>
            <charset val="134"/>
          </rPr>
          <t>======
ID#AAABscKvhqs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04" authorId="0">
      <text>
        <r>
          <rPr>
            <sz val="10"/>
            <rFont val="SimSun"/>
            <charset val="134"/>
          </rPr>
          <t>======
ID#AAABscKvhvQ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05" authorId="0">
      <text>
        <r>
          <rPr>
            <sz val="10"/>
            <rFont val="SimSun"/>
            <charset val="134"/>
          </rPr>
          <t>======
ID#AAABtwan1og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06" authorId="0">
      <text>
        <r>
          <rPr>
            <sz val="10"/>
            <rFont val="SimSun"/>
            <charset val="134"/>
          </rPr>
          <t>======
ID#AAABtwan1sM
Ricardo Mattos e Dinato    (2025-10-14 21:04:48)
Veículo automotor de transporte coletivo com capacidade para até vinte passageiros.
Fonte: MC (2008)</t>
        </r>
      </text>
    </comment>
    <comment ref="B107" authorId="0">
      <text>
        <r>
          <rPr>
            <sz val="10"/>
            <rFont val="SimSun"/>
            <charset val="134"/>
          </rPr>
          <t>======
ID#AAABtwan1sQ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08" authorId="0">
      <text>
        <r>
          <rPr>
            <sz val="10"/>
            <rFont val="SimSun"/>
            <charset val="134"/>
          </rPr>
          <t>======
ID#AAABscKvhsM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09" authorId="0">
      <text>
        <r>
          <rPr>
            <sz val="10"/>
            <rFont val="SimSun"/>
            <charset val="134"/>
          </rPr>
          <t>======
ID#AAABtwan1pM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10" authorId="0">
      <text>
        <r>
          <rPr>
            <sz val="10"/>
            <rFont val="SimSun"/>
            <charset val="134"/>
          </rPr>
          <t>======
ID#AAABscYS5hM
Ricardo Mattos e Dinato    (2025-10-14 21:04:48)
Veículo automotor de transporte coletivo com capacidade para até vinte passageiros.
Fonte: MC (2008)</t>
        </r>
      </text>
    </comment>
    <comment ref="B111" authorId="0">
      <text>
        <r>
          <rPr>
            <sz val="10"/>
            <rFont val="SimSun"/>
            <charset val="134"/>
          </rPr>
          <t>======
ID#AAABscKvhsg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12" authorId="0">
      <text>
        <r>
          <rPr>
            <sz val="10"/>
            <rFont val="SimSun"/>
            <charset val="134"/>
          </rPr>
          <t>======
ID#AAABscYS5gU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13" authorId="0">
      <text>
        <r>
          <rPr>
            <sz val="10"/>
            <rFont val="SimSun"/>
            <charset val="134"/>
          </rPr>
          <t>======
ID#AAABscYS5dw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14" authorId="0">
      <text>
        <r>
          <rPr>
            <sz val="10"/>
            <rFont val="SimSun"/>
            <charset val="134"/>
          </rPr>
          <t>======
ID#AAABscYS5ig
Ricardo Mattos e Dinato    (2025-10-14 21:04:48)
Veículo automotor de transporte coletivo com capacidade para até vinte passageiros.
Fonte: MC (2008)</t>
        </r>
      </text>
    </comment>
    <comment ref="B115" authorId="0">
      <text>
        <r>
          <rPr>
            <sz val="10"/>
            <rFont val="SimSun"/>
            <charset val="134"/>
          </rPr>
          <t>======
ID#AAABscKvhqQ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16" authorId="0">
      <text>
        <r>
          <rPr>
            <sz val="10"/>
            <rFont val="SimSun"/>
            <charset val="134"/>
          </rPr>
          <t>======
ID#AAABtwan1n4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17" authorId="0">
      <text>
        <r>
          <rPr>
            <sz val="10"/>
            <rFont val="SimSun"/>
            <charset val="134"/>
          </rPr>
          <t>======
ID#AAABscYS5jc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18" authorId="0">
      <text>
        <r>
          <rPr>
            <sz val="10"/>
            <rFont val="SimSun"/>
            <charset val="134"/>
          </rPr>
          <t>======
ID#AAABscKvhwA
Ricardo Mattos e Dinato    (2025-10-14 21:04:48)
Veículo automotor de transporte coletivo com capacidade para até vinte passageiros.
Fonte: MC (2008)</t>
        </r>
      </text>
    </comment>
    <comment ref="B119" authorId="0">
      <text>
        <r>
          <rPr>
            <sz val="10"/>
            <rFont val="SimSun"/>
            <charset val="134"/>
          </rPr>
          <t>======
ID#AAABscKvhqk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20" authorId="0">
      <text>
        <r>
          <rPr>
            <sz val="10"/>
            <rFont val="SimSun"/>
            <charset val="134"/>
          </rPr>
          <t>======
ID#AAABtwan1sI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21" authorId="0">
      <text>
        <r>
          <rPr>
            <sz val="10"/>
            <rFont val="SimSun"/>
            <charset val="134"/>
          </rPr>
          <t>======
ID#AAABscYS5hc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22" authorId="0">
      <text>
        <r>
          <rPr>
            <sz val="10"/>
            <rFont val="SimSun"/>
            <charset val="134"/>
          </rPr>
          <t>======
ID#AAABtwan1p4
Ricardo Mattos e Dinato    (2025-10-14 21:04:48)
Veículo automotor de transporte coletivo com capacidade para até vinte passageiros.
Fonte: MC (2008)</t>
        </r>
      </text>
    </comment>
    <comment ref="B123" authorId="0">
      <text>
        <r>
          <rPr>
            <sz val="10"/>
            <rFont val="SimSun"/>
            <charset val="134"/>
          </rPr>
          <t>======
ID#AAABscYS5fA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24" authorId="0">
      <text>
        <r>
          <rPr>
            <sz val="10"/>
            <rFont val="SimSun"/>
            <charset val="134"/>
          </rPr>
          <t>======
ID#AAABscYS5f4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25" authorId="0">
      <text>
        <r>
          <rPr>
            <sz val="10"/>
            <rFont val="SimSun"/>
            <charset val="134"/>
          </rPr>
          <t>======
ID#AAABscYS5gs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26" authorId="0">
      <text>
        <r>
          <rPr>
            <sz val="10"/>
            <rFont val="SimSun"/>
            <charset val="134"/>
          </rPr>
          <t>======
ID#AAABtwan1oI
Ricardo Mattos e Dinato    (2025-10-14 21:04:48)
Veículo automotor de transporte coletivo com capacidade para até vinte passageiros.
Fonte: MC (2008)</t>
        </r>
      </text>
    </comment>
    <comment ref="B127" authorId="0">
      <text>
        <r>
          <rPr>
            <sz val="10"/>
            <rFont val="SimSun"/>
            <charset val="134"/>
          </rPr>
          <t>======
ID#AAABscYS5iA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28" authorId="0">
      <text>
        <r>
          <rPr>
            <sz val="10"/>
            <rFont val="SimSun"/>
            <charset val="134"/>
          </rPr>
          <t>======
ID#AAABscYS5hA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29" authorId="0">
      <text>
        <r>
          <rPr>
            <sz val="10"/>
            <rFont val="SimSun"/>
            <charset val="134"/>
          </rPr>
          <t>======
ID#AAABtwan1rw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30" authorId="0">
      <text>
        <r>
          <rPr>
            <sz val="10"/>
            <rFont val="SimSun"/>
            <charset val="134"/>
          </rPr>
          <t>======
ID#AAABscKvhuI
Ricardo Mattos e Dinato    (2025-10-14 21:04:48)
Veículo automotor de transporte coletivo com capacidade para até vinte passageiros.
Fonte: MC (2008)</t>
        </r>
      </text>
    </comment>
    <comment ref="B131" authorId="0">
      <text>
        <r>
          <rPr>
            <sz val="10"/>
            <rFont val="SimSun"/>
            <charset val="134"/>
          </rPr>
          <t>======
ID#AAABscYS5g8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32" authorId="0">
      <text>
        <r>
          <rPr>
            <sz val="10"/>
            <rFont val="SimSun"/>
            <charset val="134"/>
          </rPr>
          <t>======
ID#AAABtwan1pQ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33" authorId="0">
      <text>
        <r>
          <rPr>
            <sz val="10"/>
            <rFont val="SimSun"/>
            <charset val="134"/>
          </rPr>
          <t>======
ID#AAABscKvhuw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34" authorId="0">
      <text>
        <r>
          <rPr>
            <sz val="10"/>
            <rFont val="SimSun"/>
            <charset val="134"/>
          </rPr>
          <t>======
ID#AAABscKvhrs
Ricardo Mattos e Dinato    (2025-10-14 21:04:47)
Veículo automotor de transporte coletivo com capacidade para até vinte passageiros.
Fonte: MC (2008)</t>
        </r>
      </text>
    </comment>
    <comment ref="B135" authorId="0">
      <text>
        <r>
          <rPr>
            <sz val="10"/>
            <rFont val="SimSun"/>
            <charset val="134"/>
          </rPr>
          <t>======
ID#AAABscKvhrw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36" authorId="0">
      <text>
        <r>
          <rPr>
            <sz val="10"/>
            <rFont val="SimSun"/>
            <charset val="134"/>
          </rPr>
          <t>======
ID#AAABscKvhtw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37" authorId="0">
      <text>
        <r>
          <rPr>
            <sz val="10"/>
            <rFont val="SimSun"/>
            <charset val="134"/>
          </rPr>
          <t>======
ID#AAABscKvhx0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38" authorId="0">
      <text>
        <r>
          <rPr>
            <sz val="10"/>
            <rFont val="SimSun"/>
            <charset val="134"/>
          </rPr>
          <t>======
ID#AAABtwan1o8
Ricardo Mattos e Dinato    (2025-10-14 21:04:48)
Veículo automotor de transporte coletivo com capacidade para até vinte passageiros.
Fonte: MC (2008)</t>
        </r>
      </text>
    </comment>
    <comment ref="B139" authorId="0">
      <text>
        <r>
          <rPr>
            <sz val="10"/>
            <rFont val="SimSun"/>
            <charset val="134"/>
          </rPr>
          <t>======
ID#AAABscKvhuM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40" authorId="0">
      <text>
        <r>
          <rPr>
            <sz val="10"/>
            <rFont val="SimSun"/>
            <charset val="134"/>
          </rPr>
          <t>======
ID#AAABscKvhsQ
Ricardo Mattos e Dinato    (2025-10-14 21:04:47)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41" authorId="0">
      <text>
        <r>
          <rPr>
            <sz val="10"/>
            <rFont val="SimSun"/>
            <charset val="134"/>
          </rPr>
          <t>======
ID#AAABtwan1os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42" authorId="0">
      <text>
        <r>
          <rPr>
            <sz val="10"/>
            <rFont val="SimSun"/>
            <charset val="134"/>
          </rPr>
          <t>======
ID#AAABscKvhtg
Ricardo Mattos e Dinato    (2025-10-14 21:04:48)
Veículo automotor de transporte coletivo com capacidade para até vinte passageiros.
Fonte: MC (2008)</t>
        </r>
      </text>
    </comment>
    <comment ref="B143" authorId="0">
      <text>
        <r>
          <rPr>
            <sz val="10"/>
            <rFont val="SimSun"/>
            <charset val="134"/>
          </rPr>
          <t>======
ID#AAABscKvhvU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rodoviário de passageiros exclusivamente sentados, para percursos de médias e longas distâncias.
Fonte: CONTRAN (2013)</t>
        </r>
      </text>
    </comment>
    <comment ref="B144" authorId="0">
      <text>
        <r>
          <rPr>
            <sz val="10"/>
            <rFont val="SimSun"/>
            <charset val="134"/>
          </rPr>
          <t>======
ID#AAABscYS5hg
Ricardo Mattos e Dinato    (2025-10-14 21:04:48)
Veículo automotor de transporte coletivo com capacidade para mais de vinte passageiros, ainda que, em virtude de adaptações com vista à maior comodidade destes, transporte número menor.  Fonte: MC (2008)
Destinado ao transporte público coletivo de passageiros em centros urbanos, com assentos para passageiros e provisão para passageiros em pé conforme o tipo de serviço.
Fonte: CONTRAN (2013)</t>
        </r>
      </text>
    </comment>
    <comment ref="B161" authorId="0">
      <text>
        <r>
          <rPr>
            <sz val="10"/>
            <rFont val="SimSun"/>
            <charset val="134"/>
          </rPr>
          <t>======
ID#AAABscYS5iQ
Ricardo Mattos e Dinato    (2025-10-14 21:04:48)
Veículo automotor destinado ao transporte de passageiros, com capacidade para até oito pessoas, exclusive o condutor.
Fonte: MC (2008)</t>
        </r>
      </text>
    </comment>
    <comment ref="B162" authorId="0">
      <text>
        <r>
          <rPr>
            <sz val="10"/>
            <rFont val="SimSun"/>
            <charset val="134"/>
          </rPr>
          <t>======
ID#AAABscKvhu0
Ricardo Mattos e Dinato    (2025-10-14 21:04:48)
Veículo automotor destinado ao transporte de passageiros, com capacidade para até oito pessoas, exclusive o condutor.
Fonte: MC (2008)</t>
        </r>
      </text>
    </comment>
    <comment ref="B163" authorId="0">
      <text>
        <r>
          <rPr>
            <sz val="10"/>
            <rFont val="SimSun"/>
            <charset val="134"/>
          </rPr>
          <t>======
ID#AAABscKvhvA
Ricardo Mattos e Dinato    (2025-10-14 21:04:48)
Veículo automotor destinado ao transporte de passageiros, com capacidade para até oito pessoas, exclusive o condutor.
Fonte: MC (2008)</t>
        </r>
      </text>
    </comment>
    <comment ref="B164" authorId="0">
      <text>
        <r>
          <rPr>
            <sz val="10"/>
            <rFont val="SimSun"/>
            <charset val="134"/>
          </rPr>
          <t>======
ID#AAABscKvhqM
Ricardo Mattos e Dinato    (2025-10-14 21:04:47)
Veículo automotor destinado ao transporte de passageiros, com capacidade para até oito pessoas, exclusive o condutor.
Fonte: MC (2008)</t>
        </r>
      </text>
    </comment>
    <comment ref="B165" authorId="0">
      <text>
        <r>
          <rPr>
            <sz val="10"/>
            <rFont val="SimSun"/>
            <charset val="134"/>
          </rPr>
          <t>======
ID#AAABscKvhrQ
Ricardo Mattos e Dinato    (2025-10-14 21:04:47)
Veículo automotor de duas rodas, com ou sem side-car, dirigido por condutor em posição montada.
Fonte: MC (2008)</t>
        </r>
      </text>
    </comment>
    <comment ref="B166" authorId="0">
      <text>
        <r>
          <rPr>
            <sz val="10"/>
            <rFont val="SimSun"/>
            <charset val="134"/>
          </rPr>
          <t>======
ID#AAABscKvhq4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67" authorId="0">
      <text>
        <r>
          <rPr>
            <sz val="10"/>
            <rFont val="SimSun"/>
            <charset val="134"/>
          </rPr>
          <t>======
ID#AAABtwan1r8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68" authorId="0">
      <text>
        <r>
          <rPr>
            <sz val="10"/>
            <rFont val="SimSun"/>
            <charset val="134"/>
          </rPr>
          <t>======
ID#AAABscYS5dY
Ricardo Mattos e Dinato    (2025-10-14 21:04:48)
Veículo automotor destinado ao transporte de passageiros, com capacidade para até oito pessoas, exclusive o condutor.
Fonte: MC (2008)</t>
        </r>
      </text>
    </comment>
    <comment ref="B169" authorId="0">
      <text>
        <r>
          <rPr>
            <sz val="10"/>
            <rFont val="SimSun"/>
            <charset val="134"/>
          </rPr>
          <t>======
ID#AAABscKvhxc
Ricardo Mattos e Dinato    (2025-10-14 21:04:48)
Veículo automotor destinado ao transporte de passageiros, com capacidade para até oito pessoas, exclusive o condutor.
Fonte: MC (2008)</t>
        </r>
      </text>
    </comment>
    <comment ref="B170" authorId="0">
      <text>
        <r>
          <rPr>
            <sz val="10"/>
            <rFont val="SimSun"/>
            <charset val="134"/>
          </rPr>
          <t>======
ID#AAABscYS5gc
Ricardo Mattos e Dinato    (2025-10-14 21:04:48)
Veículo automotor de duas rodas, com ou sem side-car, dirigido por condutor em posição montada.
Fonte: MC (2008)</t>
        </r>
      </text>
    </comment>
    <comment ref="B171" authorId="0">
      <text>
        <r>
          <rPr>
            <sz val="10"/>
            <rFont val="SimSun"/>
            <charset val="134"/>
          </rPr>
          <t>======
ID#AAABscYS5ew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72" authorId="0">
      <text>
        <r>
          <rPr>
            <sz val="10"/>
            <rFont val="SimSun"/>
            <charset val="134"/>
          </rPr>
          <t>======
ID#AAABscKvhqc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73" authorId="0">
      <text>
        <r>
          <rPr>
            <sz val="10"/>
            <rFont val="SimSun"/>
            <charset val="134"/>
          </rPr>
          <t>======
ID#AAABtwan1qs
Ricardo Mattos e Dinato    (2025-10-14 21:04:48)
Veículo automotor destinado ao transporte de passageiros, com capacidade para até oito pessoas, exclusive o condutor.
Fonte: MC (2008)</t>
        </r>
      </text>
    </comment>
    <comment ref="B174" authorId="0">
      <text>
        <r>
          <rPr>
            <sz val="10"/>
            <rFont val="SimSun"/>
            <charset val="134"/>
          </rPr>
          <t>======
ID#AAABscYS5f0
Ricardo Mattos e Dinato    (2025-10-14 21:04:48)
Veículo automotor destinado ao transporte de passageiros, com capacidade para até oito pessoas, exclusive o condutor.
Fonte: MC (2008)</t>
        </r>
      </text>
    </comment>
    <comment ref="B175" authorId="0">
      <text>
        <r>
          <rPr>
            <sz val="10"/>
            <rFont val="SimSun"/>
            <charset val="134"/>
          </rPr>
          <t>======
ID#AAABscKvhwc
Ricardo Mattos e Dinato    (2025-10-14 21:04:48)
Veículo automotor de duas rodas, com ou sem side-car, dirigido por condutor em posição montada.
Fonte: MC (2008)</t>
        </r>
      </text>
    </comment>
    <comment ref="B176" authorId="0">
      <text>
        <r>
          <rPr>
            <sz val="10"/>
            <rFont val="SimSun"/>
            <charset val="134"/>
          </rPr>
          <t>======
ID#AAABscKvhwg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77" authorId="0">
      <text>
        <r>
          <rPr>
            <sz val="10"/>
            <rFont val="SimSun"/>
            <charset val="134"/>
          </rPr>
          <t>======
ID#AAABscYS5fQ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78" authorId="0">
      <text>
        <r>
          <rPr>
            <sz val="10"/>
            <rFont val="SimSun"/>
            <charset val="134"/>
          </rPr>
          <t>======
ID#AAABscKvhv0
Ricardo Mattos e Dinato    (2025-10-14 21:04:48)
Veículo automotor destinado ao transporte de passageiros, com capacidade para até oito pessoas, exclusive o condutor.
Fonte: MC (2008)</t>
        </r>
      </text>
    </comment>
    <comment ref="B179" authorId="0">
      <text>
        <r>
          <rPr>
            <sz val="10"/>
            <rFont val="SimSun"/>
            <charset val="134"/>
          </rPr>
          <t>======
ID#AAABscKvhsk
Ricardo Mattos e Dinato    (2025-10-14 21:04:47)
Veículo automotor destinado ao transporte de passageiros, com capacidade para até oito pessoas, exclusive o condutor.
Fonte: MC (2008)</t>
        </r>
      </text>
    </comment>
    <comment ref="B180" authorId="0">
      <text>
        <r>
          <rPr>
            <sz val="10"/>
            <rFont val="SimSun"/>
            <charset val="134"/>
          </rPr>
          <t>======
ID#AAABscKvhvo
Ricardo Mattos e Dinato    (2025-10-14 21:04:48)
Veículo automotor de duas rodas, com ou sem side-car, dirigido por condutor em posição montada.
Fonte: MC (2008)</t>
        </r>
      </text>
    </comment>
    <comment ref="B181" authorId="0">
      <text>
        <r>
          <rPr>
            <sz val="10"/>
            <rFont val="SimSun"/>
            <charset val="134"/>
          </rPr>
          <t>======
ID#AAABscYS5gg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82" authorId="0">
      <text>
        <r>
          <rPr>
            <sz val="10"/>
            <rFont val="SimSun"/>
            <charset val="134"/>
          </rPr>
          <t>======
ID#AAABscYS5e4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83" authorId="0">
      <text>
        <r>
          <rPr>
            <sz val="10"/>
            <rFont val="SimSun"/>
            <charset val="134"/>
          </rPr>
          <t>======
ID#AAABtwan1rY
Ricardo Mattos e Dinato    (2025-10-14 21:04:48)
Veículo automotor destinado ao transporte de passageiros, com capacidade para até oito pessoas, exclusive o condutor.
Fonte: MC (2008)</t>
        </r>
      </text>
    </comment>
    <comment ref="B184" authorId="0">
      <text>
        <r>
          <rPr>
            <sz val="10"/>
            <rFont val="SimSun"/>
            <charset val="134"/>
          </rPr>
          <t>======
ID#AAABscYS5iE
Ricardo Mattos e Dinato    (2025-10-14 21:04:48)
Veículo automotor destinado ao transporte de passageiros, com capacidade para até oito pessoas, exclusive o condutor.
Fonte: MC (2008)</t>
        </r>
      </text>
    </comment>
    <comment ref="B185" authorId="0">
      <text>
        <r>
          <rPr>
            <sz val="10"/>
            <rFont val="SimSun"/>
            <charset val="134"/>
          </rPr>
          <t>======
ID#AAABscKvhuo
Ricardo Mattos e Dinato    (2025-10-14 21:04:48)
Veículo automotor de duas rodas, com ou sem side-car, dirigido por condutor em posição montada.
Fonte: MC (2008)</t>
        </r>
      </text>
    </comment>
    <comment ref="B186" authorId="0">
      <text>
        <r>
          <rPr>
            <sz val="10"/>
            <rFont val="SimSun"/>
            <charset val="134"/>
          </rPr>
          <t>======
ID#AAABscYS5eo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87" authorId="0">
      <text>
        <r>
          <rPr>
            <sz val="10"/>
            <rFont val="SimSun"/>
            <charset val="134"/>
          </rPr>
          <t>======
ID#AAABscYS5gI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88" authorId="0">
      <text>
        <r>
          <rPr>
            <sz val="10"/>
            <rFont val="SimSun"/>
            <charset val="134"/>
          </rPr>
          <t>======
ID#AAABtwan1ow
Ricardo Mattos e Dinato    (2025-10-14 21:04:48)
Veículo automotor destinado ao transporte de passageiros, com capacidade para até oito pessoas, exclusive o condutor.
Fonte: MC (2008)</t>
        </r>
      </text>
    </comment>
    <comment ref="B189" authorId="0">
      <text>
        <r>
          <rPr>
            <sz val="10"/>
            <rFont val="SimSun"/>
            <charset val="134"/>
          </rPr>
          <t>======
ID#AAABtwan1ro
Ricardo Mattos e Dinato    (2025-10-14 21:04:48)
Veículo automotor destinado ao transporte de passageiros, com capacidade para até oito pessoas, exclusive o condutor.
Fonte: MC (2008)</t>
        </r>
      </text>
    </comment>
    <comment ref="B190" authorId="0">
      <text>
        <r>
          <rPr>
            <sz val="10"/>
            <rFont val="SimSun"/>
            <charset val="134"/>
          </rPr>
          <t>======
ID#AAABscKvhwk
Ricardo Mattos e Dinato    (2025-10-14 21:04:48)
Veículo automotor de duas rodas, com ou sem side-car, dirigido por condutor em posição montada.
Fonte: MC (2008)</t>
        </r>
      </text>
    </comment>
    <comment ref="B191" authorId="0">
      <text>
        <r>
          <rPr>
            <sz val="10"/>
            <rFont val="SimSun"/>
            <charset val="134"/>
          </rPr>
          <t>======
ID#AAABtwan1s8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92" authorId="0">
      <text>
        <r>
          <rPr>
            <sz val="10"/>
            <rFont val="SimSun"/>
            <charset val="134"/>
          </rPr>
          <t>======
ID#AAABtwan1pY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93" authorId="0">
      <text>
        <r>
          <rPr>
            <sz val="10"/>
            <rFont val="SimSun"/>
            <charset val="134"/>
          </rPr>
          <t>======
ID#AAABtwan1n0
Ricardo Mattos e Dinato    (2025-10-14 21:04:48)
Veículo automotor destinado ao transporte de passageiros, com capacidade para até oito pessoas, exclusive o condutor.
Fonte: MC (2008)</t>
        </r>
      </text>
    </comment>
    <comment ref="B194" authorId="0">
      <text>
        <r>
          <rPr>
            <sz val="10"/>
            <rFont val="SimSun"/>
            <charset val="134"/>
          </rPr>
          <t>======
ID#AAABscKvhug
Ricardo Mattos e Dinato    (2025-10-14 21:04:48)
Veículo automotor destinado ao transporte de passageiros, com capacidade para até oito pessoas, exclusive o condutor.
Fonte: MC (2008)</t>
        </r>
      </text>
    </comment>
    <comment ref="B195" authorId="0">
      <text>
        <r>
          <rPr>
            <sz val="10"/>
            <rFont val="SimSun"/>
            <charset val="134"/>
          </rPr>
          <t>======
ID#AAABscYS5d4
Ricardo Mattos e Dinato    (2025-10-14 21:04:48)
Veículo automotor de duas rodas, com ou sem side-car, dirigido por condutor em posição montada.
Fonte: MC (2008)</t>
        </r>
      </text>
    </comment>
    <comment ref="B196" authorId="0">
      <text>
        <r>
          <rPr>
            <sz val="10"/>
            <rFont val="SimSun"/>
            <charset val="134"/>
          </rPr>
          <t>======
ID#AAABscKvhvM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97" authorId="0">
      <text>
        <r>
          <rPr>
            <sz val="10"/>
            <rFont val="SimSun"/>
            <charset val="134"/>
          </rPr>
          <t>======
ID#AAABtwan1qc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198" authorId="0">
      <text>
        <r>
          <rPr>
            <sz val="10"/>
            <rFont val="SimSun"/>
            <charset val="134"/>
          </rPr>
          <t>======
ID#AAABscYS5gw
Ricardo Mattos e Dinato    (2025-10-14 21:04:48)
Veículo automotor destinado ao transporte de passageiros, com capacidade para até oito pessoas, exclusive o condutor.
Fonte: MC (2008)</t>
        </r>
      </text>
    </comment>
    <comment ref="B199" authorId="0">
      <text>
        <r>
          <rPr>
            <sz val="10"/>
            <rFont val="SimSun"/>
            <charset val="134"/>
          </rPr>
          <t>======
ID#AAABscKvhpE
Ricardo Mattos e Dinato    (2025-10-14 21:04:47)
Veículo automotor destinado ao transporte de passageiros, com capacidade para até oito pessoas, exclusive o condutor.
Fonte: MC (2008)</t>
        </r>
      </text>
    </comment>
    <comment ref="B200" authorId="0">
      <text>
        <r>
          <rPr>
            <sz val="10"/>
            <rFont val="SimSun"/>
            <charset val="134"/>
          </rPr>
          <t>======
ID#AAABtwan1oY
Ricardo Mattos e Dinato    (2025-10-14 21:04:48)
Veículo automotor de duas rodas, com ou sem side-car, dirigido por condutor em posição montada.
Fonte: MC (2008)</t>
        </r>
      </text>
    </comment>
    <comment ref="B201" authorId="0">
      <text>
        <r>
          <rPr>
            <sz val="10"/>
            <rFont val="SimSun"/>
            <charset val="134"/>
          </rPr>
          <t>======
ID#AAABscYS5dc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02" authorId="0">
      <text>
        <r>
          <rPr>
            <sz val="10"/>
            <rFont val="SimSun"/>
            <charset val="134"/>
          </rPr>
          <t>======
ID#AAABscKvhs4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03" authorId="0">
      <text>
        <r>
          <rPr>
            <sz val="10"/>
            <rFont val="SimSun"/>
            <charset val="134"/>
          </rPr>
          <t>======
ID#AAABtwan1oM
Ricardo Mattos e Dinato    (2025-10-14 21:04:48)
Veículo automotor destinado ao transporte de passageiros, com capacidade para até oito pessoas, exclusive o condutor.
Fonte: MC (2008)</t>
        </r>
      </text>
    </comment>
    <comment ref="B204" authorId="0">
      <text>
        <r>
          <rPr>
            <sz val="10"/>
            <rFont val="SimSun"/>
            <charset val="134"/>
          </rPr>
          <t>======
ID#AAABscYS5fc
Ricardo Mattos e Dinato    (2025-10-14 21:04:48)
Veículo automotor destinado ao transporte de passageiros, com capacidade para até oito pessoas, exclusive o condutor.
Fonte: MC (2008)</t>
        </r>
      </text>
    </comment>
    <comment ref="B205" authorId="0">
      <text>
        <r>
          <rPr>
            <sz val="10"/>
            <rFont val="SimSun"/>
            <charset val="134"/>
          </rPr>
          <t>======
ID#AAABtwan1sA
Ricardo Mattos e Dinato    (2025-10-14 21:04:48)
Veículo automotor de duas rodas, com ou sem side-car, dirigido por condutor em posição montada.
Fonte: MC (2008)</t>
        </r>
      </text>
    </comment>
    <comment ref="B206" authorId="0">
      <text>
        <r>
          <rPr>
            <sz val="10"/>
            <rFont val="SimSun"/>
            <charset val="134"/>
          </rPr>
          <t>======
ID#AAABscYS5jk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07" authorId="0">
      <text>
        <r>
          <rPr>
            <sz val="10"/>
            <rFont val="SimSun"/>
            <charset val="134"/>
          </rPr>
          <t>======
ID#AAABscYS5h4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08" authorId="0">
      <text>
        <r>
          <rPr>
            <sz val="10"/>
            <rFont val="SimSun"/>
            <charset val="134"/>
          </rPr>
          <t>======
ID#AAABtwan1rc
Ricardo Mattos e Dinato    (2025-10-14 21:04:48)
Veículo automotor destinado ao transporte de passageiros, com capacidade para até oito pessoas, exclusive o condutor.
Fonte: MC (2008)</t>
        </r>
      </text>
    </comment>
    <comment ref="B209" authorId="0">
      <text>
        <r>
          <rPr>
            <sz val="10"/>
            <rFont val="SimSun"/>
            <charset val="134"/>
          </rPr>
          <t>======
ID#AAABscKvhxk
Ricardo Mattos e Dinato    (2025-10-14 21:04:48)
Veículo automotor destinado ao transporte de passageiros, com capacidade para até oito pessoas, exclusive o condutor.
Fonte: MC (2008)</t>
        </r>
      </text>
    </comment>
    <comment ref="B210" authorId="0">
      <text>
        <r>
          <rPr>
            <sz val="10"/>
            <rFont val="SimSun"/>
            <charset val="134"/>
          </rPr>
          <t>======
ID#AAABscYS5iw
Ricardo Mattos e Dinato    (2025-10-14 21:04:48)
Veículo automotor de duas rodas, com ou sem side-car, dirigido por condutor em posição montada.
Fonte: MC (2008)</t>
        </r>
      </text>
    </comment>
    <comment ref="B211" authorId="0">
      <text>
        <r>
          <rPr>
            <sz val="10"/>
            <rFont val="SimSun"/>
            <charset val="134"/>
          </rPr>
          <t>======
ID#AAABscYS5gE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2" authorId="0">
      <text>
        <r>
          <rPr>
            <sz val="10"/>
            <rFont val="SimSun"/>
            <charset val="134"/>
          </rPr>
          <t>======
ID#AAABscKvhpg
Ricardo Mattos e Dinato    (2025-10-14 21:04:47)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3" authorId="0">
      <text>
        <r>
          <rPr>
            <sz val="10"/>
            <rFont val="SimSun"/>
            <charset val="134"/>
          </rPr>
          <t>======
ID#AAABscKvhxs
Ricardo Mattos e Dinato    (2025-10-14 21:04:48)
Veículo automotor destinado ao transporte de passageiros, com capacidade para até oito pessoas, exclusive o condutor.
Fonte: MC (2008)</t>
        </r>
      </text>
    </comment>
    <comment ref="B214" authorId="0">
      <text>
        <r>
          <rPr>
            <sz val="10"/>
            <rFont val="SimSun"/>
            <charset val="134"/>
          </rPr>
          <t>======
ID#AAABscKvhvk
Ricardo Mattos e Dinato    (2025-10-14 21:04:48)
Veículo automotor destinado ao transporte de passageiros, com capacidade para até oito pessoas, exclusive o condutor.
Fonte: MC (2008)</t>
        </r>
      </text>
    </comment>
    <comment ref="B215" authorId="0">
      <text>
        <r>
          <rPr>
            <sz val="10"/>
            <rFont val="SimSun"/>
            <charset val="134"/>
          </rPr>
          <t>======
ID#AAABscYS5jQ
Ricardo Mattos e Dinato    (2025-10-14 21:04:48)
Veículo automotor de duas rodas, com ou sem side-car, dirigido por condutor em posição montada.
Fonte: MC (2008)</t>
        </r>
      </text>
    </comment>
    <comment ref="B216" authorId="0">
      <text>
        <r>
          <rPr>
            <sz val="10"/>
            <rFont val="SimSun"/>
            <charset val="134"/>
          </rPr>
          <t>======
ID#AAABscYS5dI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7" authorId="0">
      <text>
        <r>
          <rPr>
            <sz val="10"/>
            <rFont val="SimSun"/>
            <charset val="134"/>
          </rPr>
          <t>======
ID#AAABscKvhv4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18" authorId="0">
      <text>
        <r>
          <rPr>
            <sz val="10"/>
            <rFont val="SimSun"/>
            <charset val="134"/>
          </rPr>
          <t>======
ID#AAABtwan1s4
Ricardo Mattos e Dinato    (2025-10-14 21:04:48)
Veículo automotor destinado ao transporte de passageiros, com capacidade para até oito pessoas, exclusive o condutor.
Fonte: MC (2008)</t>
        </r>
      </text>
    </comment>
    <comment ref="B219" authorId="0">
      <text>
        <r>
          <rPr>
            <sz val="10"/>
            <rFont val="SimSun"/>
            <charset val="134"/>
          </rPr>
          <t>======
ID#AAABscYS5iY
Ricardo Mattos e Dinato    (2025-10-14 21:04:48)
Veículo automotor destinado ao transporte de passageiros, com capacidade para até oito pessoas, exclusive o condutor.
Fonte: MC (2008)</t>
        </r>
      </text>
    </comment>
    <comment ref="B220" authorId="0">
      <text>
        <r>
          <rPr>
            <sz val="10"/>
            <rFont val="SimSun"/>
            <charset val="134"/>
          </rPr>
          <t>======
ID#AAABscKvhtE
Ricardo Mattos e Dinato    (2025-10-14 21:04:48)
Veículo automotor de duas rodas, com ou sem side-car, dirigido por condutor em posição montada.
Fonte: MC (2008)</t>
        </r>
      </text>
    </comment>
    <comment ref="B221" authorId="0">
      <text>
        <r>
          <rPr>
            <sz val="10"/>
            <rFont val="SimSun"/>
            <charset val="134"/>
          </rPr>
          <t>======
ID#AAABscYS5gQ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22" authorId="0">
      <text>
        <r>
          <rPr>
            <sz val="10"/>
            <rFont val="SimSun"/>
            <charset val="134"/>
          </rPr>
          <t>======
ID#AAABtwan1q8
Ricardo Mattos e Dinato    (2025-10-14 21:04:48)
Veículo automotor não derivado de veículo leve de passageiros com massa total máxima autorizada até 3856 kg e massa do veículo em ordem de marcha até 2720 kg, projetado para o transporte de carga ou misto ou seus derivados, ou projetado para o transporte de mais que 12 passageiros, ou ainda com características
especiais para uso fora de estrada.
Fonte: CONAMA (1995)</t>
        </r>
      </text>
    </comment>
    <comment ref="B226" authorId="0">
      <text>
        <r>
          <rPr>
            <sz val="10"/>
            <rFont val="SimSun"/>
            <charset val="134"/>
          </rPr>
          <t>======
ID#AAABtwan1n8
Ricardo Mattos e Dinato    (2025-10-14 21:04:48)
Veículo automotor destinado ao transporte de passageiros, com capacidade para até oito pessoas, exclusive o condutor.
Fonte: MC (2008)</t>
        </r>
      </text>
    </comment>
    <comment ref="B227" authorId="0">
      <text>
        <r>
          <rPr>
            <sz val="10"/>
            <rFont val="SimSun"/>
            <charset val="134"/>
          </rPr>
          <t>======
ID#AAABtwan1sc
Ricardo Mattos e Dinato    (2025-10-14 21:04:48)
Veículo automotor destinado ao transporte de passageiros, com capacidade para até oito pessoas, exclusive o condutor.
Fonte: MC (2008)</t>
        </r>
      </text>
    </comment>
    <comment ref="B228" authorId="0">
      <text>
        <r>
          <rPr>
            <sz val="10"/>
            <rFont val="SimSun"/>
            <charset val="134"/>
          </rPr>
          <t>======
ID#AAABscKvhrA
Ricardo Mattos e Dinato    (2025-10-14 21:04:47)
Veículo automotor destinado ao transporte de passageiros, com capacidade para até oito pessoas, exclusive o condutor.
Fonte: MC (2008)</t>
        </r>
      </text>
    </comment>
    <comment ref="B229" authorId="0">
      <text>
        <r>
          <rPr>
            <sz val="10"/>
            <rFont val="SimSun"/>
            <charset val="134"/>
          </rPr>
          <t>======
ID#AAABscKvhwE
Ricardo Mattos e Dinato    (2025-10-14 21:04:48)
Veículo automotor destinado ao transporte de passageiros, com capacidade para até oito pessoas, exclusive o condutor.
Fonte: MC (2008)</t>
        </r>
      </text>
    </comment>
    <comment ref="B230" authorId="0">
      <text>
        <r>
          <rPr>
            <sz val="10"/>
            <rFont val="SimSun"/>
            <charset val="134"/>
          </rPr>
          <t>======
ID#AAABscYS5iI
Ricardo Mattos e Dinato    (2025-10-14 21:04:48)
Veículo automotor destinado ao transporte de passageiros, com capacidade para até oito pessoas, exclusive o condutor.
Fonte: MC (2008)</t>
        </r>
      </text>
    </comment>
    <comment ref="B231" authorId="0">
      <text>
        <r>
          <rPr>
            <sz val="10"/>
            <rFont val="SimSun"/>
            <charset val="134"/>
          </rPr>
          <t>======
ID#AAABscYS5j0
Ricardo Mattos e Dinato    (2025-10-14 21:04:48)
Veículo automotor destinado ao transporte de passageiros, com capacidade para até oito pessoas, exclusive o condutor.
Fonte: MC (2008)</t>
        </r>
      </text>
    </comment>
    <comment ref="B232" authorId="0">
      <text>
        <r>
          <rPr>
            <sz val="10"/>
            <rFont val="SimSun"/>
            <charset val="134"/>
          </rPr>
          <t>======
ID#AAABscYS5eU
Ricardo Mattos e Dinato    (2025-10-14 21:04:48)
Veículo automotor destinado ao transporte de passageiros, com capacidade para até oito pessoas, exclusive o condutor.
Fonte: MC (2008)</t>
        </r>
      </text>
    </comment>
    <comment ref="B233" authorId="0">
      <text>
        <r>
          <rPr>
            <sz val="10"/>
            <rFont val="SimSun"/>
            <charset val="134"/>
          </rPr>
          <t>======
ID#AAABtwan1pc
Ricardo Mattos e Dinato    (2025-10-14 21:04:48)
Veículo automotor destinado ao transporte de passageiros, com capacidade para até oito pessoas, exclusive o condutor.
Fonte: MC (2008)</t>
        </r>
      </text>
    </comment>
    <comment ref="B234" authorId="0">
      <text>
        <r>
          <rPr>
            <sz val="10"/>
            <rFont val="SimSun"/>
            <charset val="134"/>
          </rPr>
          <t>======
ID#AAABscYS5jY
Ricardo Mattos e Dinato    (2025-10-14 21:04:48)
Veículo automotor destinado ao transporte de passageiros, com capacidade para até oito pessoas, exclusive o condutor.
Fonte: MC (2008)</t>
        </r>
      </text>
    </comment>
    <comment ref="B235" authorId="0">
      <text>
        <r>
          <rPr>
            <sz val="10"/>
            <rFont val="SimSun"/>
            <charset val="134"/>
          </rPr>
          <t>======
ID#AAABscYS5d8
Ricardo Mattos e Dinato    (2025-10-14 21:04:48)
Veículo automotor destinado ao transporte de passageiros, com capacidade para até oito pessoas, exclusive o condutor.
Fonte: MC (2008)</t>
        </r>
      </text>
    </comment>
    <comment ref="B236" authorId="0">
      <text>
        <r>
          <rPr>
            <sz val="10"/>
            <rFont val="SimSun"/>
            <charset val="134"/>
          </rPr>
          <t>======
ID#AAABscKvhpk
Ricardo Mattos e Dinato    (2025-10-14 21:04:47)
Veículo automotor destinado ao transporte de passageiros, com capacidade para até oito pessoas, exclusive o condutor.
Fonte: MC (2008)</t>
        </r>
      </text>
    </comment>
    <comment ref="B237" authorId="0">
      <text>
        <r>
          <rPr>
            <sz val="10"/>
            <rFont val="SimSun"/>
            <charset val="134"/>
          </rPr>
          <t>======
ID#AAABscKvhw0
Ricardo Mattos e Dinato    (2025-10-14 21:04:48)
Veículo automotor destinado ao transporte de passageiros, com capacidade para até oito pessoas, exclusive o condutor.
Fonte: MC (2008)</t>
        </r>
      </text>
    </comment>
  </commentList>
</comments>
</file>

<file path=xl/comments10.xml><?xml version="1.0" encoding="utf-8"?>
<comments xmlns="http://schemas.openxmlformats.org/spreadsheetml/2006/main">
  <authors>
    <author/>
  </authors>
  <commentList>
    <comment ref="D1" authorId="0">
      <text>
        <r>
          <rPr>
            <sz val="10"/>
            <rFont val="SimSun"/>
            <charset val="134"/>
          </rPr>
          <t>======
ID#AAABscKvhw4
George Magalhães    (2025-10-14 21:04:48)
Na referência adotada (MMA, 2014) alguns fatores de emissão não variam de acordo com o ano do veículo. Dessa forma, será adotado o mesmo FE para todos os anos da frota.
Para a referência do DEFRA a autonomia foi calculada</t>
        </r>
      </text>
    </comment>
    <comment ref="B9" authorId="0">
      <text>
        <r>
          <rPr>
            <sz val="10"/>
            <rFont val="SimSun"/>
            <charset val="134"/>
          </rPr>
          <t>======
ID#AAABscKvhtk
Tiago Jesus    (2025-10-14 21:04:48)
Não existe na ferramenta do GHG. Deixamos o mesmo consumo do veículo elétrico</t>
        </r>
      </text>
    </comment>
  </commentList>
</comments>
</file>

<file path=xl/sharedStrings.xml><?xml version="1.0" encoding="utf-8"?>
<sst xmlns="http://schemas.openxmlformats.org/spreadsheetml/2006/main" count="5705" uniqueCount="1464">
  <si>
    <t>País</t>
  </si>
  <si>
    <t>Sigla</t>
  </si>
  <si>
    <t>Cidade</t>
  </si>
  <si>
    <t>Graus</t>
  </si>
  <si>
    <t>Minutos</t>
  </si>
  <si>
    <t>Segundos</t>
  </si>
  <si>
    <t>N/S</t>
  </si>
  <si>
    <t>L/O</t>
  </si>
  <si>
    <t>África do Sul</t>
  </si>
  <si>
    <t>CPT</t>
  </si>
  <si>
    <t>Cidade do Cabo</t>
  </si>
  <si>
    <t>S</t>
  </si>
  <si>
    <t>L</t>
  </si>
  <si>
    <t>JNB</t>
  </si>
  <si>
    <t>Joanesburgo</t>
  </si>
  <si>
    <t>Alemanha</t>
  </si>
  <si>
    <t>TXL</t>
  </si>
  <si>
    <t>Berlim</t>
  </si>
  <si>
    <t>N</t>
  </si>
  <si>
    <t>BER</t>
  </si>
  <si>
    <t>Berlin</t>
  </si>
  <si>
    <t>FRA</t>
  </si>
  <si>
    <t>Frankurt</t>
  </si>
  <si>
    <t>HAM</t>
  </si>
  <si>
    <t>Hamburgo</t>
  </si>
  <si>
    <t>LEJ</t>
  </si>
  <si>
    <t>Leipzig</t>
  </si>
  <si>
    <t>MUC</t>
  </si>
  <si>
    <t>Munique</t>
  </si>
  <si>
    <t>STR</t>
  </si>
  <si>
    <t>Stuttgart </t>
  </si>
  <si>
    <t>CGN</t>
  </si>
  <si>
    <t>Colônia</t>
  </si>
  <si>
    <t>DUS</t>
  </si>
  <si>
    <t>Düsseldorf</t>
  </si>
  <si>
    <t>FMO</t>
  </si>
  <si>
    <t>Münster</t>
  </si>
  <si>
    <t>SXF</t>
  </si>
  <si>
    <t>ZWS</t>
  </si>
  <si>
    <t>Stuttgart</t>
  </si>
  <si>
    <t>QKL</t>
  </si>
  <si>
    <t xml:space="preserve"> Cologne-Bonn</t>
  </si>
  <si>
    <t>MHG</t>
  </si>
  <si>
    <t>Mannhein</t>
  </si>
  <si>
    <t>BRE</t>
  </si>
  <si>
    <t>Bremen</t>
  </si>
  <si>
    <t>Angola</t>
  </si>
  <si>
    <t>LAD</t>
  </si>
  <si>
    <t>Luanda</t>
  </si>
  <si>
    <t>Antilhas Holandesas</t>
  </si>
  <si>
    <t>SXM</t>
  </si>
  <si>
    <t>St. Maarten</t>
  </si>
  <si>
    <t>O</t>
  </si>
  <si>
    <t>Arábia Saudita</t>
  </si>
  <si>
    <t>JED</t>
  </si>
  <si>
    <t>Jeddah</t>
  </si>
  <si>
    <t>Argentina</t>
  </si>
  <si>
    <t>BRC</t>
  </si>
  <si>
    <t>Bariloche</t>
  </si>
  <si>
    <t>AEP</t>
  </si>
  <si>
    <t>Buenos Aires</t>
  </si>
  <si>
    <t>EZE</t>
  </si>
  <si>
    <t>MDZ</t>
  </si>
  <si>
    <t>Mendoza</t>
  </si>
  <si>
    <t>ROS</t>
  </si>
  <si>
    <t>Rosário</t>
  </si>
  <si>
    <t>AFA</t>
  </si>
  <si>
    <t>San Rafael</t>
  </si>
  <si>
    <t>CRD</t>
  </si>
  <si>
    <t>Comodoro Rivadavia</t>
  </si>
  <si>
    <t>UAQ</t>
  </si>
  <si>
    <t>San Juan</t>
  </si>
  <si>
    <t>COR</t>
  </si>
  <si>
    <t>Córdoba</t>
  </si>
  <si>
    <t>USH</t>
  </si>
  <si>
    <t>Ushuaia</t>
  </si>
  <si>
    <t>Austrália</t>
  </si>
  <si>
    <t>MEL</t>
  </si>
  <si>
    <t>Melbourne</t>
  </si>
  <si>
    <t>PER</t>
  </si>
  <si>
    <t>Perth</t>
  </si>
  <si>
    <t>SYD</t>
  </si>
  <si>
    <t>Sydney</t>
  </si>
  <si>
    <t>CNS</t>
  </si>
  <si>
    <t>Cairns</t>
  </si>
  <si>
    <t>BNE</t>
  </si>
  <si>
    <t>Brisbane</t>
  </si>
  <si>
    <t>Áustria</t>
  </si>
  <si>
    <t>GRZ</t>
  </si>
  <si>
    <t>Graz</t>
  </si>
  <si>
    <t>SZG</t>
  </si>
  <si>
    <t>Salzburg</t>
  </si>
  <si>
    <t>VIE</t>
  </si>
  <si>
    <t>Vienna</t>
  </si>
  <si>
    <t>Bahamas</t>
  </si>
  <si>
    <t>NAS</t>
  </si>
  <si>
    <t>Nassau</t>
  </si>
  <si>
    <t>Bélgica</t>
  </si>
  <si>
    <t>BRU</t>
  </si>
  <si>
    <t>Bruxelas</t>
  </si>
  <si>
    <t>Belgrado</t>
  </si>
  <si>
    <t>BEG</t>
  </si>
  <si>
    <t>Sérvia</t>
  </si>
  <si>
    <t>Bolívia</t>
  </si>
  <si>
    <t>LPB</t>
  </si>
  <si>
    <t>La Paz</t>
  </si>
  <si>
    <t>VVI</t>
  </si>
  <si>
    <t>Santa Cruz</t>
  </si>
  <si>
    <t>CBB</t>
  </si>
  <si>
    <t>Cochabamba</t>
  </si>
  <si>
    <t>Brasil</t>
  </si>
  <si>
    <t>AFL</t>
  </si>
  <si>
    <t>Alta Floresta</t>
  </si>
  <si>
    <t>ATM</t>
  </si>
  <si>
    <t>Altamira</t>
  </si>
  <si>
    <t>AJU</t>
  </si>
  <si>
    <t>Aracaju</t>
  </si>
  <si>
    <t>ARU</t>
  </si>
  <si>
    <t>Araçatuba</t>
  </si>
  <si>
    <t>AUX</t>
  </si>
  <si>
    <t>Araguaina</t>
  </si>
  <si>
    <t>AAX</t>
  </si>
  <si>
    <t>Araxá</t>
  </si>
  <si>
    <t>BGX</t>
  </si>
  <si>
    <t>Bagé</t>
  </si>
  <si>
    <t>BRA</t>
  </si>
  <si>
    <t>Barreiras</t>
  </si>
  <si>
    <t>JTC</t>
  </si>
  <si>
    <t>Bauru</t>
  </si>
  <si>
    <t>BEL</t>
  </si>
  <si>
    <t>Belém</t>
  </si>
  <si>
    <t>CNF</t>
  </si>
  <si>
    <t>Belo Horizonte</t>
  </si>
  <si>
    <t>PLU</t>
  </si>
  <si>
    <t>BVB</t>
  </si>
  <si>
    <t>Boa Vista</t>
  </si>
  <si>
    <t>BSB</t>
  </si>
  <si>
    <t>Brasília</t>
  </si>
  <si>
    <t>OAL</t>
  </si>
  <si>
    <t>Cacoal</t>
  </si>
  <si>
    <t>CPV</t>
  </si>
  <si>
    <t>Campina Grande</t>
  </si>
  <si>
    <t>VCP</t>
  </si>
  <si>
    <t>Campinas</t>
  </si>
  <si>
    <t>CPQ</t>
  </si>
  <si>
    <t>CGR</t>
  </si>
  <si>
    <t>Campo Grande</t>
  </si>
  <si>
    <t>CAW</t>
  </si>
  <si>
    <t>Campos</t>
  </si>
  <si>
    <t>CKS</t>
  </si>
  <si>
    <t>Carajás</t>
  </si>
  <si>
    <t>CAC</t>
  </si>
  <si>
    <t>Cascavel</t>
  </si>
  <si>
    <t>CXJ</t>
  </si>
  <si>
    <t>Caxias do Sul</t>
  </si>
  <si>
    <t>XAP</t>
  </si>
  <si>
    <t>Chapecó</t>
  </si>
  <si>
    <t>CDJ</t>
  </si>
  <si>
    <t>Conceição do Araguaia</t>
  </si>
  <si>
    <t>CFO</t>
  </si>
  <si>
    <t>Confresa</t>
  </si>
  <si>
    <t>CMG</t>
  </si>
  <si>
    <t>Corumbá</t>
  </si>
  <si>
    <t>CCM</t>
  </si>
  <si>
    <t>Criciuma</t>
  </si>
  <si>
    <t>CZS</t>
  </si>
  <si>
    <t>Cruzeiro do Sul</t>
  </si>
  <si>
    <t>CGB</t>
  </si>
  <si>
    <t>Cuiabá</t>
  </si>
  <si>
    <t>CWB</t>
  </si>
  <si>
    <t>Curitiba</t>
  </si>
  <si>
    <t>DOU</t>
  </si>
  <si>
    <t>Dourados</t>
  </si>
  <si>
    <t>FLN</t>
  </si>
  <si>
    <t>Florianópolis</t>
  </si>
  <si>
    <t>FOR</t>
  </si>
  <si>
    <t>Fortaleza</t>
  </si>
  <si>
    <t>IGU</t>
  </si>
  <si>
    <t>Foz do Iguaçu</t>
  </si>
  <si>
    <t>GYN</t>
  </si>
  <si>
    <t>Goiânia</t>
  </si>
  <si>
    <t>IZA</t>
  </si>
  <si>
    <t>GVR</t>
  </si>
  <si>
    <t>Governador Valadares</t>
  </si>
  <si>
    <t>GRU</t>
  </si>
  <si>
    <t>Guarulhos</t>
  </si>
  <si>
    <t>GRP</t>
  </si>
  <si>
    <t>Gurupi</t>
  </si>
  <si>
    <t>IOS</t>
  </si>
  <si>
    <t>Ilhéus</t>
  </si>
  <si>
    <t>IMP</t>
  </si>
  <si>
    <t>Imperatriz</t>
  </si>
  <si>
    <t>IPN</t>
  </si>
  <si>
    <t>Ipatinga</t>
  </si>
  <si>
    <t>JPR</t>
  </si>
  <si>
    <t>Ji-Paraná</t>
  </si>
  <si>
    <t>JPA</t>
  </si>
  <si>
    <t>João Pessoa</t>
  </si>
  <si>
    <t>JOI</t>
  </si>
  <si>
    <t>Joinville</t>
  </si>
  <si>
    <t>JUA</t>
  </si>
  <si>
    <t>Juara</t>
  </si>
  <si>
    <t>JDO</t>
  </si>
  <si>
    <t>Juazeiro do Norte</t>
  </si>
  <si>
    <t>JIA</t>
  </si>
  <si>
    <t>Juina</t>
  </si>
  <si>
    <t>JDF</t>
  </si>
  <si>
    <t>Juiz de Fora</t>
  </si>
  <si>
    <t>LDB</t>
  </si>
  <si>
    <t>Londrina</t>
  </si>
  <si>
    <t>MCP</t>
  </si>
  <si>
    <t>Macapá</t>
  </si>
  <si>
    <t>MCZ</t>
  </si>
  <si>
    <t>Maceió</t>
  </si>
  <si>
    <t>MAO</t>
  </si>
  <si>
    <t>Manaus</t>
  </si>
  <si>
    <t>MAB</t>
  </si>
  <si>
    <t>Marabá</t>
  </si>
  <si>
    <t>MII</t>
  </si>
  <si>
    <t>Marília</t>
  </si>
  <si>
    <t>MGF</t>
  </si>
  <si>
    <t>Maringá</t>
  </si>
  <si>
    <t>MQH</t>
  </si>
  <si>
    <t>Minacu</t>
  </si>
  <si>
    <t>MOC</t>
  </si>
  <si>
    <t>Montes Claros</t>
  </si>
  <si>
    <t>NAT</t>
  </si>
  <si>
    <t>Natal</t>
  </si>
  <si>
    <t>NVT</t>
  </si>
  <si>
    <t>Navegantes</t>
  </si>
  <si>
    <t>OIA</t>
  </si>
  <si>
    <t>Ourilândia</t>
  </si>
  <si>
    <t>PMW</t>
  </si>
  <si>
    <t>Palmas</t>
  </si>
  <si>
    <t>PHB</t>
  </si>
  <si>
    <t>Parnaíba</t>
  </si>
  <si>
    <t>PFB</t>
  </si>
  <si>
    <t>Passo Fundo</t>
  </si>
  <si>
    <t>POJ</t>
  </si>
  <si>
    <t>Patos de Minas</t>
  </si>
  <si>
    <t>PET</t>
  </si>
  <si>
    <t>Pelotas</t>
  </si>
  <si>
    <t>PNZ</t>
  </si>
  <si>
    <t>Petrolina</t>
  </si>
  <si>
    <t>PMG</t>
  </si>
  <si>
    <t>Ponta Porã</t>
  </si>
  <si>
    <t>POA</t>
  </si>
  <si>
    <t>Porto Alegre</t>
  </si>
  <si>
    <t>BPS</t>
  </si>
  <si>
    <t>Porto Seguro</t>
  </si>
  <si>
    <t>PVH</t>
  </si>
  <si>
    <t>Porto Velho</t>
  </si>
  <si>
    <t>PPB</t>
  </si>
  <si>
    <t>Presidente Prudente</t>
  </si>
  <si>
    <t>REC</t>
  </si>
  <si>
    <t>Recife</t>
  </si>
  <si>
    <t>RDC</t>
  </si>
  <si>
    <t>Redenção</t>
  </si>
  <si>
    <t>RAO</t>
  </si>
  <si>
    <t>Ribeirão Preto</t>
  </si>
  <si>
    <t>RBR</t>
  </si>
  <si>
    <t>Rio Branco</t>
  </si>
  <si>
    <t>GIG</t>
  </si>
  <si>
    <t>Rio de Janeiro</t>
  </si>
  <si>
    <t>SDU</t>
  </si>
  <si>
    <t>RVD</t>
  </si>
  <si>
    <t>Rio Verde</t>
  </si>
  <si>
    <t>ROO</t>
  </si>
  <si>
    <t>Rondonópolis</t>
  </si>
  <si>
    <t>SSA</t>
  </si>
  <si>
    <t>Salvador</t>
  </si>
  <si>
    <t>STM</t>
  </si>
  <si>
    <t>Santarém</t>
  </si>
  <si>
    <t>SXO</t>
  </si>
  <si>
    <t>São Félix do Araguaia</t>
  </si>
  <si>
    <t>SJP</t>
  </si>
  <si>
    <t>São José do Rio Preto</t>
  </si>
  <si>
    <t>SLZ</t>
  </si>
  <si>
    <t>São Luís</t>
  </si>
  <si>
    <t>CGH</t>
  </si>
  <si>
    <t>São Paulo</t>
  </si>
  <si>
    <t>OPS</t>
  </si>
  <si>
    <t>Sinop</t>
  </si>
  <si>
    <t>THE</t>
  </si>
  <si>
    <t>Teresina</t>
  </si>
  <si>
    <t>UBA</t>
  </si>
  <si>
    <t>Uberaba</t>
  </si>
  <si>
    <t>UDI</t>
  </si>
  <si>
    <t>Uberlândia</t>
  </si>
  <si>
    <t>URG</t>
  </si>
  <si>
    <t>Uruguaiana</t>
  </si>
  <si>
    <t>VAG</t>
  </si>
  <si>
    <t>Varginha</t>
  </si>
  <si>
    <t>BVH</t>
  </si>
  <si>
    <t>Vilhena</t>
  </si>
  <si>
    <t>VIX</t>
  </si>
  <si>
    <t>Vitória</t>
  </si>
  <si>
    <t>VDC</t>
  </si>
  <si>
    <t>Vitória da Conquista</t>
  </si>
  <si>
    <t>TBT</t>
  </si>
  <si>
    <t>Tabatinga</t>
  </si>
  <si>
    <t>SJK</t>
  </si>
  <si>
    <t>São José dos Campos</t>
  </si>
  <si>
    <t>CLV</t>
  </si>
  <si>
    <t>Caldas Novas</t>
  </si>
  <si>
    <t>FEN</t>
  </si>
  <si>
    <t>Fernando de Noronha</t>
  </si>
  <si>
    <t>PIN</t>
  </si>
  <si>
    <t>Parintins</t>
  </si>
  <si>
    <t>BYO</t>
  </si>
  <si>
    <t>Bonito</t>
  </si>
  <si>
    <t>SAO</t>
  </si>
  <si>
    <t>RIA</t>
  </si>
  <si>
    <t>Santa Maria</t>
  </si>
  <si>
    <t>MEA</t>
  </si>
  <si>
    <t>Macaé</t>
  </si>
  <si>
    <t>LEC</t>
  </si>
  <si>
    <t>Lençóis</t>
  </si>
  <si>
    <t>ITB</t>
  </si>
  <si>
    <t>Itaituba</t>
  </si>
  <si>
    <t>DIQ</t>
  </si>
  <si>
    <t>Divinópolis</t>
  </si>
  <si>
    <t>TJL</t>
  </si>
  <si>
    <t>Três Lagoas</t>
  </si>
  <si>
    <t>TFF</t>
  </si>
  <si>
    <t>Tefé</t>
  </si>
  <si>
    <t>JJG</t>
  </si>
  <si>
    <t xml:space="preserve">  Jaguaruna</t>
  </si>
  <si>
    <t>BPG</t>
  </si>
  <si>
    <t>Barra dos Garças</t>
  </si>
  <si>
    <t>LAJ</t>
  </si>
  <si>
    <t>Lages</t>
  </si>
  <si>
    <t>SRA</t>
  </si>
  <si>
    <t>Santa Rosa</t>
  </si>
  <si>
    <t>FEC</t>
  </si>
  <si>
    <t>Feira de Santana</t>
  </si>
  <si>
    <t>CIZ</t>
  </si>
  <si>
    <t>Coari</t>
  </si>
  <si>
    <t>CAF</t>
  </si>
  <si>
    <t>Caruari</t>
  </si>
  <si>
    <t>PGZ</t>
  </si>
  <si>
    <t>Ponta Grossa</t>
  </si>
  <si>
    <t>JJD</t>
  </si>
  <si>
    <t>Jericoacoara </t>
  </si>
  <si>
    <t>EEA</t>
  </si>
  <si>
    <t>Correia Pinto</t>
  </si>
  <si>
    <t>GEL</t>
  </si>
  <si>
    <t>Santo Ângelo</t>
  </si>
  <si>
    <t>RRJ</t>
  </si>
  <si>
    <t>MVF</t>
  </si>
  <si>
    <t>Mossoró</t>
  </si>
  <si>
    <t>OTP</t>
  </si>
  <si>
    <t>Bucharest </t>
  </si>
  <si>
    <t>LNZ</t>
  </si>
  <si>
    <t>Linz</t>
  </si>
  <si>
    <t>BSS</t>
  </si>
  <si>
    <t>Balsas</t>
  </si>
  <si>
    <t>Bulgária</t>
  </si>
  <si>
    <t>SOF</t>
  </si>
  <si>
    <t>Sofia</t>
  </si>
  <si>
    <t>Cabo Verde</t>
  </si>
  <si>
    <t>RAI</t>
  </si>
  <si>
    <t>Praia</t>
  </si>
  <si>
    <t>Canadá</t>
  </si>
  <si>
    <t>YXU</t>
  </si>
  <si>
    <t>London</t>
  </si>
  <si>
    <t>YUL</t>
  </si>
  <si>
    <t>Montreal</t>
  </si>
  <si>
    <t>YOW</t>
  </si>
  <si>
    <t>Ottawa</t>
  </si>
  <si>
    <t>YQB</t>
  </si>
  <si>
    <t>Quebéc</t>
  </si>
  <si>
    <t>YVR</t>
  </si>
  <si>
    <t>Richmond</t>
  </si>
  <si>
    <t>YYZ</t>
  </si>
  <si>
    <t>Toronto</t>
  </si>
  <si>
    <t>YEG</t>
  </si>
  <si>
    <t>Edmonton</t>
  </si>
  <si>
    <t>YYC</t>
  </si>
  <si>
    <t>Calgary</t>
  </si>
  <si>
    <t>YHZ</t>
  </si>
  <si>
    <t>Halifax</t>
  </si>
  <si>
    <t>YTS</t>
  </si>
  <si>
    <t>Timmins</t>
  </si>
  <si>
    <t>YYJ</t>
  </si>
  <si>
    <t>Victoria</t>
  </si>
  <si>
    <t>Catar</t>
  </si>
  <si>
    <t>DOH</t>
  </si>
  <si>
    <t>Doha</t>
  </si>
  <si>
    <t>Chile</t>
  </si>
  <si>
    <t>ARI</t>
  </si>
  <si>
    <t>Arica</t>
  </si>
  <si>
    <t>SCL</t>
  </si>
  <si>
    <t>Santiago</t>
  </si>
  <si>
    <t>ANF</t>
  </si>
  <si>
    <t>Antofagasta</t>
  </si>
  <si>
    <t>CJC</t>
  </si>
  <si>
    <t>Calama</t>
  </si>
  <si>
    <t>CPO</t>
  </si>
  <si>
    <t>Deserto de Atacama</t>
  </si>
  <si>
    <t>LSC</t>
  </si>
  <si>
    <t>La Serena</t>
  </si>
  <si>
    <t>China</t>
  </si>
  <si>
    <t>CAN</t>
  </si>
  <si>
    <t>Guangzhou</t>
  </si>
  <si>
    <t>HKG</t>
  </si>
  <si>
    <t>Hong Kong</t>
  </si>
  <si>
    <t>PEK</t>
  </si>
  <si>
    <t>Pequim</t>
  </si>
  <si>
    <t>SHA</t>
  </si>
  <si>
    <t>Shanghai</t>
  </si>
  <si>
    <t>PVG</t>
  </si>
  <si>
    <t>Xangai</t>
  </si>
  <si>
    <t>XMN</t>
  </si>
  <si>
    <t>Xiamen</t>
  </si>
  <si>
    <t>CHG</t>
  </si>
  <si>
    <t>Chaoyang</t>
  </si>
  <si>
    <t>JJN</t>
  </si>
  <si>
    <t>Quanzhou</t>
  </si>
  <si>
    <t>TAO</t>
  </si>
  <si>
    <t>Qingdao</t>
  </si>
  <si>
    <t>SZX</t>
  </si>
  <si>
    <t>Shenzen</t>
  </si>
  <si>
    <t>Chipre</t>
  </si>
  <si>
    <t>ECN</t>
  </si>
  <si>
    <t>Nicosia</t>
  </si>
  <si>
    <t>Colômbia</t>
  </si>
  <si>
    <t>BOG</t>
  </si>
  <si>
    <t>Bogotá</t>
  </si>
  <si>
    <t>CUI</t>
  </si>
  <si>
    <t>Currillo</t>
  </si>
  <si>
    <t>MDE</t>
  </si>
  <si>
    <t>Medelin</t>
  </si>
  <si>
    <t>EOH</t>
  </si>
  <si>
    <t>Medellín</t>
  </si>
  <si>
    <t>CLO</t>
  </si>
  <si>
    <t>Cali</t>
  </si>
  <si>
    <t>CTG</t>
  </si>
  <si>
    <t>Cartagena</t>
  </si>
  <si>
    <t>PPN</t>
  </si>
  <si>
    <t>Popayan</t>
  </si>
  <si>
    <t>Coréia do Sul</t>
  </si>
  <si>
    <t>ICN</t>
  </si>
  <si>
    <t>Seul</t>
  </si>
  <si>
    <t>Costa Rica</t>
  </si>
  <si>
    <t>SJO</t>
  </si>
  <si>
    <t>San Jose</t>
  </si>
  <si>
    <t>Croácia</t>
  </si>
  <si>
    <t>DBV</t>
  </si>
  <si>
    <t>Dubrovnik</t>
  </si>
  <si>
    <t>ZAG</t>
  </si>
  <si>
    <t>Zagreb</t>
  </si>
  <si>
    <t>Cuba</t>
  </si>
  <si>
    <t>HAV</t>
  </si>
  <si>
    <t>Havana</t>
  </si>
  <si>
    <t>Dinamarca</t>
  </si>
  <si>
    <t>CPH</t>
  </si>
  <si>
    <t>Copenhagen</t>
  </si>
  <si>
    <t>AAR</t>
  </si>
  <si>
    <t>Aarhus</t>
  </si>
  <si>
    <t>AAL</t>
  </si>
  <si>
    <t>Alborg </t>
  </si>
  <si>
    <t>Egito</t>
  </si>
  <si>
    <t>CAI</t>
  </si>
  <si>
    <t>Cairo</t>
  </si>
  <si>
    <t>SSH</t>
  </si>
  <si>
    <t>Sharm El Sheikh</t>
  </si>
  <si>
    <t>Emirados Árabes Unidos</t>
  </si>
  <si>
    <t>DXB</t>
  </si>
  <si>
    <t>Dubai</t>
  </si>
  <si>
    <t>AUH</t>
  </si>
  <si>
    <t>Abu Dhabi</t>
  </si>
  <si>
    <t>Equador</t>
  </si>
  <si>
    <t>UIO</t>
  </si>
  <si>
    <t>Quito</t>
  </si>
  <si>
    <t>GYE</t>
  </si>
  <si>
    <t>Guayaquil</t>
  </si>
  <si>
    <t>Escócia</t>
  </si>
  <si>
    <t>EDI</t>
  </si>
  <si>
    <t>Edimburgo</t>
  </si>
  <si>
    <t>Eslovênia</t>
  </si>
  <si>
    <t>LJU</t>
  </si>
  <si>
    <t>Ljubljana</t>
  </si>
  <si>
    <t>Espanha</t>
  </si>
  <si>
    <t>BCN</t>
  </si>
  <si>
    <t>Barcelona</t>
  </si>
  <si>
    <t>MAD</t>
  </si>
  <si>
    <t>Madri</t>
  </si>
  <si>
    <t>TOJ</t>
  </si>
  <si>
    <t>SCQ</t>
  </si>
  <si>
    <t>Santiago de Compostela</t>
  </si>
  <si>
    <t>SPO</t>
  </si>
  <si>
    <t>Sevilha</t>
  </si>
  <si>
    <t>VLC</t>
  </si>
  <si>
    <t>Valência</t>
  </si>
  <si>
    <t>SDR</t>
  </si>
  <si>
    <t>Santander</t>
  </si>
  <si>
    <t>VGO</t>
  </si>
  <si>
    <t>Vigo</t>
  </si>
  <si>
    <t>Estados Unidos</t>
  </si>
  <si>
    <t>CAK</t>
  </si>
  <si>
    <t>Akron/Canton</t>
  </si>
  <si>
    <t>ANA</t>
  </si>
  <si>
    <t>Anaheim</t>
  </si>
  <si>
    <t>ATL</t>
  </si>
  <si>
    <t>Atlanta</t>
  </si>
  <si>
    <t>BWI</t>
  </si>
  <si>
    <t>Baltimore</t>
  </si>
  <si>
    <t>BOS</t>
  </si>
  <si>
    <t>Boston</t>
  </si>
  <si>
    <t>MDW</t>
  </si>
  <si>
    <t>Chicago</t>
  </si>
  <si>
    <t>ORD</t>
  </si>
  <si>
    <t>CHI</t>
  </si>
  <si>
    <t>CVG</t>
  </si>
  <si>
    <t>Covington</t>
  </si>
  <si>
    <t>DFW</t>
  </si>
  <si>
    <t>Dallas</t>
  </si>
  <si>
    <t>DAL</t>
  </si>
  <si>
    <t>DEN</t>
  </si>
  <si>
    <t>Denver</t>
  </si>
  <si>
    <t>DSM</t>
  </si>
  <si>
    <t>Des Moines</t>
  </si>
  <si>
    <t>DTW</t>
  </si>
  <si>
    <t>Detroit</t>
  </si>
  <si>
    <t>ELP</t>
  </si>
  <si>
    <t>El Passo</t>
  </si>
  <si>
    <t>GRE</t>
  </si>
  <si>
    <t>Greenville</t>
  </si>
  <si>
    <t>MDT</t>
  </si>
  <si>
    <t>Harrisburg</t>
  </si>
  <si>
    <t>IAH</t>
  </si>
  <si>
    <t>Houston</t>
  </si>
  <si>
    <t>HOU</t>
  </si>
  <si>
    <t>IND</t>
  </si>
  <si>
    <t>Indianápolis</t>
  </si>
  <si>
    <t>LAS</t>
  </si>
  <si>
    <t>Las Vegas</t>
  </si>
  <si>
    <t>LAX</t>
  </si>
  <si>
    <t>Los Angeles</t>
  </si>
  <si>
    <t>MIA</t>
  </si>
  <si>
    <t>Miami</t>
  </si>
  <si>
    <t>MTP</t>
  </si>
  <si>
    <t>Montauk</t>
  </si>
  <si>
    <t>JFK</t>
  </si>
  <si>
    <t>Nova Iorque</t>
  </si>
  <si>
    <t>LGA</t>
  </si>
  <si>
    <t>EWR</t>
  </si>
  <si>
    <t>Newark</t>
  </si>
  <si>
    <t>COM</t>
  </si>
  <si>
    <t>Orlando</t>
  </si>
  <si>
    <t>PHL</t>
  </si>
  <si>
    <t>Filadélfia</t>
  </si>
  <si>
    <t>PHX</t>
  </si>
  <si>
    <t>Phoenix</t>
  </si>
  <si>
    <t>PIT</t>
  </si>
  <si>
    <t>Pittsburgh</t>
  </si>
  <si>
    <t>PVD</t>
  </si>
  <si>
    <t>Providence</t>
  </si>
  <si>
    <t>SFO</t>
  </si>
  <si>
    <t>São Francisco</t>
  </si>
  <si>
    <t>SYR</t>
  </si>
  <si>
    <t>Syracuse</t>
  </si>
  <si>
    <t>TUS</t>
  </si>
  <si>
    <t>Tucson</t>
  </si>
  <si>
    <t>IAD</t>
  </si>
  <si>
    <t>Washington</t>
  </si>
  <si>
    <t>DCA</t>
  </si>
  <si>
    <t>Washington, DC</t>
  </si>
  <si>
    <t>AUS</t>
  </si>
  <si>
    <t>Austin</t>
  </si>
  <si>
    <t>SDY</t>
  </si>
  <si>
    <t>Sidney</t>
  </si>
  <si>
    <t>CMH</t>
  </si>
  <si>
    <t>Columbus</t>
  </si>
  <si>
    <t>CAE</t>
  </si>
  <si>
    <t>Columbia</t>
  </si>
  <si>
    <t>CHO</t>
  </si>
  <si>
    <t>Charlottesville</t>
  </si>
  <si>
    <t>CLT</t>
  </si>
  <si>
    <t>Charlotte</t>
  </si>
  <si>
    <t>MSN</t>
  </si>
  <si>
    <t>Madison</t>
  </si>
  <si>
    <t>RDU</t>
  </si>
  <si>
    <t>Raleigh-Durham</t>
  </si>
  <si>
    <t>SAN</t>
  </si>
  <si>
    <t>San Diego</t>
  </si>
  <si>
    <t>SEA</t>
  </si>
  <si>
    <t>Seattle</t>
  </si>
  <si>
    <t>SMF</t>
  </si>
  <si>
    <t>Sacramento</t>
  </si>
  <si>
    <t>XNA</t>
  </si>
  <si>
    <t>Bentonville</t>
  </si>
  <si>
    <t>TPA</t>
  </si>
  <si>
    <t>Tampa</t>
  </si>
  <si>
    <t>MCO</t>
  </si>
  <si>
    <t>LIH</t>
  </si>
  <si>
    <t>Lihue</t>
  </si>
  <si>
    <t>MSY</t>
  </si>
  <si>
    <t>Nova Orleans</t>
  </si>
  <si>
    <t>PDX</t>
  </si>
  <si>
    <t>Portland</t>
  </si>
  <si>
    <t>SCE</t>
  </si>
  <si>
    <t>State College</t>
  </si>
  <si>
    <t>FLL</t>
  </si>
  <si>
    <t>Fort Lauderdale</t>
  </si>
  <si>
    <t>MRY</t>
  </si>
  <si>
    <t>Monterey</t>
  </si>
  <si>
    <t>Nava Orleans</t>
  </si>
  <si>
    <t>RNO</t>
  </si>
  <si>
    <t>Reno</t>
  </si>
  <si>
    <t>ALB</t>
  </si>
  <si>
    <t>Albânia</t>
  </si>
  <si>
    <t>CMI</t>
  </si>
  <si>
    <t>Illinois</t>
  </si>
  <si>
    <t>DAY</t>
  </si>
  <si>
    <t>Ohio</t>
  </si>
  <si>
    <t>TYR</t>
  </si>
  <si>
    <t>Texas</t>
  </si>
  <si>
    <t>SAT</t>
  </si>
  <si>
    <t>San Antonio</t>
  </si>
  <si>
    <t>SLC</t>
  </si>
  <si>
    <t>Salt Lake City</t>
  </si>
  <si>
    <t>SGH</t>
  </si>
  <si>
    <t>Springfield</t>
  </si>
  <si>
    <t>LSE</t>
  </si>
  <si>
    <t>La Crosse</t>
  </si>
  <si>
    <t>CID</t>
  </si>
  <si>
    <t>Cedar Rapids</t>
  </si>
  <si>
    <t>FLG</t>
  </si>
  <si>
    <t>Flagstaff</t>
  </si>
  <si>
    <t>SBA</t>
  </si>
  <si>
    <t>Santa Barbara</t>
  </si>
  <si>
    <t>BDL</t>
  </si>
  <si>
    <t>Windsor Locks</t>
  </si>
  <si>
    <t>FFL</t>
  </si>
  <si>
    <t>Fairfield</t>
  </si>
  <si>
    <t>SBN</t>
  </si>
  <si>
    <t>South Bend</t>
  </si>
  <si>
    <t>STL</t>
  </si>
  <si>
    <t>St. Louis</t>
  </si>
  <si>
    <t>SCH</t>
  </si>
  <si>
    <t>Schenectady</t>
  </si>
  <si>
    <t>SJC</t>
  </si>
  <si>
    <t>SNA</t>
  </si>
  <si>
    <t>Santa Ana</t>
  </si>
  <si>
    <t>MSP</t>
  </si>
  <si>
    <t>Minneapolis</t>
  </si>
  <si>
    <t>TYS</t>
  </si>
  <si>
    <t>Knoxville</t>
  </si>
  <si>
    <t>MPT</t>
  </si>
  <si>
    <t>CLE</t>
  </si>
  <si>
    <t>HNL</t>
  </si>
  <si>
    <t>Honolulu</t>
  </si>
  <si>
    <t>ITH</t>
  </si>
  <si>
    <t>Ithaca</t>
  </si>
  <si>
    <t>PWM</t>
  </si>
  <si>
    <t>BNA</t>
  </si>
  <si>
    <t>Nashville</t>
  </si>
  <si>
    <t>BBB</t>
  </si>
  <si>
    <t>Benson</t>
  </si>
  <si>
    <t>EYW</t>
  </si>
  <si>
    <t>Key West</t>
  </si>
  <si>
    <t>OKC</t>
  </si>
  <si>
    <t>Oklahoma City</t>
  </si>
  <si>
    <t>LEX</t>
  </si>
  <si>
    <t>Lexington </t>
  </si>
  <si>
    <t>ICT</t>
  </si>
  <si>
    <t>Wichita </t>
  </si>
  <si>
    <t>EAS</t>
  </si>
  <si>
    <t>San Sebastian</t>
  </si>
  <si>
    <t>Estônia</t>
  </si>
  <si>
    <t>TLL</t>
  </si>
  <si>
    <t>Tallinn</t>
  </si>
  <si>
    <t>Etiópia</t>
  </si>
  <si>
    <t>ADD</t>
  </si>
  <si>
    <t>Addis Ababa</t>
  </si>
  <si>
    <t>Filipinas</t>
  </si>
  <si>
    <t>CRM</t>
  </si>
  <si>
    <t>Catarman</t>
  </si>
  <si>
    <t>MNL</t>
  </si>
  <si>
    <t>Manila</t>
  </si>
  <si>
    <t>Finlândia</t>
  </si>
  <si>
    <t>HEL</t>
  </si>
  <si>
    <t>Vantaa</t>
  </si>
  <si>
    <t>França</t>
  </si>
  <si>
    <t>LYS</t>
  </si>
  <si>
    <t>Lyon</t>
  </si>
  <si>
    <t>MRS</t>
  </si>
  <si>
    <t>Marselha</t>
  </si>
  <si>
    <t>CDG</t>
  </si>
  <si>
    <t>Paris</t>
  </si>
  <si>
    <t>SXB</t>
  </si>
  <si>
    <t>Strasbourg</t>
  </si>
  <si>
    <t>ORY</t>
  </si>
  <si>
    <t>Paris (Orly)</t>
  </si>
  <si>
    <t>TLS</t>
  </si>
  <si>
    <t>Toulouse</t>
  </si>
  <si>
    <t>LIL</t>
  </si>
  <si>
    <t>Lille</t>
  </si>
  <si>
    <t>CFE</t>
  </si>
  <si>
    <t>Clermont-Ferrand</t>
  </si>
  <si>
    <t>BOD</t>
  </si>
  <si>
    <t>Bordeaux</t>
  </si>
  <si>
    <t>RNS</t>
  </si>
  <si>
    <t>Rennes</t>
  </si>
  <si>
    <t>NCE</t>
  </si>
  <si>
    <t>Nice</t>
  </si>
  <si>
    <t>Granada</t>
  </si>
  <si>
    <t>CRU</t>
  </si>
  <si>
    <t>Lauriston</t>
  </si>
  <si>
    <t>Grécia</t>
  </si>
  <si>
    <t>ATH</t>
  </si>
  <si>
    <t>Atenas</t>
  </si>
  <si>
    <t>CHQ</t>
  </si>
  <si>
    <t>Souda</t>
  </si>
  <si>
    <t>HER</t>
  </si>
  <si>
    <t>Iraklion</t>
  </si>
  <si>
    <t>SKG</t>
  </si>
  <si>
    <t>Thessaloniki</t>
  </si>
  <si>
    <t>Guatemala</t>
  </si>
  <si>
    <t>GUA</t>
  </si>
  <si>
    <t>Cidade da Guatemala</t>
  </si>
  <si>
    <t>Guiné-Bissau</t>
  </si>
  <si>
    <t>OXB</t>
  </si>
  <si>
    <t>Bissau</t>
  </si>
  <si>
    <t>Honduras</t>
  </si>
  <si>
    <t>TGU</t>
  </si>
  <si>
    <t>Tegucigalpa</t>
  </si>
  <si>
    <t>SAP</t>
  </si>
  <si>
    <t>La Mesa</t>
  </si>
  <si>
    <t>Hungria</t>
  </si>
  <si>
    <t>BUD</t>
  </si>
  <si>
    <t>Budapeste</t>
  </si>
  <si>
    <t>Índia</t>
  </si>
  <si>
    <t>BLR</t>
  </si>
  <si>
    <t>Bangalore</t>
  </si>
  <si>
    <t>BOM</t>
  </si>
  <si>
    <t>Bombaim</t>
  </si>
  <si>
    <t>CCU</t>
  </si>
  <si>
    <t>Calcutá</t>
  </si>
  <si>
    <t>DEL</t>
  </si>
  <si>
    <t>Nova Delhi</t>
  </si>
  <si>
    <t>AMD</t>
  </si>
  <si>
    <t>Sardar Vallabhbhai Patel</t>
  </si>
  <si>
    <t>LDA</t>
  </si>
  <si>
    <t>Malda</t>
  </si>
  <si>
    <t>Indonésia</t>
  </si>
  <si>
    <t>CGK</t>
  </si>
  <si>
    <t>Jacarta</t>
  </si>
  <si>
    <t>Inglaterra</t>
  </si>
  <si>
    <t>LPL</t>
  </si>
  <si>
    <t>Liverpool</t>
  </si>
  <si>
    <t>LYX</t>
  </si>
  <si>
    <t>Londres</t>
  </si>
  <si>
    <t>LHR</t>
  </si>
  <si>
    <t>W</t>
  </si>
  <si>
    <t>MAN</t>
  </si>
  <si>
    <t>Manchester</t>
  </si>
  <si>
    <t>BHX</t>
  </si>
  <si>
    <t>Birmingham</t>
  </si>
  <si>
    <t>LCY</t>
  </si>
  <si>
    <t>LGW</t>
  </si>
  <si>
    <t>Londres (Gatwick)</t>
  </si>
  <si>
    <t>BBS</t>
  </si>
  <si>
    <t>Yateley</t>
  </si>
  <si>
    <t>Irã</t>
  </si>
  <si>
    <t>IKA</t>
  </si>
  <si>
    <t>Tehran</t>
  </si>
  <si>
    <t>THR</t>
  </si>
  <si>
    <t>Iraque</t>
  </si>
  <si>
    <t>BGW</t>
  </si>
  <si>
    <t>Bagda</t>
  </si>
  <si>
    <t>EBL</t>
  </si>
  <si>
    <t>Erbil</t>
  </si>
  <si>
    <t>Irlanda</t>
  </si>
  <si>
    <t>DUB</t>
  </si>
  <si>
    <t>Dublin</t>
  </si>
  <si>
    <t>SNN</t>
  </si>
  <si>
    <t>Shannon</t>
  </si>
  <si>
    <t>Islândia</t>
  </si>
  <si>
    <t>GRY</t>
  </si>
  <si>
    <t>Grímsey</t>
  </si>
  <si>
    <t>KEF</t>
  </si>
  <si>
    <t>Reykjavik</t>
  </si>
  <si>
    <t>Israel</t>
  </si>
  <si>
    <t>TLV</t>
  </si>
  <si>
    <t>Tel Aviv</t>
  </si>
  <si>
    <t>Itália</t>
  </si>
  <si>
    <t>BRI</t>
  </si>
  <si>
    <t>Bari</t>
  </si>
  <si>
    <t>BLQ</t>
  </si>
  <si>
    <t>Bolonha</t>
  </si>
  <si>
    <t>FLR</t>
  </si>
  <si>
    <t>Florença</t>
  </si>
  <si>
    <t>LIN</t>
  </si>
  <si>
    <t>Milão</t>
  </si>
  <si>
    <t>MXP</t>
  </si>
  <si>
    <t>NAP</t>
  </si>
  <si>
    <t>Nápoles</t>
  </si>
  <si>
    <t>PSA</t>
  </si>
  <si>
    <t>Pisa</t>
  </si>
  <si>
    <t>FCO</t>
  </si>
  <si>
    <t>Roma</t>
  </si>
  <si>
    <t>TRN</t>
  </si>
  <si>
    <t>Turin</t>
  </si>
  <si>
    <t>VCE</t>
  </si>
  <si>
    <t>Veneza</t>
  </si>
  <si>
    <t>VRN</t>
  </si>
  <si>
    <t>Verona</t>
  </si>
  <si>
    <t>CTA</t>
  </si>
  <si>
    <t>Catania</t>
  </si>
  <si>
    <t>PMO</t>
  </si>
  <si>
    <t>Palermo</t>
  </si>
  <si>
    <t>Jamaica</t>
  </si>
  <si>
    <t>KIN</t>
  </si>
  <si>
    <t>Kingston</t>
  </si>
  <si>
    <t>Japão</t>
  </si>
  <si>
    <t>NGO</t>
  </si>
  <si>
    <t>Nagoya</t>
  </si>
  <si>
    <t>NRT</t>
  </si>
  <si>
    <t>Narita</t>
  </si>
  <si>
    <t>HND</t>
  </si>
  <si>
    <t>Tóquio</t>
  </si>
  <si>
    <t>IHA</t>
  </si>
  <si>
    <t>Niihama</t>
  </si>
  <si>
    <t>CTS</t>
  </si>
  <si>
    <t>Chitose</t>
  </si>
  <si>
    <t>FUK</t>
  </si>
  <si>
    <t>Fukuoka</t>
  </si>
  <si>
    <t>KIX</t>
  </si>
  <si>
    <t>Osaka</t>
  </si>
  <si>
    <t>KMQ</t>
  </si>
  <si>
    <t>Komatsu</t>
  </si>
  <si>
    <t>Jordânia</t>
  </si>
  <si>
    <t>AMM</t>
  </si>
  <si>
    <t>Amman</t>
  </si>
  <si>
    <t>Líbano</t>
  </si>
  <si>
    <t>BEY</t>
  </si>
  <si>
    <t>Beirute</t>
  </si>
  <si>
    <t>Luxemburgo</t>
  </si>
  <si>
    <t>LUX</t>
  </si>
  <si>
    <t>Malásia</t>
  </si>
  <si>
    <t>KUL</t>
  </si>
  <si>
    <t>Kuala Lumpur</t>
  </si>
  <si>
    <t>Malta</t>
  </si>
  <si>
    <t>MLA</t>
  </si>
  <si>
    <t>Marrocos</t>
  </si>
  <si>
    <t>CAS</t>
  </si>
  <si>
    <t>Casablanca</t>
  </si>
  <si>
    <t>CMN</t>
  </si>
  <si>
    <t>RAK</t>
  </si>
  <si>
    <t>Marrakech</t>
  </si>
  <si>
    <t>Mexico</t>
  </si>
  <si>
    <t>HMO</t>
  </si>
  <si>
    <t>Hermosillo</t>
  </si>
  <si>
    <t>México</t>
  </si>
  <si>
    <t>ACA</t>
  </si>
  <si>
    <t>Acapulco</t>
  </si>
  <si>
    <t>CUN</t>
  </si>
  <si>
    <t>Cancun</t>
  </si>
  <si>
    <t>MEX</t>
  </si>
  <si>
    <t>Cidade do México</t>
  </si>
  <si>
    <t>CJS</t>
  </si>
  <si>
    <t>Cidade Juarez</t>
  </si>
  <si>
    <t>GDL</t>
  </si>
  <si>
    <t>Guadalajara</t>
  </si>
  <si>
    <t>LOM</t>
  </si>
  <si>
    <t>Lagos de Moreno</t>
  </si>
  <si>
    <t>BJX</t>
  </si>
  <si>
    <t>Léon</t>
  </si>
  <si>
    <t>MTY</t>
  </si>
  <si>
    <t>Monterrey</t>
  </si>
  <si>
    <t>NLD</t>
  </si>
  <si>
    <t>Nuevo Laredo</t>
  </si>
  <si>
    <t>TRC</t>
  </si>
  <si>
    <t>Torreon</t>
  </si>
  <si>
    <t>Moçambique</t>
  </si>
  <si>
    <t>MPM</t>
  </si>
  <si>
    <t>Maputo</t>
  </si>
  <si>
    <t>Nicarágua</t>
  </si>
  <si>
    <t>MGA</t>
  </si>
  <si>
    <t>Manágua</t>
  </si>
  <si>
    <t>Noruega</t>
  </si>
  <si>
    <t>OSL</t>
  </si>
  <si>
    <t>Oslo</t>
  </si>
  <si>
    <t>SRP</t>
  </si>
  <si>
    <t>Stord</t>
  </si>
  <si>
    <t>ALF</t>
  </si>
  <si>
    <t>Alta</t>
  </si>
  <si>
    <t>BGO</t>
  </si>
  <si>
    <t>Bergen</t>
  </si>
  <si>
    <t>Nova Zelândia</t>
  </si>
  <si>
    <t>WLG</t>
  </si>
  <si>
    <t>Wellington</t>
  </si>
  <si>
    <t>AKL</t>
  </si>
  <si>
    <t>Auckland</t>
  </si>
  <si>
    <t>DUD</t>
  </si>
  <si>
    <t>Dunedin</t>
  </si>
  <si>
    <t>País de Gales</t>
  </si>
  <si>
    <t>CWL</t>
  </si>
  <si>
    <t>Cardiff</t>
  </si>
  <si>
    <t>Países Baixos</t>
  </si>
  <si>
    <t>AMS</t>
  </si>
  <si>
    <t>Amsterdam</t>
  </si>
  <si>
    <t>RTM</t>
  </si>
  <si>
    <t>Rotterdam</t>
  </si>
  <si>
    <t>GRQ</t>
  </si>
  <si>
    <t>Groningen</t>
  </si>
  <si>
    <t>Panamá</t>
  </si>
  <si>
    <t>PTY</t>
  </si>
  <si>
    <t>Cidade do Panamá</t>
  </si>
  <si>
    <t>Papua New Guinea</t>
  </si>
  <si>
    <t>RBP</t>
  </si>
  <si>
    <t>Rabaraba</t>
  </si>
  <si>
    <t>SDI</t>
  </si>
  <si>
    <t>Saidor</t>
  </si>
  <si>
    <t>GUR</t>
  </si>
  <si>
    <t>Alotau </t>
  </si>
  <si>
    <t>Paquistão</t>
  </si>
  <si>
    <t>SDT</t>
  </si>
  <si>
    <t>Saidu Sharif</t>
  </si>
  <si>
    <t>Paraguai</t>
  </si>
  <si>
    <t>ASU</t>
  </si>
  <si>
    <t>Assunção</t>
  </si>
  <si>
    <t>AGT</t>
  </si>
  <si>
    <t>Cidade do Leste</t>
  </si>
  <si>
    <t>Peru</t>
  </si>
  <si>
    <t>CUZ</t>
  </si>
  <si>
    <t>Cuzco</t>
  </si>
  <si>
    <t>LIM</t>
  </si>
  <si>
    <t>Lima</t>
  </si>
  <si>
    <t>AQP</t>
  </si>
  <si>
    <t>Arequipa</t>
  </si>
  <si>
    <t>TRU</t>
  </si>
  <si>
    <t>Trujillo</t>
  </si>
  <si>
    <t>Polinésia Francesa</t>
  </si>
  <si>
    <t>AAA</t>
  </si>
  <si>
    <t>Anaa</t>
  </si>
  <si>
    <t>MAU</t>
  </si>
  <si>
    <t>Maupiti</t>
  </si>
  <si>
    <t>Polônia</t>
  </si>
  <si>
    <t>KRK</t>
  </si>
  <si>
    <t>Cracóvia</t>
  </si>
  <si>
    <t>WAW</t>
  </si>
  <si>
    <t>Varsóvia</t>
  </si>
  <si>
    <t>Porto Rico</t>
  </si>
  <si>
    <t>SJU</t>
  </si>
  <si>
    <t>Portugal</t>
  </si>
  <si>
    <t>FNC</t>
  </si>
  <si>
    <t>Funchal</t>
  </si>
  <si>
    <t>LIS</t>
  </si>
  <si>
    <t>Lisboa</t>
  </si>
  <si>
    <t>OPO</t>
  </si>
  <si>
    <t>Porto</t>
  </si>
  <si>
    <t>Quênia</t>
  </si>
  <si>
    <t>KIS</t>
  </si>
  <si>
    <t>Kisumu</t>
  </si>
  <si>
    <t>NBO</t>
  </si>
  <si>
    <t>Nairóbi</t>
  </si>
  <si>
    <t>Reino Unido</t>
  </si>
  <si>
    <t>LBA</t>
  </si>
  <si>
    <t>Leeds Bradford </t>
  </si>
  <si>
    <t>GLA</t>
  </si>
  <si>
    <t>Glasgow</t>
  </si>
  <si>
    <t>LTN</t>
  </si>
  <si>
    <t>República Dominicana</t>
  </si>
  <si>
    <t>SDQ</t>
  </si>
  <si>
    <t>Santo Domingo</t>
  </si>
  <si>
    <t>PUJ</t>
  </si>
  <si>
    <t>Punta Cana</t>
  </si>
  <si>
    <t>República Tcheca</t>
  </si>
  <si>
    <t>PRG</t>
  </si>
  <si>
    <t>Praga</t>
  </si>
  <si>
    <t>Rússia</t>
  </si>
  <si>
    <t>DME</t>
  </si>
  <si>
    <t>Moscou</t>
  </si>
  <si>
    <t>MOW</t>
  </si>
  <si>
    <t>VKO</t>
  </si>
  <si>
    <t>LED</t>
  </si>
  <si>
    <t>São Petersburgo</t>
  </si>
  <si>
    <t>SVO</t>
  </si>
  <si>
    <t>Singapura</t>
  </si>
  <si>
    <t>SIN</t>
  </si>
  <si>
    <t>Suécia</t>
  </si>
  <si>
    <t>ARN</t>
  </si>
  <si>
    <t>Estocolmo</t>
  </si>
  <si>
    <t>GOT</t>
  </si>
  <si>
    <t>Gothenburg</t>
  </si>
  <si>
    <t>LPI</t>
  </si>
  <si>
    <t>Linkoping </t>
  </si>
  <si>
    <t>Suíça</t>
  </si>
  <si>
    <t>GVA</t>
  </si>
  <si>
    <t>Genebra</t>
  </si>
  <si>
    <t>ZRH</t>
  </si>
  <si>
    <t>Zurique</t>
  </si>
  <si>
    <t>Tailândia</t>
  </si>
  <si>
    <t>BKK</t>
  </si>
  <si>
    <t>Bangkok</t>
  </si>
  <si>
    <t>Taiwan</t>
  </si>
  <si>
    <t>TPE</t>
  </si>
  <si>
    <t>Taipei</t>
  </si>
  <si>
    <t>Tunísia</t>
  </si>
  <si>
    <t>TUN</t>
  </si>
  <si>
    <t>Tunis</t>
  </si>
  <si>
    <t>Turquia</t>
  </si>
  <si>
    <t>ADA</t>
  </si>
  <si>
    <t>Adana</t>
  </si>
  <si>
    <t>IST</t>
  </si>
  <si>
    <t>Istambul</t>
  </si>
  <si>
    <t>ESB</t>
  </si>
  <si>
    <t>Ancara</t>
  </si>
  <si>
    <t>Ucrania</t>
  </si>
  <si>
    <t>TNL</t>
  </si>
  <si>
    <t>Ternopil</t>
  </si>
  <si>
    <t>Uruguai</t>
  </si>
  <si>
    <t>PDP</t>
  </si>
  <si>
    <t>Maldonado</t>
  </si>
  <si>
    <t>MVD</t>
  </si>
  <si>
    <t>Montevideo</t>
  </si>
  <si>
    <t>Venezuela</t>
  </si>
  <si>
    <t>CCS</t>
  </si>
  <si>
    <t>Caracas</t>
  </si>
  <si>
    <t>LAG</t>
  </si>
  <si>
    <t>La Guaira</t>
  </si>
  <si>
    <t>GTC</t>
  </si>
  <si>
    <t>Green Turtle</t>
  </si>
  <si>
    <t>Vietnã</t>
  </si>
  <si>
    <t>HAN</t>
  </si>
  <si>
    <t>Hanoi</t>
  </si>
  <si>
    <t>HUI</t>
  </si>
  <si>
    <t>Hue</t>
  </si>
  <si>
    <t>Origem Destino</t>
  </si>
  <si>
    <t>Distância</t>
  </si>
  <si>
    <t>Origem-Destino</t>
  </si>
  <si>
    <t>QNS</t>
  </si>
  <si>
    <t>Distância aérea</t>
  </si>
  <si>
    <t>Acréscimo para
refletir a rota real</t>
  </si>
  <si>
    <r>
      <rPr>
        <b/>
        <sz val="12"/>
        <rFont val="Calibri Light"/>
        <charset val="134"/>
      </rPr>
      <t>DEFRA Fator de emissão de CO</t>
    </r>
    <r>
      <rPr>
        <b/>
        <vertAlign val="subscript"/>
        <sz val="12"/>
        <rFont val="Calibri Light"/>
        <charset val="134"/>
      </rPr>
      <t xml:space="preserve">2
</t>
    </r>
    <r>
      <rPr>
        <b/>
        <sz val="12"/>
        <rFont val="Calibri Light"/>
        <charset val="134"/>
      </rPr>
      <t>(kgCO</t>
    </r>
    <r>
      <rPr>
        <b/>
        <vertAlign val="subscript"/>
        <sz val="12"/>
        <rFont val="Calibri Light"/>
        <charset val="134"/>
      </rPr>
      <t>2</t>
    </r>
    <r>
      <rPr>
        <b/>
        <sz val="12"/>
        <rFont val="Calibri Light"/>
        <charset val="134"/>
      </rPr>
      <t>e / passageiro.km)</t>
    </r>
  </si>
  <si>
    <r>
      <rPr>
        <b/>
        <sz val="12"/>
        <rFont val="Calibri Light"/>
        <charset val="134"/>
      </rPr>
      <t>DEFRA Fator de emissão de CH</t>
    </r>
    <r>
      <rPr>
        <b/>
        <vertAlign val="subscript"/>
        <sz val="12"/>
        <rFont val="Calibri Light"/>
        <charset val="134"/>
      </rPr>
      <t xml:space="preserve">4
</t>
    </r>
    <r>
      <rPr>
        <b/>
        <sz val="12"/>
        <rFont val="Calibri Light"/>
        <charset val="134"/>
      </rPr>
      <t>(kgCO</t>
    </r>
    <r>
      <rPr>
        <b/>
        <vertAlign val="subscript"/>
        <sz val="12"/>
        <rFont val="Calibri Light"/>
        <charset val="134"/>
      </rPr>
      <t>2</t>
    </r>
    <r>
      <rPr>
        <b/>
        <sz val="12"/>
        <rFont val="Calibri Light"/>
        <charset val="134"/>
      </rPr>
      <t>e / passageiro.km)</t>
    </r>
  </si>
  <si>
    <r>
      <rPr>
        <b/>
        <sz val="12"/>
        <rFont val="Calibri Light"/>
        <charset val="134"/>
      </rPr>
      <t>DEFRA Fator de emissão de N</t>
    </r>
    <r>
      <rPr>
        <b/>
        <vertAlign val="subscript"/>
        <sz val="12"/>
        <rFont val="Calibri Light"/>
        <charset val="134"/>
      </rPr>
      <t>2</t>
    </r>
    <r>
      <rPr>
        <b/>
        <sz val="12"/>
        <rFont val="Calibri Light"/>
        <charset val="134"/>
      </rPr>
      <t>O 
(kgCO</t>
    </r>
    <r>
      <rPr>
        <b/>
        <vertAlign val="subscript"/>
        <sz val="12"/>
        <rFont val="Calibri Light"/>
        <charset val="134"/>
      </rPr>
      <t>2</t>
    </r>
    <r>
      <rPr>
        <b/>
        <sz val="12"/>
        <rFont val="Calibri Light"/>
        <charset val="134"/>
      </rPr>
      <t>e / passageiro.km)</t>
    </r>
  </si>
  <si>
    <r>
      <rPr>
        <b/>
        <sz val="12"/>
        <rFont val="Calibri Light"/>
        <charset val="134"/>
      </rPr>
      <t>Fator de emissão de CO</t>
    </r>
    <r>
      <rPr>
        <b/>
        <vertAlign val="subscript"/>
        <sz val="12"/>
        <rFont val="Calibri Light"/>
        <charset val="134"/>
      </rPr>
      <t xml:space="preserve">2
</t>
    </r>
    <r>
      <rPr>
        <b/>
        <sz val="12"/>
        <rFont val="Calibri Light"/>
        <charset val="134"/>
      </rPr>
      <t>(kgCO</t>
    </r>
    <r>
      <rPr>
        <b/>
        <vertAlign val="subscript"/>
        <sz val="12"/>
        <rFont val="Calibri Light"/>
        <charset val="134"/>
      </rPr>
      <t>2</t>
    </r>
    <r>
      <rPr>
        <b/>
        <sz val="12"/>
        <rFont val="Calibri Light"/>
        <charset val="134"/>
      </rPr>
      <t xml:space="preserve"> / passageiro.km)</t>
    </r>
  </si>
  <si>
    <r>
      <rPr>
        <b/>
        <sz val="12"/>
        <rFont val="Calibri Light"/>
        <charset val="134"/>
      </rPr>
      <t>Fator de emissão de CH</t>
    </r>
    <r>
      <rPr>
        <b/>
        <vertAlign val="subscript"/>
        <sz val="12"/>
        <rFont val="Calibri Light"/>
        <charset val="134"/>
      </rPr>
      <t xml:space="preserve">4
</t>
    </r>
    <r>
      <rPr>
        <b/>
        <sz val="12"/>
        <rFont val="Calibri Light"/>
        <charset val="134"/>
      </rPr>
      <t>(kgCH</t>
    </r>
    <r>
      <rPr>
        <b/>
        <vertAlign val="subscript"/>
        <sz val="12"/>
        <rFont val="Calibri Light"/>
        <charset val="134"/>
      </rPr>
      <t>4</t>
    </r>
    <r>
      <rPr>
        <b/>
        <sz val="12"/>
        <rFont val="Calibri Light"/>
        <charset val="134"/>
      </rPr>
      <t xml:space="preserve"> / passageiro.km)</t>
    </r>
  </si>
  <si>
    <r>
      <rPr>
        <b/>
        <sz val="12"/>
        <rFont val="Calibri Light"/>
        <charset val="134"/>
      </rPr>
      <t>Fator de emissão de N</t>
    </r>
    <r>
      <rPr>
        <b/>
        <vertAlign val="subscript"/>
        <sz val="12"/>
        <rFont val="Calibri Light"/>
        <charset val="134"/>
      </rPr>
      <t>2</t>
    </r>
    <r>
      <rPr>
        <b/>
        <sz val="12"/>
        <rFont val="Calibri Light"/>
        <charset val="134"/>
      </rPr>
      <t>O 
(kgN</t>
    </r>
    <r>
      <rPr>
        <b/>
        <vertAlign val="subscript"/>
        <sz val="12"/>
        <rFont val="Calibri Light"/>
        <charset val="134"/>
      </rPr>
      <t>2</t>
    </r>
    <r>
      <rPr>
        <b/>
        <sz val="12"/>
        <rFont val="Calibri Light"/>
        <charset val="134"/>
      </rPr>
      <t>O / passageiro.km)</t>
    </r>
  </si>
  <si>
    <t>Curta distância (d ≤ 500 km)</t>
  </si>
  <si>
    <t>Média distância (500 &lt; d ≤ 3.700 km)</t>
  </si>
  <si>
    <t>Longa distância (d &gt; 3.700 km)</t>
  </si>
  <si>
    <t xml:space="preserve">Ano </t>
  </si>
  <si>
    <t>Consumo médio por colaborador (W/h)</t>
  </si>
  <si>
    <t>Consumo médio por colaborador (W/dia)</t>
  </si>
  <si>
    <t>Fator emissão Anual</t>
  </si>
  <si>
    <t>Combustível</t>
  </si>
  <si>
    <t>Tipo de Veículo</t>
  </si>
  <si>
    <t>Ano</t>
  </si>
  <si>
    <t>Fatores de Emissão (unidades originais) - MMA (2014) e CETESB (2023) CH4 (g/km)</t>
  </si>
  <si>
    <t>Fatores de Emissão (unidades originais) - MMA (2014) e CETESB (2023) N2O (g/km)</t>
  </si>
  <si>
    <t>Fatores de Emissão (unidades convertidas) CH4 (kg / litro)</t>
  </si>
  <si>
    <t>Fatores de Emissão (unidades convertidas) N2O (kg / litro)</t>
  </si>
  <si>
    <t>Etanol Hidratado</t>
  </si>
  <si>
    <t>Automóvel a etanol</t>
  </si>
  <si>
    <t>-</t>
  </si>
  <si>
    <t>Automóvel flex a etanol</t>
  </si>
  <si>
    <t>Motocicleta flex a etanol</t>
  </si>
  <si>
    <t>Veículo comercial leve a etanol</t>
  </si>
  <si>
    <t>Veículo comercial leve flex a etanol</t>
  </si>
  <si>
    <t>Automóvel híbrido a etanol</t>
  </si>
  <si>
    <t>Automóvel híbrido plug-in a etanol</t>
  </si>
  <si>
    <t>Biometano</t>
  </si>
  <si>
    <t>Automóvel a biometano</t>
  </si>
  <si>
    <t>Óleo Diesel (comercial)</t>
  </si>
  <si>
    <t>Veículo comercial leve a diesel</t>
  </si>
  <si>
    <t>Micro-ônibus a diesel</t>
  </si>
  <si>
    <t>Ônibus rodoviário a diesel</t>
  </si>
  <si>
    <t>Ônibus urbano a diesel</t>
  </si>
  <si>
    <t>Caminhão - rígido (3,5 a 7,5 toneladas)</t>
  </si>
  <si>
    <t>Caminhão - rígido (7,5 a 17 toneladas)</t>
  </si>
  <si>
    <t>Caminhão - rígido (acima de 17 toneladas)</t>
  </si>
  <si>
    <t>Caminhão - rígido (média)</t>
  </si>
  <si>
    <t>Caminhão - articulado (3,5 a 33 toneladas)</t>
  </si>
  <si>
    <t>Caminhão - articulado (acima de 33 toneladas)</t>
  </si>
  <si>
    <t>Caminhão - articulado (média)</t>
  </si>
  <si>
    <t>Caminhão - caminhão (média)</t>
  </si>
  <si>
    <t>Caminhão refrigerado - rígido (3,5 a 7,5 toneladas)</t>
  </si>
  <si>
    <t>Caminhão refrigerado - rígido (7,5 a 17 toneladas)</t>
  </si>
  <si>
    <t>Caminhão refrigerado - rígido (acima de 17 toneladas)</t>
  </si>
  <si>
    <t>Caminhão refrigerado - rígido (média)</t>
  </si>
  <si>
    <t>Caminhão refrigerado - articulado (3,5 a 33 toneladas)</t>
  </si>
  <si>
    <t>Caminhão refrigerado - articulado (acima de 33 toneladas)</t>
  </si>
  <si>
    <t>Caminhão refrigerado - articulado (média)</t>
  </si>
  <si>
    <t>Caminhão refrigerado - caminhão (média)</t>
  </si>
  <si>
    <t>GNV</t>
  </si>
  <si>
    <t>Automóvel a GNV</t>
  </si>
  <si>
    <t>tipo_frota_de_veiculos</t>
  </si>
  <si>
    <t>Unidade</t>
  </si>
  <si>
    <t>ano_veiculo</t>
  </si>
  <si>
    <t>media_por_unidade</t>
  </si>
  <si>
    <t>Automóvel a gasolina</t>
  </si>
  <si>
    <t>km / litro</t>
  </si>
  <si>
    <t>Automóvel flex a gasolina</t>
  </si>
  <si>
    <t>km / m³</t>
  </si>
  <si>
    <t>Motocicleta a gasolina</t>
  </si>
  <si>
    <t>Motocicleta flex a gasolina</t>
  </si>
  <si>
    <t>Veículo comercial leve a gasolina</t>
  </si>
  <si>
    <t>Veículo comercial leve flex a gasolina</t>
  </si>
  <si>
    <t>Automóvel híbrido a gasolina</t>
  </si>
  <si>
    <t>Automóvel híbrido plug-in a gasolina</t>
  </si>
  <si>
    <t>Automóvel híbrido plug-in a eletricidade</t>
  </si>
  <si>
    <t>km / kWh</t>
  </si>
  <si>
    <t>Automóvel elétrico</t>
  </si>
  <si>
    <t>Van elétrica - classe I (até 1,305 toneladas)</t>
  </si>
  <si>
    <t>Van elétrica - classe II (1,305 a 1,74 toneladas)</t>
  </si>
  <si>
    <t>Van elétrica - classe III (1,74 a 3,5 toneladas)</t>
  </si>
  <si>
    <t>Van elétrica - média (até 3,5 toneladas)</t>
  </si>
  <si>
    <t>Van plug-in - média (até 3,5 toneladas)</t>
  </si>
  <si>
    <t xml:space="preserve">Combustível
</t>
  </si>
  <si>
    <t>Combustível correspondente adotado pelo IPCC</t>
  </si>
  <si>
    <t>Unidades</t>
  </si>
  <si>
    <r>
      <rPr>
        <b/>
        <sz val="11"/>
        <color theme="1"/>
        <rFont val="Calibri"/>
        <charset val="134"/>
      </rPr>
      <t>CO</t>
    </r>
    <r>
      <rPr>
        <b/>
        <vertAlign val="subscript"/>
        <sz val="11"/>
        <color theme="1"/>
        <rFont val="Calibri"/>
        <charset val="134"/>
      </rPr>
      <t>2</t>
    </r>
    <r>
      <rPr>
        <b/>
        <sz val="11"/>
        <color theme="1"/>
        <rFont val="Calibri"/>
        <charset val="134"/>
      </rPr>
      <t xml:space="preserve"> (kg/un.)</t>
    </r>
  </si>
  <si>
    <r>
      <rPr>
        <b/>
        <sz val="11"/>
        <color theme="1"/>
        <rFont val="Calibri"/>
        <charset val="134"/>
      </rPr>
      <t>CH</t>
    </r>
    <r>
      <rPr>
        <b/>
        <vertAlign val="subscript"/>
        <sz val="11"/>
        <color theme="1"/>
        <rFont val="Calibri"/>
        <charset val="134"/>
      </rPr>
      <t>4</t>
    </r>
    <r>
      <rPr>
        <b/>
        <sz val="11"/>
        <color theme="1"/>
        <rFont val="Calibri"/>
        <charset val="134"/>
      </rPr>
      <t xml:space="preserve"> (kg/un.) por setor de atividade (Comercial ou Institucional)</t>
    </r>
  </si>
  <si>
    <r>
      <rPr>
        <b/>
        <sz val="11"/>
        <color theme="1"/>
        <rFont val="Calibri"/>
        <charset val="134"/>
      </rPr>
      <t>N</t>
    </r>
    <r>
      <rPr>
        <b/>
        <vertAlign val="subscript"/>
        <sz val="11"/>
        <color theme="1"/>
        <rFont val="Calibri"/>
        <charset val="134"/>
      </rPr>
      <t>2</t>
    </r>
    <r>
      <rPr>
        <b/>
        <sz val="11"/>
        <color theme="1"/>
        <rFont val="Calibri"/>
        <charset val="134"/>
      </rPr>
      <t>O (kg/un.) por setor de atividade (Comercial ou Institucional)</t>
    </r>
  </si>
  <si>
    <t>Acetileno</t>
  </si>
  <si>
    <t>kg</t>
  </si>
  <si>
    <t>Alcatrão</t>
  </si>
  <si>
    <t>Coal Tar</t>
  </si>
  <si>
    <t>m³</t>
  </si>
  <si>
    <t>Asfaltos</t>
  </si>
  <si>
    <t>Bitumen</t>
  </si>
  <si>
    <t>Carvão Metalúrgico Importado</t>
  </si>
  <si>
    <t>Coking Coal</t>
  </si>
  <si>
    <t>Toneladas</t>
  </si>
  <si>
    <t>Carvão Metalúrgico Nacional</t>
  </si>
  <si>
    <t>Carvão Vapor 3100 kcal / kg</t>
  </si>
  <si>
    <t>Other Bituminous Coal</t>
  </si>
  <si>
    <t>Carvão Vapor 3300 kcal / kg</t>
  </si>
  <si>
    <t>Carvão Vapor 3700 kcal / kg</t>
  </si>
  <si>
    <t>Carvão Vapor 4200 kcal / kg</t>
  </si>
  <si>
    <t>Carvão Vapor 4500 kcal / kg</t>
  </si>
  <si>
    <t>Carvão Vapor 4700 kcal / kg</t>
  </si>
  <si>
    <t>Carvão Vapor 5200 kcal / kg</t>
  </si>
  <si>
    <t>Carvão Vapor 5900 kcal / kg</t>
  </si>
  <si>
    <t>Carvão Vapor 6000 kcal / kg</t>
  </si>
  <si>
    <t>Carvão Vapor sem Especificação</t>
  </si>
  <si>
    <t>Coque de Carvão Mineral</t>
  </si>
  <si>
    <t>Coke Oven Coke and Lignite Coke</t>
  </si>
  <si>
    <t>Coque de Petróleo</t>
  </si>
  <si>
    <t>Petroleum Coke</t>
  </si>
  <si>
    <t>Etano</t>
  </si>
  <si>
    <t>Ethane</t>
  </si>
  <si>
    <t>Gás de Coqueria</t>
  </si>
  <si>
    <t>Coke Oven Gas</t>
  </si>
  <si>
    <t>Gás de Refinaria</t>
  </si>
  <si>
    <t>Refinery Gas</t>
  </si>
  <si>
    <t>Gás Liquefeito de Petróleo (GLP)</t>
  </si>
  <si>
    <t>Liquefied Petroleum Gases</t>
  </si>
  <si>
    <t>Gás Natural Seco</t>
  </si>
  <si>
    <t>Natural Gas</t>
  </si>
  <si>
    <t>Gás Natural Úmido</t>
  </si>
  <si>
    <t>Gasolina Automotiva (pura)</t>
  </si>
  <si>
    <t>Motor Gasoline</t>
  </si>
  <si>
    <t>Litros</t>
  </si>
  <si>
    <t>Gasolina de Aviação</t>
  </si>
  <si>
    <t>Aviation Gasoline</t>
  </si>
  <si>
    <t>Líquidos de Gás Natural (LGN)</t>
  </si>
  <si>
    <t>Natural Gas Liquids</t>
  </si>
  <si>
    <t>Lubrificantes</t>
  </si>
  <si>
    <t>Lubricants</t>
  </si>
  <si>
    <t>Nafta</t>
  </si>
  <si>
    <t>Naphtha</t>
  </si>
  <si>
    <t>Óleo Combustível</t>
  </si>
  <si>
    <t>Residual Fuel Oil</t>
  </si>
  <si>
    <t>Óleo de Xisto</t>
  </si>
  <si>
    <t>Shale Oil</t>
  </si>
  <si>
    <t>Óleo Diesel (puro)</t>
  </si>
  <si>
    <t>Diesel Oil</t>
  </si>
  <si>
    <t>Óleos Residuais</t>
  </si>
  <si>
    <t>Waste Oils</t>
  </si>
  <si>
    <t>Outros Produtos de Petróleo</t>
  </si>
  <si>
    <t>Other Petroleum Products</t>
  </si>
  <si>
    <t>Parafina</t>
  </si>
  <si>
    <t>Paraffin Waxes</t>
  </si>
  <si>
    <t>Petróleo Bruto</t>
  </si>
  <si>
    <t>Crude Oil</t>
  </si>
  <si>
    <t>Querosene de Aviação</t>
  </si>
  <si>
    <t>Jet Kerosene</t>
  </si>
  <si>
    <t>Querosene Iluminante</t>
  </si>
  <si>
    <t>Other Kerosene</t>
  </si>
  <si>
    <t>Resíduos Industriais</t>
  </si>
  <si>
    <t>Industrial Wastes</t>
  </si>
  <si>
    <t>TJ</t>
  </si>
  <si>
    <t>Resíduos Municipais (fração não-biomassa)</t>
  </si>
  <si>
    <t>Municipal Wastes (non-biomass fraction)</t>
  </si>
  <si>
    <t>Solventes</t>
  </si>
  <si>
    <t>Turfa</t>
  </si>
  <si>
    <t>Peat</t>
  </si>
  <si>
    <t>Xisto Betuminoso e Areias Betuminosas</t>
  </si>
  <si>
    <t>Oil Shale and Tar Sands</t>
  </si>
  <si>
    <t>Etanol Anidro</t>
  </si>
  <si>
    <t>Other Liquid Biofuels</t>
  </si>
  <si>
    <t>Bagaço de Cana</t>
  </si>
  <si>
    <t>Other Primary Solid Biomass</t>
  </si>
  <si>
    <t>Biodiesel (B100)</t>
  </si>
  <si>
    <t>Biodiesels</t>
  </si>
  <si>
    <t>Biogás (outros)</t>
  </si>
  <si>
    <t>Other biogas</t>
  </si>
  <si>
    <t>Biogás de aterro</t>
  </si>
  <si>
    <t>Landfill biogas</t>
  </si>
  <si>
    <t>Caldo de Cana</t>
  </si>
  <si>
    <t>Carvão Vegetal</t>
  </si>
  <si>
    <t>Charcoal</t>
  </si>
  <si>
    <t>Lenha Comercial</t>
  </si>
  <si>
    <t>Wood / Wood Waste</t>
  </si>
  <si>
    <t>Licor Negro (Lixívia)</t>
  </si>
  <si>
    <t>Sulphite lyes (Black Liquor)</t>
  </si>
  <si>
    <t>Melaço</t>
  </si>
  <si>
    <t>Resíduos Municipais (fração biomassa)</t>
  </si>
  <si>
    <t>Municipal Wastes (biomass fraction)</t>
  </si>
  <si>
    <t>Resíduos Vegetais</t>
  </si>
  <si>
    <t>Referencia</t>
  </si>
  <si>
    <t>Fator emissao SIN</t>
  </si>
  <si>
    <t>Perc de etanol na gasolina</t>
  </si>
  <si>
    <t>Perc de Biodiesel no Diesel</t>
  </si>
  <si>
    <t>Tipo_Combustivel</t>
  </si>
  <si>
    <t>Combustivel_fossil</t>
  </si>
  <si>
    <t>Biocombustivel</t>
  </si>
  <si>
    <t>Óleo Diesel (Comercial)</t>
  </si>
  <si>
    <t>Gasolina Automotiva (comercial)</t>
  </si>
  <si>
    <t>Etanol</t>
  </si>
  <si>
    <t>Gás Natural Veicular (GNV)</t>
  </si>
  <si>
    <t>HVO (diesel verde)</t>
  </si>
  <si>
    <t>Gás Natural Liquefeito (GNL)</t>
  </si>
  <si>
    <t>Híbrido a gasolina</t>
  </si>
  <si>
    <t>Híbrido a etanol</t>
  </si>
  <si>
    <t>Gas</t>
  </si>
  <si>
    <t>GWP</t>
  </si>
  <si>
    <t>Protocolo</t>
  </si>
  <si>
    <t>Nome_GHG</t>
  </si>
  <si>
    <r>
      <rPr>
        <sz val="11"/>
        <color theme="1"/>
        <rFont val="Calibri"/>
        <charset val="134"/>
      </rPr>
      <t>Dióxido de carbono (CO</t>
    </r>
    <r>
      <rPr>
        <vertAlign val="subscript"/>
        <sz val="11"/>
        <color theme="1"/>
        <rFont val="Calibri Light"/>
        <charset val="134"/>
      </rPr>
      <t>2</t>
    </r>
    <r>
      <rPr>
        <sz val="11"/>
        <color theme="1"/>
        <rFont val="Calibri Light"/>
        <charset val="134"/>
      </rPr>
      <t>)</t>
    </r>
  </si>
  <si>
    <t>Quioto</t>
  </si>
  <si>
    <t>CO2</t>
  </si>
  <si>
    <r>
      <rPr>
        <sz val="11"/>
        <color theme="1"/>
        <rFont val="Calibri"/>
        <charset val="134"/>
      </rPr>
      <t>Metano (CH</t>
    </r>
    <r>
      <rPr>
        <vertAlign val="subscript"/>
        <sz val="11"/>
        <color theme="1"/>
        <rFont val="Calibri Light"/>
        <charset val="134"/>
      </rPr>
      <t>4</t>
    </r>
    <r>
      <rPr>
        <sz val="11"/>
        <color theme="1"/>
        <rFont val="Calibri Light"/>
        <charset val="134"/>
      </rPr>
      <t>)</t>
    </r>
  </si>
  <si>
    <t>CH4</t>
  </si>
  <si>
    <r>
      <rPr>
        <sz val="11"/>
        <color theme="1"/>
        <rFont val="Calibri"/>
        <charset val="134"/>
      </rPr>
      <t>Óxido nitroso (N</t>
    </r>
    <r>
      <rPr>
        <vertAlign val="subscript"/>
        <sz val="11"/>
        <color theme="1"/>
        <rFont val="Calibri Light"/>
        <charset val="134"/>
      </rPr>
      <t>2</t>
    </r>
    <r>
      <rPr>
        <sz val="11"/>
        <color theme="1"/>
        <rFont val="Calibri Light"/>
        <charset val="134"/>
      </rPr>
      <t>O)</t>
    </r>
  </si>
  <si>
    <t>N2O</t>
  </si>
  <si>
    <t>HFC-23</t>
  </si>
  <si>
    <t>HFC-32 (R32)</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</si>
  <si>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</si>
  <si>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</si>
  <si>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</si>
  <si>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</si>
  <si>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</si>
  <si>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</si>
  <si>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</si>
  <si>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</si>
  <si>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</si>
  <si>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</si>
  <si>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</si>
  <si>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</si>
  <si>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</si>
  <si>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</si>
  <si>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</si>
  <si>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</si>
  <si>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</si>
  <si>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</si>
  <si>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r>
      <rPr>
        <sz val="11"/>
        <color theme="1"/>
        <rFont val="Calibri"/>
        <charset val="134"/>
      </rPr>
      <t>Hexafluoreto de enxofre (SF</t>
    </r>
    <r>
      <rPr>
        <vertAlign val="subscript"/>
        <sz val="11"/>
        <color theme="1"/>
        <rFont val="Calibri Light"/>
        <charset val="134"/>
      </rPr>
      <t>6</t>
    </r>
    <r>
      <rPr>
        <sz val="11"/>
        <color theme="1"/>
        <rFont val="Calibri Light"/>
        <charset val="134"/>
      </rPr>
      <t>)</t>
    </r>
  </si>
  <si>
    <r>
      <rPr>
        <sz val="11"/>
        <color theme="1"/>
        <rFont val="Calibri"/>
        <charset val="134"/>
      </rPr>
      <t>Trifluoreto de nitrogênio (NF</t>
    </r>
    <r>
      <rPr>
        <vertAlign val="subscript"/>
        <sz val="11"/>
        <color theme="1"/>
        <rFont val="Calibri Light"/>
        <charset val="134"/>
      </rPr>
      <t>3</t>
    </r>
    <r>
      <rPr>
        <sz val="11"/>
        <color theme="1"/>
        <rFont val="Calibri Light"/>
        <charset val="134"/>
      </rPr>
      <t>)</t>
    </r>
  </si>
  <si>
    <t>PFC-14</t>
  </si>
  <si>
    <t>PFC-116</t>
  </si>
  <si>
    <t>PFC-218</t>
  </si>
  <si>
    <t>PFC-318</t>
  </si>
  <si>
    <t>PFC-3-1-10</t>
  </si>
  <si>
    <t>PFC-4-1-12</t>
  </si>
  <si>
    <t>PFC-5-1-14</t>
  </si>
  <si>
    <t>PFC-9-1-18</t>
  </si>
  <si>
    <r>
      <rPr>
        <sz val="11"/>
        <color theme="1"/>
        <rFont val="Calibri"/>
        <charset val="134"/>
      </rPr>
      <t>Trifluorometil pentafluoreto de enxofre (SF</t>
    </r>
    <r>
      <rPr>
        <vertAlign val="subscript"/>
        <sz val="11"/>
        <color theme="1"/>
        <rFont val="Calibri Light"/>
        <charset val="134"/>
      </rPr>
      <t>5</t>
    </r>
    <r>
      <rPr>
        <sz val="11"/>
        <color theme="1"/>
        <rFont val="Calibri Light"/>
        <charset val="134"/>
      </rPr>
      <t>CF</t>
    </r>
    <r>
      <rPr>
        <vertAlign val="subscript"/>
        <sz val="11"/>
        <color theme="1"/>
        <rFont val="Calibri Light"/>
        <charset val="134"/>
      </rPr>
      <t>3</t>
    </r>
    <r>
      <rPr>
        <sz val="11"/>
        <color theme="1"/>
        <rFont val="Calibri Light"/>
        <charset val="134"/>
      </rPr>
      <t>)</t>
    </r>
  </si>
  <si>
    <r>
      <rPr>
        <sz val="11"/>
        <color theme="1"/>
        <rFont val="Calibri"/>
        <charset val="134"/>
      </rPr>
      <t>Perfluorociclopropano (c-C</t>
    </r>
    <r>
      <rPr>
        <vertAlign val="subscript"/>
        <sz val="11"/>
        <color theme="1"/>
        <rFont val="Calibri Light"/>
        <charset val="134"/>
      </rPr>
      <t>3</t>
    </r>
    <r>
      <rPr>
        <sz val="11"/>
        <color theme="1"/>
        <rFont val="Calibri Light"/>
        <charset val="134"/>
      </rPr>
      <t>F</t>
    </r>
    <r>
      <rPr>
        <vertAlign val="subscript"/>
        <sz val="11"/>
        <color theme="1"/>
        <rFont val="Calibri Light"/>
        <charset val="134"/>
      </rPr>
      <t>6</t>
    </r>
    <r>
      <rPr>
        <sz val="11"/>
        <color theme="1"/>
        <rFont val="Calibri Light"/>
        <charset val="134"/>
      </rPr>
      <t>)</t>
    </r>
  </si>
  <si>
    <t>R-400</t>
  </si>
  <si>
    <t>R-401A</t>
  </si>
  <si>
    <t>R-401B</t>
  </si>
  <si>
    <t>R-401C</t>
  </si>
  <si>
    <t>R-402A</t>
  </si>
  <si>
    <t>R-402B</t>
  </si>
  <si>
    <t>R-403A</t>
  </si>
  <si>
    <t>R-403B</t>
  </si>
  <si>
    <t>R-404A</t>
  </si>
  <si>
    <t>R-405A</t>
  </si>
  <si>
    <t>R-406A</t>
  </si>
  <si>
    <t>R-407A</t>
  </si>
  <si>
    <t>R-407B</t>
  </si>
  <si>
    <t>R-407C</t>
  </si>
  <si>
    <t>R-407D</t>
  </si>
  <si>
    <t>R-407E</t>
  </si>
  <si>
    <t>R-407F</t>
  </si>
  <si>
    <t>R-407G</t>
  </si>
  <si>
    <t>R-407H</t>
  </si>
  <si>
    <t>R-407I</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</si>
  <si>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</si>
  <si>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</si>
  <si>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</si>
  <si>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</si>
  <si>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</si>
  <si>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</si>
  <si>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</si>
  <si>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</si>
  <si>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</si>
  <si>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</si>
  <si>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</si>
  <si>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</si>
  <si>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</si>
  <si>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</si>
  <si>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</si>
  <si>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</si>
  <si>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</si>
  <si>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</si>
  <si>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</si>
  <si>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</si>
  <si>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</si>
  <si>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</si>
  <si>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</si>
  <si>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</si>
  <si>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</si>
  <si>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</si>
  <si>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</si>
  <si>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</si>
  <si>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</si>
  <si>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</si>
  <si>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</si>
  <si>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</si>
  <si>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</si>
  <si>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</si>
  <si>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</si>
  <si>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</si>
  <si>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</si>
  <si>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</si>
  <si>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</si>
  <si>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</si>
  <si>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</si>
  <si>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</si>
  <si>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</si>
  <si>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</si>
  <si>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</si>
  <si>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R-436C</t>
  </si>
  <si>
    <t>R-437A</t>
  </si>
  <si>
    <t>R-438A</t>
  </si>
  <si>
    <t>R-439A</t>
  </si>
  <si>
    <t>R-440A</t>
  </si>
  <si>
    <t>R-441A</t>
  </si>
  <si>
    <t>R-442A</t>
  </si>
  <si>
    <t>R-443A</t>
  </si>
  <si>
    <t>R-444A</t>
  </si>
  <si>
    <t>R-444B</t>
  </si>
  <si>
    <t>R-445A</t>
  </si>
  <si>
    <t>R-446A</t>
  </si>
  <si>
    <t>R-447A</t>
  </si>
  <si>
    <t>R-447B</t>
  </si>
  <si>
    <t>R-448A</t>
  </si>
  <si>
    <t>R-449A</t>
  </si>
  <si>
    <t>R-449B</t>
  </si>
  <si>
    <t>R-449C</t>
  </si>
  <si>
    <t>R-450A</t>
  </si>
  <si>
    <t>R-451A</t>
  </si>
  <si>
    <t>R-451B</t>
  </si>
  <si>
    <t>R-452A</t>
  </si>
  <si>
    <t>R-452B</t>
  </si>
  <si>
    <t>R-452C</t>
  </si>
  <si>
    <t>R-453A</t>
  </si>
  <si>
    <t>R-454A</t>
  </si>
  <si>
    <t>R-454B</t>
  </si>
  <si>
    <t>R-454C</t>
  </si>
  <si>
    <t>R-455A</t>
  </si>
  <si>
    <t>R-456A</t>
  </si>
  <si>
    <t>R-457A</t>
  </si>
  <si>
    <t>R-458A</t>
  </si>
  <si>
    <t>R-459A</t>
  </si>
  <si>
    <t>R-459B</t>
  </si>
  <si>
    <t>R-460A</t>
  </si>
  <si>
    <t>R-460B</t>
  </si>
  <si>
    <t>R-460C</t>
  </si>
  <si>
    <t>R-461A</t>
  </si>
  <si>
    <t>R-462A</t>
  </si>
  <si>
    <t>R-463A</t>
  </si>
  <si>
    <t>R-464A</t>
  </si>
  <si>
    <t>R-465A</t>
  </si>
  <si>
    <t>R-500</t>
  </si>
  <si>
    <t>R-501</t>
  </si>
  <si>
    <t>R-502</t>
  </si>
  <si>
    <t>R-503</t>
  </si>
  <si>
    <t>R-504</t>
  </si>
  <si>
    <t>R-505</t>
  </si>
  <si>
    <t>R-506</t>
  </si>
  <si>
    <t>R-507 ou R-507A</t>
  </si>
  <si>
    <t>R-508A</t>
  </si>
  <si>
    <t>R-508B</t>
  </si>
  <si>
    <t>R-509 ou R-509A</t>
  </si>
  <si>
    <t>R-510A</t>
  </si>
  <si>
    <t>R-511A</t>
  </si>
  <si>
    <t>R-512A</t>
  </si>
  <si>
    <t>R-513A</t>
  </si>
  <si>
    <t>R-513B</t>
  </si>
  <si>
    <t>R-514A</t>
  </si>
  <si>
    <t>R-515A</t>
  </si>
  <si>
    <t>R-516A</t>
  </si>
  <si>
    <t>CFC-11</t>
  </si>
  <si>
    <t>Não Quioto</t>
  </si>
  <si>
    <t>CFC-12</t>
  </si>
  <si>
    <t>CFC-13</t>
  </si>
  <si>
    <t>CFC-113</t>
  </si>
  <si>
    <t>CFC-114</t>
  </si>
  <si>
    <t>CFC-115</t>
  </si>
  <si>
    <t>Halon-1301</t>
  </si>
  <si>
    <t>Halon-1211</t>
  </si>
  <si>
    <t>Halon-2402</t>
  </si>
  <si>
    <r>
      <rPr>
        <sz val="11"/>
        <color theme="1"/>
        <rFont val="Calibri"/>
        <charset val="134"/>
      </rPr>
      <t>Tetracloreto de carbono (CCl</t>
    </r>
    <r>
      <rPr>
        <vertAlign val="subscript"/>
        <sz val="11"/>
        <color theme="1"/>
        <rFont val="Calibri Light"/>
        <charset val="134"/>
      </rPr>
      <t>4</t>
    </r>
    <r>
      <rPr>
        <sz val="11"/>
        <color theme="1"/>
        <rFont val="Calibri Light"/>
        <charset val="134"/>
      </rPr>
      <t>)</t>
    </r>
  </si>
  <si>
    <r>
      <rPr>
        <sz val="11"/>
        <color theme="1"/>
        <rFont val="Calibri"/>
        <charset val="134"/>
      </rPr>
      <t>Bromometano (CH</t>
    </r>
    <r>
      <rPr>
        <vertAlign val="subscript"/>
        <sz val="11"/>
        <color theme="1"/>
        <rFont val="Calibri Light"/>
        <charset val="134"/>
      </rPr>
      <t>3</t>
    </r>
    <r>
      <rPr>
        <sz val="11"/>
        <color theme="1"/>
        <rFont val="Calibri Light"/>
        <charset val="134"/>
      </rPr>
      <t>Br)</t>
    </r>
  </si>
  <si>
    <r>
      <rPr>
        <sz val="11"/>
        <color theme="1"/>
        <rFont val="Calibri"/>
        <charset val="134"/>
      </rPr>
      <t>Methyl chloroform (CH</t>
    </r>
    <r>
      <rPr>
        <vertAlign val="subscript"/>
        <sz val="11"/>
        <color theme="1"/>
        <rFont val="Calibri Light"/>
        <charset val="134"/>
      </rPr>
      <t>3</t>
    </r>
    <r>
      <rPr>
        <sz val="11"/>
        <color theme="1"/>
        <rFont val="Calibri Light"/>
        <charset val="134"/>
      </rPr>
      <t>CCl</t>
    </r>
    <r>
      <rPr>
        <vertAlign val="subscript"/>
        <sz val="11"/>
        <color theme="1"/>
        <rFont val="Calibri Light"/>
        <charset val="134"/>
      </rPr>
      <t>3</t>
    </r>
    <r>
      <rPr>
        <sz val="11"/>
        <color theme="1"/>
        <rFont val="Calibri Light"/>
        <charset val="134"/>
      </rPr>
      <t>)</t>
    </r>
  </si>
  <si>
    <t>HCFC-21</t>
  </si>
  <si>
    <t>HCFC-22 (R22)</t>
  </si>
  <si>
    <t>HCFC-123</t>
  </si>
  <si>
    <t>HCFC-124</t>
  </si>
  <si>
    <t>HCFC-141b</t>
  </si>
  <si>
    <t>HCFC-142b</t>
  </si>
  <si>
    <t>HCFC-225ca</t>
  </si>
  <si>
    <t>HCFC-225cb</t>
  </si>
  <si>
    <t>Combustivel</t>
  </si>
  <si>
    <t>litros</t>
  </si>
  <si>
    <t>Metanol</t>
  </si>
  <si>
    <t>Bioquerosene (SAF)</t>
  </si>
  <si>
    <t>Biometanol</t>
  </si>
  <si>
    <r>
      <rPr>
        <b/>
        <sz val="12"/>
        <color theme="1"/>
        <rFont val="Calibri"/>
        <charset val="134"/>
      </rPr>
      <t>Emissão
(g CO</t>
    </r>
    <r>
      <rPr>
        <b/>
        <vertAlign val="subscript"/>
        <sz val="12"/>
        <color theme="1"/>
        <rFont val="Calibri Light"/>
        <charset val="134"/>
      </rPr>
      <t>2</t>
    </r>
    <r>
      <rPr>
        <b/>
        <sz val="12"/>
        <color theme="1"/>
        <rFont val="Calibri Light"/>
        <charset val="134"/>
      </rPr>
      <t>/passageiro.km)</t>
    </r>
  </si>
  <si>
    <t>kWh / P.km</t>
  </si>
  <si>
    <t>FE SIN (t CO2 / MWh)</t>
  </si>
  <si>
    <t>Emissão (g CO2 / P.km)</t>
  </si>
  <si>
    <t>Tipo de ônibus</t>
  </si>
  <si>
    <t>Fator emissão - DEFRA
(kg CO2e/passageiro.km)</t>
  </si>
  <si>
    <t>Fator de consumo
(L/passageiro.km)</t>
  </si>
  <si>
    <t>Óleo Diesel (Emissão kg CO2/p.km)</t>
  </si>
  <si>
    <t>Óleo Diesel (Emissão kg CH4/p.km)</t>
  </si>
  <si>
    <t>Óleo Diesel (Emissão kg N2O/p.km)</t>
  </si>
  <si>
    <t>Biodiesel (Emissão kg CO2/p.km)</t>
  </si>
  <si>
    <t>Biodiesel (Emissão kg CH4/p.km)</t>
  </si>
  <si>
    <t>Biodiesel (Emissãokg N2O/p.km)</t>
  </si>
  <si>
    <t>Ônibus municipal</t>
  </si>
  <si>
    <t>Ônibus de viagem</t>
  </si>
  <si>
    <t>Tipo de embarcação</t>
  </si>
  <si>
    <t>Fator de emissão - DEFRA
(kg CO2e / passageiro.km)</t>
  </si>
  <si>
    <t>Fator de consumo
(litro / passageiro.km)</t>
  </si>
  <si>
    <t>(kg CO2 / passageiro.km)</t>
  </si>
  <si>
    <t>(kg CH4 / passageiro.km)</t>
  </si>
  <si>
    <t>(kg N2O / passageiro.km)</t>
  </si>
  <si>
    <t>Balsa de passageiros</t>
  </si>
  <si>
    <t>Óleo Diesel</t>
  </si>
  <si>
    <t>Balsa de veículos</t>
  </si>
  <si>
    <t>Balsa híbrida veículos e passageiros</t>
  </si>
  <si>
    <t>Tipo_veiculo</t>
  </si>
  <si>
    <t>CH4_originais</t>
  </si>
  <si>
    <t>N2O_originais</t>
  </si>
  <si>
    <t>CH4_convertida</t>
  </si>
  <si>
    <t>N2O_convertida</t>
  </si>
  <si>
    <t>Tipo do Veículo</t>
  </si>
  <si>
    <t>Consumo Km/KWh</t>
  </si>
  <si>
    <t>Eletricidade</t>
  </si>
  <si>
    <t>Motocicleta Elétrica</t>
  </si>
  <si>
    <t>Legenda</t>
  </si>
  <si>
    <t xml:space="preserve">Fatores de Emissão (unidades convertidas) CH4 (kg / litro) - </t>
  </si>
  <si>
    <t xml:space="preserve">Fatores de Emissão (unidades originais) - MMA (2014) e CETESB (2023) CH4 (g/km)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</si>
</sst>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0.0"/>
    <numFmt numFmtId="181" formatCode="0.0000"/>
    <numFmt numFmtId="182" formatCode="0.00000000000"/>
    <numFmt numFmtId="183" formatCode="0.0000000000"/>
    <numFmt numFmtId="184" formatCode="0.000000"/>
    <numFmt numFmtId="185" formatCode="0.000000000"/>
    <numFmt numFmtId="186" formatCode="0.000"/>
    <numFmt numFmtId="187" formatCode="0.0000000000000"/>
    <numFmt numFmtId="188" formatCode="0.00000"/>
    <numFmt numFmtId="189" formatCode="_(* #,##0_);_(* \(#,##0\);_(* &quot;-&quot;??_);_(@_)"/>
    <numFmt numFmtId="190" formatCode="_(* #,##0.0_);_(* \(#,##0.0\);_(* &quot;-&quot;??_);_(@_)"/>
    <numFmt numFmtId="191" formatCode="_(* #,##0.000_);_(* \(#,##0.000\);_(* &quot;-&quot;??_);_(@_)"/>
    <numFmt numFmtId="192" formatCode="#,##0.00000"/>
    <numFmt numFmtId="193" formatCode="#,##0.00000000000000000"/>
    <numFmt numFmtId="194" formatCode="#,##0.0000000000000000000000"/>
  </numFmts>
  <fonts count="41">
    <font>
      <sz val="11"/>
      <color theme="1"/>
      <name val="Calibri"/>
      <charset val="134"/>
      <scheme val="minor"/>
    </font>
    <font>
      <b/>
      <sz val="12"/>
      <color theme="1"/>
      <name val="Calibri"/>
      <charset val="134"/>
    </font>
    <font>
      <b/>
      <sz val="11"/>
      <color theme="1"/>
      <name val="Calibri"/>
      <charset val="134"/>
    </font>
    <font>
      <sz val="11"/>
      <color theme="1"/>
      <name val="Calibri"/>
      <charset val="134"/>
    </font>
    <font>
      <sz val="12"/>
      <color theme="1"/>
      <name val="Calibri"/>
      <charset val="134"/>
    </font>
    <font>
      <b/>
      <sz val="11"/>
      <color rgb="FF000000"/>
      <name val="Calibri"/>
      <charset val="134"/>
    </font>
    <font>
      <sz val="11"/>
      <color rgb="FF000000"/>
      <name val="Calibri"/>
      <charset val="134"/>
    </font>
    <font>
      <b/>
      <sz val="11"/>
      <color theme="0"/>
      <name val="Calibri"/>
      <charset val="134"/>
    </font>
    <font>
      <i/>
      <sz val="12"/>
      <color theme="1"/>
      <name val="Calibri"/>
      <charset val="134"/>
    </font>
    <font>
      <b/>
      <sz val="12"/>
      <name val="Calibri Light"/>
      <charset val="134"/>
    </font>
    <font>
      <sz val="12"/>
      <name val="Calibri Light"/>
      <charset val="134"/>
    </font>
    <font>
      <sz val="11"/>
      <name val="Calibri Light"/>
      <charset val="134"/>
    </font>
    <font>
      <sz val="10"/>
      <color rgb="FF000000"/>
      <name val="Calibri"/>
      <charset val="134"/>
      <scheme val="minor"/>
    </font>
    <font>
      <sz val="10"/>
      <color theme="1"/>
      <name val="Calibri"/>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1"/>
      <color theme="1"/>
      <name val="Calibri Light"/>
      <charset val="134"/>
    </font>
    <font>
      <sz val="11"/>
      <color theme="1"/>
      <name val="Calibri Light"/>
      <charset val="134"/>
    </font>
    <font>
      <b/>
      <vertAlign val="subscript"/>
      <sz val="12"/>
      <name val="Calibri Light"/>
      <charset val="134"/>
    </font>
    <font>
      <b/>
      <vertAlign val="subscript"/>
      <sz val="11"/>
      <color theme="1"/>
      <name val="Calibri"/>
      <charset val="134"/>
    </font>
    <font>
      <b/>
      <vertAlign val="subscript"/>
      <sz val="12"/>
      <color theme="1"/>
      <name val="Calibri Light"/>
      <charset val="134"/>
    </font>
    <font>
      <b/>
      <sz val="12"/>
      <color theme="1"/>
      <name val="Calibri Light"/>
      <charset val="134"/>
    </font>
    <font>
      <sz val="10"/>
      <name val="SimSun"/>
      <charset val="134"/>
    </font>
  </fonts>
  <fills count="54">
    <fill>
      <patternFill patternType="none"/>
    </fill>
    <fill>
      <patternFill patternType="gray125"/>
    </fill>
    <fill>
      <patternFill patternType="solid">
        <fgColor rgb="FFE7E6E6"/>
        <bgColor rgb="FFE7E6E6"/>
      </patternFill>
    </fill>
    <fill>
      <patternFill patternType="solid">
        <fgColor rgb="FFFFFF00"/>
        <bgColor rgb="FFFFFF00"/>
      </patternFill>
    </fill>
    <fill>
      <patternFill patternType="solid">
        <fgColor rgb="FF92D050"/>
        <bgColor rgb="FF92D050"/>
      </patternFill>
    </fill>
    <fill>
      <patternFill patternType="solid">
        <fgColor rgb="FFFFFF00"/>
        <bgColor indexed="64"/>
      </patternFill>
    </fill>
    <fill>
      <patternFill patternType="solid">
        <fgColor rgb="FFBDD6EE"/>
        <bgColor rgb="FFBDD6EE"/>
      </patternFill>
    </fill>
    <fill>
      <patternFill patternType="solid">
        <fgColor rgb="FF00B0F0"/>
        <bgColor rgb="FF00B0F0"/>
      </patternFill>
    </fill>
    <fill>
      <patternFill patternType="solid">
        <fgColor rgb="FFFFC000"/>
        <bgColor rgb="FFFFC000"/>
      </patternFill>
    </fill>
    <fill>
      <patternFill patternType="solid">
        <fgColor rgb="FF7030A0"/>
        <bgColor rgb="FF7030A0"/>
      </patternFill>
    </fill>
    <fill>
      <patternFill patternType="solid">
        <fgColor rgb="FFB4C6E7"/>
        <bgColor rgb="FFB4C6E7"/>
      </patternFill>
    </fill>
    <fill>
      <patternFill patternType="solid">
        <fgColor theme="0"/>
        <bgColor theme="0"/>
      </patternFill>
    </fill>
    <fill>
      <patternFill patternType="solid">
        <fgColor rgb="FFFFFF00"/>
        <bgColor rgb="FFE7E6E6"/>
      </patternFill>
    </fill>
    <fill>
      <patternFill patternType="solid">
        <fgColor rgb="FFFFFFFF"/>
        <bgColor rgb="FFFFFFFF"/>
      </patternFill>
    </fill>
    <fill>
      <patternFill patternType="solid">
        <fgColor rgb="FFFFFF00"/>
        <bgColor rgb="FF92D050"/>
      </patternFill>
    </fill>
    <fill>
      <patternFill patternType="solid">
        <fgColor theme="6"/>
        <bgColor theme="6"/>
      </patternFill>
    </fill>
    <fill>
      <patternFill patternType="solid">
        <fgColor rgb="FFFFFF99"/>
        <bgColor rgb="FFFFFF99"/>
      </patternFill>
    </fill>
    <fill>
      <patternFill patternType="solid">
        <fgColor rgb="FFFFBDBD"/>
        <bgColor rgb="FFFFBDBD"/>
      </patternFill>
    </fill>
    <fill>
      <patternFill patternType="solid">
        <fgColor theme="2"/>
        <bgColor indexed="64"/>
      </patternFill>
    </fill>
    <fill>
      <patternFill patternType="solid">
        <fgColor indexed="9"/>
        <bgColor indexed="64"/>
      </patternFill>
    </fill>
    <fill>
      <patternFill patternType="solid">
        <fgColor theme="0"/>
        <bgColor indexed="64"/>
      </patternFill>
    </fill>
    <fill>
      <patternFill patternType="solid">
        <fgColor rgb="FFFCD5B4"/>
        <bgColor indexed="64"/>
      </patternFill>
    </fill>
    <fill>
      <patternFill patternType="solid">
        <fgColor rgb="FFEEECE1"/>
        <bgColor rgb="FFEEEC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23" borderId="2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2" applyNumberFormat="0" applyFill="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23" fillId="24" borderId="24" applyNumberFormat="0" applyAlignment="0" applyProtection="0">
      <alignment vertical="center"/>
    </xf>
    <xf numFmtId="0" fontId="24" fillId="25" borderId="25" applyNumberFormat="0" applyAlignment="0" applyProtection="0">
      <alignment vertical="center"/>
    </xf>
    <xf numFmtId="0" fontId="25" fillId="25" borderId="24" applyNumberFormat="0" applyAlignment="0" applyProtection="0">
      <alignment vertical="center"/>
    </xf>
    <xf numFmtId="0" fontId="26" fillId="26" borderId="26" applyNumberFormat="0" applyAlignment="0" applyProtection="0">
      <alignment vertical="center"/>
    </xf>
    <xf numFmtId="0" fontId="27" fillId="0" borderId="27" applyNumberFormat="0" applyFill="0" applyAlignment="0" applyProtection="0">
      <alignment vertical="center"/>
    </xf>
    <xf numFmtId="0" fontId="28" fillId="0" borderId="28" applyNumberFormat="0" applyFill="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2" fillId="45" borderId="0" applyNumberFormat="0" applyBorder="0" applyAlignment="0" applyProtection="0">
      <alignment vertical="center"/>
    </xf>
    <xf numFmtId="0" fontId="32" fillId="46" borderId="0" applyNumberFormat="0" applyBorder="0" applyAlignment="0" applyProtection="0">
      <alignment vertical="center"/>
    </xf>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2" fillId="49" borderId="0" applyNumberFormat="0" applyBorder="0" applyAlignment="0" applyProtection="0">
      <alignment vertical="center"/>
    </xf>
    <xf numFmtId="0" fontId="32" fillId="50" borderId="0" applyNumberFormat="0" applyBorder="0" applyAlignment="0" applyProtection="0">
      <alignment vertical="center"/>
    </xf>
    <xf numFmtId="0" fontId="33" fillId="51" borderId="0" applyNumberFormat="0" applyBorder="0" applyAlignment="0" applyProtection="0">
      <alignment vertical="center"/>
    </xf>
    <xf numFmtId="0" fontId="33" fillId="52" borderId="0" applyNumberFormat="0" applyBorder="0" applyAlignment="0" applyProtection="0">
      <alignment vertical="center"/>
    </xf>
    <xf numFmtId="0" fontId="32" fillId="53" borderId="0" applyNumberFormat="0" applyBorder="0" applyAlignment="0" applyProtection="0">
      <alignment vertical="center"/>
    </xf>
  </cellStyleXfs>
  <cellXfs count="146">
    <xf numFmtId="0" fontId="0" fillId="0" borderId="0" xfId="0" applyFont="1" applyAlignment="1"/>
    <xf numFmtId="0" fontId="1" fillId="2"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xf numFmtId="3" fontId="4" fillId="0" borderId="1" xfId="0" applyNumberFormat="1" applyFont="1" applyBorder="1" applyAlignment="1">
      <alignment horizontal="center" vertical="center" wrapText="1"/>
    </xf>
    <xf numFmtId="180" fontId="3" fillId="0" borderId="1" xfId="0" applyNumberFormat="1" applyFont="1" applyBorder="1" applyAlignment="1">
      <alignment vertical="center"/>
    </xf>
    <xf numFmtId="180" fontId="3" fillId="0" borderId="1" xfId="0" applyNumberFormat="1" applyFont="1" applyBorder="1" applyAlignment="1">
      <alignment horizontal="center" vertical="center"/>
    </xf>
    <xf numFmtId="3" fontId="4" fillId="3" borderId="1" xfId="0" applyNumberFormat="1" applyFont="1" applyFill="1" applyBorder="1" applyAlignment="1">
      <alignment horizontal="center" vertical="center" wrapText="1"/>
    </xf>
    <xf numFmtId="180" fontId="3" fillId="3"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81" fontId="2" fillId="2" borderId="1" xfId="0" applyNumberFormat="1" applyFont="1" applyFill="1" applyBorder="1" applyAlignment="1">
      <alignment horizontal="center" vertical="center" wrapText="1"/>
    </xf>
    <xf numFmtId="0" fontId="4" fillId="4" borderId="1" xfId="0" applyFont="1" applyFill="1" applyBorder="1" applyAlignment="1">
      <alignment vertical="center" wrapText="1"/>
    </xf>
    <xf numFmtId="0" fontId="2" fillId="2" borderId="1" xfId="0" applyFont="1" applyFill="1" applyBorder="1" applyAlignment="1">
      <alignment vertical="center" wrapText="1"/>
    </xf>
    <xf numFmtId="181" fontId="3" fillId="3" borderId="1" xfId="0" applyNumberFormat="1" applyFont="1" applyFill="1" applyBorder="1" applyAlignment="1">
      <alignment vertical="center" wrapText="1"/>
    </xf>
    <xf numFmtId="181" fontId="3" fillId="3" borderId="1" xfId="0" applyNumberFormat="1" applyFont="1" applyFill="1" applyBorder="1"/>
    <xf numFmtId="182" fontId="3" fillId="3" borderId="1" xfId="0" applyNumberFormat="1" applyFont="1" applyFill="1" applyBorder="1"/>
    <xf numFmtId="181" fontId="3" fillId="2" borderId="1" xfId="0" applyNumberFormat="1" applyFont="1" applyFill="1" applyBorder="1" applyAlignment="1">
      <alignment vertical="center" wrapText="1"/>
    </xf>
    <xf numFmtId="181" fontId="3" fillId="0" borderId="1" xfId="0" applyNumberFormat="1" applyFont="1" applyBorder="1"/>
    <xf numFmtId="182" fontId="3" fillId="0" borderId="1" xfId="0" applyNumberFormat="1" applyFont="1" applyBorder="1"/>
    <xf numFmtId="183" fontId="3" fillId="5" borderId="1" xfId="0" applyNumberFormat="1" applyFont="1" applyFill="1" applyBorder="1" applyAlignment="1"/>
    <xf numFmtId="3" fontId="4" fillId="5" borderId="1" xfId="0" applyNumberFormat="1" applyFont="1" applyFill="1" applyBorder="1" applyAlignment="1">
      <alignment horizontal="center" vertical="center" wrapText="1"/>
    </xf>
    <xf numFmtId="0" fontId="2" fillId="5" borderId="1" xfId="0" applyFont="1" applyFill="1" applyBorder="1" applyAlignment="1">
      <alignment vertical="center" wrapText="1"/>
    </xf>
    <xf numFmtId="181" fontId="3" fillId="5" borderId="1" xfId="0" applyNumberFormat="1" applyFont="1" applyFill="1" applyBorder="1" applyAlignment="1">
      <alignment vertical="center" wrapText="1"/>
    </xf>
    <xf numFmtId="181" fontId="3" fillId="5" borderId="1" xfId="0" applyNumberFormat="1" applyFont="1" applyFill="1" applyBorder="1"/>
    <xf numFmtId="184" fontId="3" fillId="5" borderId="1" xfId="0" applyNumberFormat="1" applyFont="1" applyFill="1" applyBorder="1"/>
    <xf numFmtId="181" fontId="3" fillId="6" borderId="1" xfId="0" applyNumberFormat="1" applyFont="1" applyFill="1" applyBorder="1" applyAlignment="1">
      <alignment vertical="center"/>
    </xf>
    <xf numFmtId="181" fontId="3" fillId="3" borderId="1" xfId="0" applyNumberFormat="1" applyFont="1" applyFill="1" applyBorder="1" applyAlignment="1">
      <alignment vertical="center"/>
    </xf>
    <xf numFmtId="181" fontId="3" fillId="3" borderId="1" xfId="0" applyNumberFormat="1" applyFont="1" applyFill="1" applyBorder="1" applyAlignment="1">
      <alignment horizontal="right" vertical="center"/>
    </xf>
    <xf numFmtId="185" fontId="3" fillId="3" borderId="1" xfId="0" applyNumberFormat="1" applyFont="1" applyFill="1" applyBorder="1"/>
    <xf numFmtId="0" fontId="4" fillId="7" borderId="1" xfId="0" applyFont="1" applyFill="1" applyBorder="1" applyAlignment="1">
      <alignment vertical="center" wrapText="1"/>
    </xf>
    <xf numFmtId="181" fontId="3" fillId="0" borderId="1" xfId="0" applyNumberFormat="1" applyFont="1" applyBorder="1" applyAlignment="1">
      <alignment vertical="center" wrapText="1"/>
    </xf>
    <xf numFmtId="0" fontId="4" fillId="8" borderId="1" xfId="0" applyFont="1" applyFill="1" applyBorder="1" applyAlignment="1">
      <alignment vertical="center" wrapText="1"/>
    </xf>
    <xf numFmtId="181" fontId="3" fillId="4" borderId="1" xfId="0" applyNumberFormat="1" applyFont="1" applyFill="1" applyBorder="1" applyAlignment="1">
      <alignment vertical="center" wrapText="1"/>
    </xf>
    <xf numFmtId="181" fontId="3" fillId="4" borderId="1" xfId="0" applyNumberFormat="1" applyFont="1" applyFill="1" applyBorder="1"/>
    <xf numFmtId="0" fontId="4" fillId="9" borderId="1" xfId="0" applyFont="1" applyFill="1" applyBorder="1" applyAlignment="1">
      <alignment vertical="center" wrapText="1"/>
    </xf>
    <xf numFmtId="0" fontId="4" fillId="10" borderId="1" xfId="0" applyFont="1" applyFill="1" applyBorder="1" applyAlignment="1">
      <alignment vertical="center" wrapText="1"/>
    </xf>
    <xf numFmtId="181" fontId="3" fillId="0" borderId="0" xfId="0" applyNumberFormat="1" applyFont="1"/>
    <xf numFmtId="0" fontId="2" fillId="0" borderId="1" xfId="0" applyFont="1" applyBorder="1"/>
    <xf numFmtId="0" fontId="2" fillId="0" borderId="2" xfId="0" applyFont="1" applyBorder="1"/>
    <xf numFmtId="0" fontId="3" fillId="3" borderId="2" xfId="0" applyFont="1" applyFill="1" applyBorder="1"/>
    <xf numFmtId="0" fontId="0" fillId="0" borderId="0" xfId="0" applyFont="1"/>
    <xf numFmtId="0" fontId="3" fillId="0" borderId="0" xfId="0" applyFont="1" applyAlignment="1">
      <alignment wrapText="1"/>
    </xf>
    <xf numFmtId="0" fontId="3" fillId="4" borderId="0" xfId="0" applyFont="1" applyFill="1" applyBorder="1"/>
    <xf numFmtId="1" fontId="1" fillId="2" borderId="1" xfId="0" applyNumberFormat="1" applyFont="1" applyFill="1" applyBorder="1" applyAlignment="1">
      <alignment horizontal="center" vertical="center"/>
    </xf>
    <xf numFmtId="186" fontId="1" fillId="2" borderId="1" xfId="0" applyNumberFormat="1" applyFont="1" applyFill="1" applyBorder="1" applyAlignment="1">
      <alignment horizontal="center" vertical="center"/>
    </xf>
    <xf numFmtId="181" fontId="4" fillId="0" borderId="1" xfId="0" applyNumberFormat="1" applyFont="1" applyBorder="1" applyAlignment="1">
      <alignment horizontal="center" vertical="center"/>
    </xf>
    <xf numFmtId="0" fontId="3" fillId="3" borderId="1" xfId="0" applyFont="1" applyFill="1" applyBorder="1"/>
    <xf numFmtId="181" fontId="4" fillId="3"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wrapText="1"/>
    </xf>
    <xf numFmtId="0" fontId="4" fillId="11" borderId="2" xfId="0" applyFont="1" applyFill="1" applyBorder="1" applyAlignment="1">
      <alignment horizontal="center" vertical="center"/>
    </xf>
    <xf numFmtId="180" fontId="4" fillId="11" borderId="4" xfId="0" applyNumberFormat="1" applyFont="1" applyFill="1" applyBorder="1" applyAlignment="1">
      <alignment horizontal="center" vertical="center" wrapText="1"/>
    </xf>
    <xf numFmtId="0" fontId="4" fillId="0" borderId="2" xfId="0" applyFont="1" applyBorder="1" applyAlignment="1">
      <alignment horizontal="center" vertical="center"/>
    </xf>
    <xf numFmtId="180" fontId="4" fillId="0" borderId="4" xfId="0" applyNumberFormat="1" applyFont="1" applyBorder="1" applyAlignment="1">
      <alignment horizontal="center" vertical="center" wrapText="1"/>
    </xf>
    <xf numFmtId="0" fontId="4" fillId="0" borderId="5" xfId="0" applyFont="1" applyBorder="1" applyAlignment="1">
      <alignment horizontal="center" vertical="center"/>
    </xf>
    <xf numFmtId="180" fontId="4" fillId="0" borderId="2" xfId="0" applyNumberFormat="1" applyFont="1" applyBorder="1" applyAlignment="1">
      <alignment horizontal="center" vertical="center"/>
    </xf>
    <xf numFmtId="180" fontId="4" fillId="0" borderId="4" xfId="0" applyNumberFormat="1" applyFont="1" applyBorder="1" applyAlignment="1">
      <alignment horizontal="center" vertical="center"/>
    </xf>
    <xf numFmtId="0" fontId="4" fillId="0" borderId="6" xfId="0" applyFont="1" applyBorder="1" applyAlignment="1">
      <alignment horizontal="center" vertical="center"/>
    </xf>
    <xf numFmtId="180" fontId="4" fillId="4" borderId="4" xfId="0" applyNumberFormat="1" applyFont="1" applyFill="1" applyBorder="1" applyAlignment="1">
      <alignment horizontal="center" vertical="center"/>
    </xf>
    <xf numFmtId="0" fontId="2" fillId="2" borderId="1" xfId="0" applyFont="1" applyFill="1" applyBorder="1" applyAlignment="1">
      <alignment vertical="center"/>
    </xf>
    <xf numFmtId="0" fontId="2" fillId="12" borderId="1" xfId="0" applyFont="1" applyFill="1" applyBorder="1" applyAlignment="1">
      <alignment vertical="center"/>
    </xf>
    <xf numFmtId="0" fontId="4" fillId="13" borderId="1" xfId="0" applyFont="1" applyFill="1" applyBorder="1" applyAlignment="1">
      <alignment horizontal="left" vertical="center" wrapText="1"/>
    </xf>
    <xf numFmtId="0" fontId="3" fillId="5" borderId="1" xfId="0" applyFont="1" applyFill="1" applyBorder="1"/>
    <xf numFmtId="0" fontId="3" fillId="4" borderId="1" xfId="0" applyFont="1" applyFill="1" applyBorder="1"/>
    <xf numFmtId="0" fontId="4" fillId="4" borderId="1" xfId="0" applyFont="1" applyFill="1" applyBorder="1" applyAlignment="1">
      <alignment horizontal="left" vertical="center" wrapText="1"/>
    </xf>
    <xf numFmtId="0" fontId="3" fillId="14" borderId="1" xfId="0" applyFont="1" applyFill="1" applyBorder="1"/>
    <xf numFmtId="187" fontId="3" fillId="4" borderId="1" xfId="0" applyNumberFormat="1" applyFont="1" applyFill="1" applyBorder="1"/>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3" fillId="13" borderId="9" xfId="0" applyFont="1" applyFill="1" applyBorder="1" applyAlignment="1">
      <alignment horizontal="left" vertical="center" wrapText="1"/>
    </xf>
    <xf numFmtId="3" fontId="3" fillId="13" borderId="1" xfId="0" applyNumberFormat="1" applyFont="1" applyFill="1" applyBorder="1" applyAlignment="1">
      <alignment horizontal="right" vertical="center" wrapText="1"/>
    </xf>
    <xf numFmtId="0" fontId="3" fillId="13" borderId="10" xfId="0" applyFont="1" applyFill="1" applyBorder="1" applyAlignment="1">
      <alignment horizontal="left" vertical="center" wrapText="1"/>
    </xf>
    <xf numFmtId="0" fontId="3" fillId="13" borderId="11" xfId="0" applyFont="1" applyFill="1" applyBorder="1" applyAlignment="1">
      <alignment horizontal="left" vertical="center" wrapText="1"/>
    </xf>
    <xf numFmtId="3" fontId="3" fillId="13" borderId="12" xfId="0" applyNumberFormat="1" applyFont="1" applyFill="1" applyBorder="1" applyAlignment="1">
      <alignment horizontal="right" vertical="center" wrapText="1"/>
    </xf>
    <xf numFmtId="0" fontId="3" fillId="0" borderId="9" xfId="0" applyFont="1" applyBorder="1" applyAlignment="1">
      <alignment horizontal="left" vertical="center"/>
    </xf>
    <xf numFmtId="3" fontId="3" fillId="13" borderId="13" xfId="0" applyNumberFormat="1" applyFont="1" applyFill="1" applyBorder="1" applyAlignment="1">
      <alignment horizontal="right" vertical="center" wrapText="1"/>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13" borderId="1" xfId="0" applyFont="1" applyFill="1" applyBorder="1" applyAlignment="1">
      <alignment horizontal="left" vertical="center" wrapText="1"/>
    </xf>
    <xf numFmtId="0" fontId="5" fillId="0" borderId="0" xfId="0" applyFont="1" applyAlignment="1"/>
    <xf numFmtId="0" fontId="6" fillId="0" borderId="0" xfId="0" applyFont="1"/>
    <xf numFmtId="0" fontId="3" fillId="0" borderId="0" xfId="0" applyFont="1"/>
    <xf numFmtId="58" fontId="2" fillId="15" borderId="1" xfId="0" applyNumberFormat="1" applyFont="1" applyFill="1" applyBorder="1" applyAlignment="1">
      <alignment horizontal="center" vertical="center"/>
    </xf>
    <xf numFmtId="188" fontId="7" fillId="15" borderId="1" xfId="0" applyNumberFormat="1" applyFont="1" applyFill="1" applyBorder="1" applyAlignment="1">
      <alignment horizontal="center" vertical="center"/>
    </xf>
    <xf numFmtId="2" fontId="7" fillId="15" borderId="1" xfId="0" applyNumberFormat="1" applyFont="1" applyFill="1" applyBorder="1" applyAlignment="1">
      <alignment horizontal="center" vertical="center"/>
    </xf>
    <xf numFmtId="58" fontId="3" fillId="0" borderId="1" xfId="0" applyNumberFormat="1" applyFont="1" applyBorder="1" applyAlignment="1">
      <alignment horizontal="center" vertical="center"/>
    </xf>
    <xf numFmtId="188" fontId="3" fillId="0" borderId="1" xfId="0" applyNumberFormat="1" applyFont="1" applyBorder="1" applyAlignment="1">
      <alignment horizontal="center" vertical="center"/>
    </xf>
    <xf numFmtId="2" fontId="3" fillId="0" borderId="1" xfId="0" applyNumberFormat="1" applyFont="1" applyBorder="1"/>
    <xf numFmtId="188" fontId="3" fillId="3" borderId="1" xfId="0" applyNumberFormat="1" applyFont="1" applyFill="1" applyBorder="1" applyAlignment="1">
      <alignment horizontal="center" vertical="center"/>
    </xf>
    <xf numFmtId="2" fontId="3" fillId="3" borderId="1" xfId="0" applyNumberFormat="1" applyFont="1" applyFill="1" applyBorder="1"/>
    <xf numFmtId="58" fontId="3" fillId="0" borderId="0" xfId="0" applyNumberFormat="1" applyFont="1"/>
    <xf numFmtId="188" fontId="3" fillId="0" borderId="0" xfId="0" applyNumberFormat="1" applyFont="1"/>
    <xf numFmtId="2" fontId="3" fillId="0" borderId="0" xfId="0" applyNumberFormat="1" applyFont="1"/>
    <xf numFmtId="0" fontId="2" fillId="16" borderId="1" xfId="0" applyFont="1" applyFill="1" applyBorder="1" applyAlignment="1">
      <alignment vertical="center" wrapText="1"/>
    </xf>
    <xf numFmtId="0" fontId="2" fillId="6" borderId="1" xfId="0" applyFont="1" applyFill="1" applyBorder="1" applyAlignment="1">
      <alignment vertical="center"/>
    </xf>
    <xf numFmtId="0" fontId="2" fillId="17" borderId="1" xfId="0" applyFont="1" applyFill="1" applyBorder="1" applyAlignment="1">
      <alignment vertical="center"/>
    </xf>
    <xf numFmtId="189" fontId="3" fillId="16" borderId="1" xfId="0" applyNumberFormat="1" applyFont="1" applyFill="1" applyBorder="1" applyAlignment="1">
      <alignment horizontal="right" vertical="center" wrapText="1"/>
    </xf>
    <xf numFmtId="0" fontId="2" fillId="6" borderId="1" xfId="0" applyFont="1" applyFill="1" applyBorder="1" applyAlignment="1">
      <alignment horizontal="center" vertical="center" wrapText="1"/>
    </xf>
    <xf numFmtId="180" fontId="2" fillId="17" borderId="1" xfId="0" applyNumberFormat="1" applyFont="1" applyFill="1" applyBorder="1" applyAlignment="1">
      <alignment horizontal="center" vertical="center" wrapText="1"/>
    </xf>
    <xf numFmtId="188" fontId="3" fillId="6" borderId="1" xfId="0" applyNumberFormat="1" applyFont="1" applyFill="1" applyBorder="1" applyAlignment="1">
      <alignment horizontal="right" vertical="center" wrapText="1"/>
    </xf>
    <xf numFmtId="184" fontId="3" fillId="17" borderId="1" xfId="0" applyNumberFormat="1" applyFont="1" applyFill="1" applyBorder="1" applyAlignment="1">
      <alignment horizontal="right" vertical="center" wrapText="1"/>
    </xf>
    <xf numFmtId="190" fontId="3" fillId="16" borderId="1" xfId="0" applyNumberFormat="1" applyFont="1" applyFill="1" applyBorder="1" applyAlignment="1">
      <alignment horizontal="right" vertical="center" wrapText="1"/>
    </xf>
    <xf numFmtId="191" fontId="3" fillId="16" borderId="1" xfId="0" applyNumberFormat="1" applyFont="1" applyFill="1" applyBorder="1" applyAlignment="1">
      <alignment horizontal="right" vertical="center" wrapText="1"/>
    </xf>
    <xf numFmtId="1" fontId="3" fillId="6" borderId="1" xfId="0" applyNumberFormat="1" applyFont="1" applyFill="1" applyBorder="1" applyAlignment="1">
      <alignment horizontal="right" vertical="center" wrapText="1"/>
    </xf>
    <xf numFmtId="1" fontId="3" fillId="17" borderId="1" xfId="0" applyNumberFormat="1" applyFont="1" applyFill="1" applyBorder="1" applyAlignment="1">
      <alignment horizontal="right" vertical="center" wrapText="1"/>
    </xf>
    <xf numFmtId="188" fontId="3" fillId="6" borderId="1" xfId="0" applyNumberFormat="1" applyFont="1" applyFill="1" applyBorder="1" applyAlignment="1">
      <alignment horizontal="right" vertical="center"/>
    </xf>
    <xf numFmtId="0" fontId="8" fillId="0" borderId="1" xfId="0" applyFont="1" applyBorder="1" applyAlignment="1">
      <alignment horizontal="left" vertical="center"/>
    </xf>
    <xf numFmtId="0" fontId="4" fillId="0" borderId="1" xfId="0" applyFont="1" applyBorder="1" applyAlignment="1">
      <alignment horizontal="left" vertical="center" wrapText="1"/>
    </xf>
    <xf numFmtId="0" fontId="2" fillId="0" borderId="1" xfId="0" applyFont="1" applyBorder="1" applyAlignment="1">
      <alignment horizontal="center"/>
    </xf>
    <xf numFmtId="0" fontId="2" fillId="0" borderId="14" xfId="0" applyFont="1" applyBorder="1" applyAlignment="1">
      <alignment horizontal="center"/>
    </xf>
    <xf numFmtId="186" fontId="2" fillId="0" borderId="1" xfId="0" applyNumberFormat="1" applyFont="1" applyBorder="1" applyAlignment="1">
      <alignment horizontal="center"/>
    </xf>
    <xf numFmtId="2" fontId="3" fillId="13" borderId="1" xfId="0" applyNumberFormat="1" applyFont="1" applyFill="1" applyBorder="1" applyAlignment="1">
      <alignment horizontal="center" vertical="center"/>
    </xf>
    <xf numFmtId="0" fontId="3" fillId="0" borderId="14" xfId="0" applyFont="1" applyBorder="1" applyAlignment="1">
      <alignment horizontal="center"/>
    </xf>
    <xf numFmtId="186" fontId="3" fillId="0" borderId="1" xfId="0" applyNumberFormat="1" applyFont="1" applyBorder="1" applyAlignment="1">
      <alignment horizontal="center"/>
    </xf>
    <xf numFmtId="0" fontId="3" fillId="0" borderId="0" xfId="0" applyFont="1" applyAlignment="1">
      <alignment horizontal="center"/>
    </xf>
    <xf numFmtId="186" fontId="3" fillId="0" borderId="0" xfId="0" applyNumberFormat="1" applyFont="1" applyAlignment="1">
      <alignment horizontal="center"/>
    </xf>
    <xf numFmtId="181" fontId="2" fillId="2" borderId="1" xfId="0" applyNumberFormat="1" applyFont="1" applyFill="1" applyBorder="1" applyAlignment="1">
      <alignment vertical="center" wrapText="1"/>
    </xf>
    <xf numFmtId="0" fontId="4" fillId="13" borderId="1" xfId="0" applyFont="1" applyFill="1" applyBorder="1" applyAlignment="1">
      <alignment vertical="center" wrapText="1"/>
    </xf>
    <xf numFmtId="1" fontId="1" fillId="0" borderId="1" xfId="0" applyNumberFormat="1" applyFont="1" applyBorder="1" applyAlignment="1">
      <alignment horizontal="center" vertical="center"/>
    </xf>
    <xf numFmtId="0" fontId="0" fillId="0" borderId="0" xfId="0" applyFont="1" applyFill="1" applyAlignment="1"/>
    <xf numFmtId="0" fontId="9" fillId="18" borderId="15" xfId="0" applyFont="1" applyFill="1" applyBorder="1" applyAlignment="1">
      <alignment vertical="center" wrapText="1"/>
    </xf>
    <xf numFmtId="0" fontId="9" fillId="18" borderId="16" xfId="0" applyFont="1" applyFill="1" applyBorder="1" applyAlignment="1">
      <alignment vertical="center" wrapText="1"/>
    </xf>
    <xf numFmtId="0" fontId="10" fillId="19" borderId="15" xfId="0" applyFont="1" applyFill="1" applyBorder="1" applyAlignment="1">
      <alignment horizontal="left" vertical="center" wrapText="1"/>
    </xf>
    <xf numFmtId="9" fontId="10" fillId="19" borderId="15" xfId="0" applyNumberFormat="1" applyFont="1" applyFill="1" applyBorder="1" applyAlignment="1">
      <alignment horizontal="center" vertical="center" wrapText="1"/>
    </xf>
    <xf numFmtId="192" fontId="10" fillId="20" borderId="15" xfId="0" applyNumberFormat="1" applyFont="1" applyFill="1" applyBorder="1" applyAlignment="1">
      <alignment horizontal="right" vertical="center" wrapText="1" indent="1"/>
    </xf>
    <xf numFmtId="193" fontId="10" fillId="0" borderId="15" xfId="0" applyNumberFormat="1" applyFont="1" applyFill="1" applyBorder="1" applyAlignment="1">
      <alignment horizontal="right" vertical="center" wrapText="1" indent="1"/>
    </xf>
    <xf numFmtId="0" fontId="0" fillId="0" borderId="15" xfId="0" applyFont="1" applyFill="1" applyBorder="1" applyAlignment="1"/>
    <xf numFmtId="194" fontId="10" fillId="0" borderId="15" xfId="0" applyNumberFormat="1" applyFont="1" applyFill="1" applyBorder="1" applyAlignment="1">
      <alignment horizontal="right" vertical="center" wrapText="1" indent="1"/>
    </xf>
    <xf numFmtId="187" fontId="0" fillId="0" borderId="0" xfId="0" applyNumberFormat="1" applyFont="1" applyFill="1" applyAlignment="1"/>
    <xf numFmtId="0" fontId="11" fillId="21" borderId="15" xfId="0" applyFont="1" applyFill="1" applyBorder="1" applyAlignment="1" applyProtection="1">
      <alignment horizontal="center" vertical="center" wrapText="1"/>
      <protection locked="0"/>
    </xf>
    <xf numFmtId="0" fontId="12" fillId="0" borderId="0" xfId="0" applyFont="1" applyFill="1" applyAlignment="1"/>
    <xf numFmtId="0" fontId="3" fillId="11" borderId="0" xfId="0" applyFont="1" applyFill="1" applyBorder="1" applyAlignment="1">
      <alignment horizontal="center" vertical="center"/>
    </xf>
    <xf numFmtId="0" fontId="3" fillId="22" borderId="14" xfId="0" applyFont="1" applyFill="1" applyBorder="1" applyAlignment="1">
      <alignment horizontal="center" vertical="center"/>
    </xf>
    <xf numFmtId="0" fontId="3" fillId="22" borderId="17" xfId="0" applyFont="1" applyFill="1" applyBorder="1" applyAlignment="1">
      <alignment horizontal="center" vertical="center"/>
    </xf>
    <xf numFmtId="0" fontId="3" fillId="22" borderId="3" xfId="0" applyFont="1" applyFill="1" applyBorder="1" applyAlignment="1">
      <alignment horizontal="center" vertical="center"/>
    </xf>
    <xf numFmtId="0" fontId="3" fillId="11" borderId="18" xfId="0" applyFont="1" applyFill="1" applyBorder="1" applyAlignment="1">
      <alignment horizontal="center" vertical="center"/>
    </xf>
    <xf numFmtId="0" fontId="3" fillId="11" borderId="19" xfId="0" applyFont="1" applyFill="1" applyBorder="1" applyAlignment="1">
      <alignment horizontal="center" vertical="center"/>
    </xf>
    <xf numFmtId="0" fontId="3" fillId="11" borderId="20" xfId="0" applyFont="1" applyFill="1" applyBorder="1" applyAlignment="1">
      <alignment horizontal="center" vertical="center"/>
    </xf>
    <xf numFmtId="0" fontId="3" fillId="11" borderId="4" xfId="0" applyFont="1" applyFill="1" applyBorder="1" applyAlignment="1">
      <alignment horizontal="center" vertical="center"/>
    </xf>
    <xf numFmtId="0" fontId="3" fillId="11" borderId="5" xfId="0" applyFont="1" applyFill="1" applyBorder="1" applyAlignment="1">
      <alignment horizontal="center" vertical="center"/>
    </xf>
    <xf numFmtId="0" fontId="13" fillId="11" borderId="0" xfId="0" applyFont="1" applyFill="1" applyBorder="1" applyAlignment="1"/>
    <xf numFmtId="0" fontId="3" fillId="0" borderId="5" xfId="0" applyFont="1" applyFill="1" applyBorder="1" applyAlignment="1">
      <alignment horizontal="center" vertical="center"/>
    </xf>
    <xf numFmtId="0" fontId="3" fillId="0" borderId="0" xfId="0" applyFont="1" applyFill="1" applyAlignment="1">
      <alignment horizontal="center" vertical="center"/>
    </xf>
    <xf numFmtId="0" fontId="3" fillId="0" borderId="4" xfId="0" applyFont="1" applyFill="1" applyBorder="1" applyAlignment="1">
      <alignment horizontal="center" vertical="center"/>
    </xf>
    <xf numFmtId="0" fontId="3" fillId="11" borderId="0" xfId="0" applyFont="1" applyFill="1" applyBorder="1" applyAlignment="1">
      <alignment horizont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8">
    <dxf>
      <fill>
        <patternFill patternType="solid">
          <fgColor rgb="FFB7E1CD"/>
          <bgColor rgb="FFB7E1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5.xml"/><Relationship Id="rId24" Type="http://schemas.openxmlformats.org/officeDocument/2006/relationships/externalLink" Target="externalLinks/externalLink4.xml"/><Relationship Id="rId23" Type="http://schemas.openxmlformats.org/officeDocument/2006/relationships/externalLink" Target="externalLinks/externalLink3.xml"/><Relationship Id="rId22" Type="http://schemas.openxmlformats.org/officeDocument/2006/relationships/externalLink" Target="externalLinks/externalLink2.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36A9D2B\ferramenta_ghg_protocol_v2024_v2024.0%20-%20Banrisul%20-%20Totu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scosCorp-GRSAC\GRSAC\SUSTENTABILIDADE\Pilar%20PLANETA\Indicadores\Combust&#227;o%20Estacion&#225;ria\Compilado%20combustao%20estaciona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iscosCorp-GRSAC\GRSAC\SUSTENTABILIDADE\GS\Ger&#234;ncia%20Sustentabilidade\Pilar%20PLANETA\MUDAN&#199;AS%20CLIM&#193;TICAS\INVENT&#193;RIO%20GEE\Ano%20Base%202023\Ferramenta%20GHG\Banrisul%20Geral\ferramenta_ghg_protocol_v2024_v2024.0%20-%20para%20testes%20monitor%20de%20emisso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tiago\Downloads\Consolidado%20viagens%20aere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erramenta_ghg_protocol_v2025.0.1%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isclaimer"/>
      <sheetName val="Atualizações"/>
      <sheetName val="Listas"/>
      <sheetName val="Introdução"/>
      <sheetName val="Combustão estacionária"/>
      <sheetName val="Combustão móvel"/>
      <sheetName val="Emissões fugitivas"/>
      <sheetName val="Processos industriais"/>
      <sheetName val="Atividades de agricultura"/>
      <sheetName val="Mudança no uso do solo"/>
      <sheetName val="Resíduos sólidos"/>
      <sheetName val="Efluentes"/>
      <sheetName val="En. elétrica (localização)"/>
      <sheetName val="Perdas T&amp;D (abord. localização)"/>
      <sheetName val="Compra de Energia Térmica"/>
      <sheetName val="En. elétrica(escolha de compra)"/>
      <sheetName val="Perdas T&amp;D (escolha de compra)"/>
      <sheetName val="Categorias de Escopo 3"/>
      <sheetName val="Transp.&amp; Distribuição(Upstream)"/>
      <sheetName val="Resíduos sólidos da operação"/>
      <sheetName val="Efluentes gerados na operação"/>
      <sheetName val="Viagens a Negócios"/>
      <sheetName val="Emissões casa-trabalho"/>
      <sheetName val="Transp&amp;Distribuição(Downstream)"/>
      <sheetName val="Registro Público de Emissões"/>
      <sheetName val="Resumo"/>
      <sheetName val="Fatores de Emissão"/>
      <sheetName val="Fatores Variáveis"/>
      <sheetName val="Fugitivas - GEE não Quioto"/>
      <sheetName val="Aeroportos"/>
      <sheetName val="Fatores de conversã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mpilado estacionaria"/>
      <sheetName val="Compilado"/>
      <sheetName val="Fatores de emissao estacionaria"/>
      <sheetName val="Composição combustíveis"/>
      <sheetName val="Fatores Variáveis modelo"/>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laimer"/>
      <sheetName val="Atualizações"/>
      <sheetName val="Listas"/>
      <sheetName val="Introdução"/>
      <sheetName val="Combustão estacionária"/>
      <sheetName val="Combustão móvel"/>
      <sheetName val="Emissões fugitivas"/>
      <sheetName val="Processos industriais"/>
      <sheetName val="Atividades de agricultura"/>
      <sheetName val="Mudança no uso do solo"/>
      <sheetName val="Resíduos sólidos"/>
      <sheetName val="Efluentes"/>
      <sheetName val="En. elétrica (localização)"/>
      <sheetName val="Perdas T&amp;D (abord. localização)"/>
      <sheetName val="Compra de Energia Térmica"/>
      <sheetName val="En. elétrica(escolha de compra)"/>
      <sheetName val="Perdas T&amp;D (escolha de compra)"/>
      <sheetName val="Categorias de Escopo 3"/>
      <sheetName val="Transp.&amp; Distribuição(Upstream)"/>
      <sheetName val="Resíduos sólidos da operação"/>
      <sheetName val="Efluentes gerados na operação"/>
      <sheetName val="Viagens a Negócios"/>
      <sheetName val="Emissões casa-trabalho"/>
      <sheetName val="Transp&amp;Distribuição(Downstream)"/>
      <sheetName val="Registro Público de Emissões"/>
      <sheetName val="Resumo"/>
      <sheetName val="Fatores de Emissão"/>
      <sheetName val="Fatores Variáveis"/>
      <sheetName val="Fugitivas - GEE não Quioto"/>
      <sheetName val="Aeroportos"/>
      <sheetName val="Fatores de conversã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ados viagens aereas"/>
      <sheetName val="Distancias aeroportos"/>
      <sheetName val="Fatores emissao aereas"/>
      <sheetName val="Centro de Custo"/>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laimer"/>
      <sheetName val="Atualizações"/>
      <sheetName val="Listas"/>
      <sheetName val="Introdução"/>
      <sheetName val="Combustão estacionária"/>
      <sheetName val="Combustão móvel"/>
      <sheetName val="Emissões fugitivas"/>
      <sheetName val="Processos industriais"/>
      <sheetName val="Atividades de agricultura"/>
      <sheetName val="Mudança no uso do solo"/>
      <sheetName val="Resíduos sólidos"/>
      <sheetName val="Efluentes"/>
      <sheetName val="En. elétrica (localização)"/>
      <sheetName val="Perdas T&amp;D (abord. localização)"/>
      <sheetName val="Compra de Energia Térmica"/>
      <sheetName val="En. elétrica(escolha de compra)"/>
      <sheetName val="Perdas T&amp;D (escolha de compra)"/>
      <sheetName val="Categorias de Escopo 3"/>
      <sheetName val="Transp.&amp; Distribuição(Upstream)"/>
      <sheetName val="Resíduos sólidos da operação"/>
      <sheetName val="Efluentes gerados na operação"/>
      <sheetName val="Viagens a Negócios"/>
      <sheetName val="Emissões casa-trabalho"/>
      <sheetName val="Transp&amp;Distribuição(Downstream)"/>
      <sheetName val="Registro Público de Emissões"/>
      <sheetName val="Resumo"/>
      <sheetName val="Fatores de Emissão"/>
      <sheetName val="Fatores Variáveis"/>
      <sheetName val="Fugitivas - GEE não Quioto"/>
      <sheetName val="Aeroportos"/>
      <sheetName val="Fatores de conversã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sheetPr>
  <dimension ref="A1:Z913"/>
  <sheetViews>
    <sheetView tabSelected="1" workbookViewId="0">
      <selection activeCell="K8" sqref="K8"/>
    </sheetView>
  </sheetViews>
  <sheetFormatPr defaultColWidth="12.6285714285714" defaultRowHeight="15" customHeight="1"/>
  <cols>
    <col min="1" max="1" width="9.13333333333333" style="131" customWidth="1"/>
    <col min="2" max="2" width="23.5047619047619" style="131" customWidth="1"/>
    <col min="3" max="3" width="9.13333333333333" style="131" customWidth="1"/>
    <col min="4" max="4" width="24.5047619047619" style="131" customWidth="1"/>
    <col min="5" max="15" width="9.13333333333333" style="131" customWidth="1"/>
    <col min="16" max="26" width="8.62857142857143" style="131" customWidth="1"/>
    <col min="27" max="16384" width="12.6285714285714" style="131"/>
  </cols>
  <sheetData>
    <row r="1" ht="12.75" customHeight="1" spans="1:26">
      <c r="A1" s="132"/>
      <c r="B1" s="133" t="s">
        <v>0</v>
      </c>
      <c r="C1" s="134" t="s">
        <v>1</v>
      </c>
      <c r="D1" s="135" t="s">
        <v>2</v>
      </c>
      <c r="E1" s="133" t="s">
        <v>3</v>
      </c>
      <c r="F1" s="134" t="s">
        <v>4</v>
      </c>
      <c r="G1" s="134" t="s">
        <v>5</v>
      </c>
      <c r="H1" s="135" t="s">
        <v>6</v>
      </c>
      <c r="I1" s="133" t="s">
        <v>3</v>
      </c>
      <c r="J1" s="134" t="s">
        <v>4</v>
      </c>
      <c r="K1" s="134" t="s">
        <v>5</v>
      </c>
      <c r="L1" s="135" t="s">
        <v>7</v>
      </c>
      <c r="M1" s="132"/>
      <c r="N1" s="141"/>
      <c r="O1" s="141"/>
      <c r="P1" s="141"/>
      <c r="Q1" s="141"/>
      <c r="R1" s="141"/>
      <c r="S1" s="141"/>
      <c r="T1" s="141"/>
      <c r="U1" s="141"/>
      <c r="V1" s="141"/>
      <c r="W1" s="141"/>
      <c r="X1" s="141"/>
      <c r="Y1" s="141"/>
      <c r="Z1" s="141"/>
    </row>
    <row r="2" ht="12.75" customHeight="1" spans="1:26">
      <c r="A2" s="132"/>
      <c r="B2" s="136" t="s">
        <v>8</v>
      </c>
      <c r="C2" s="137" t="s">
        <v>9</v>
      </c>
      <c r="D2" s="138" t="s">
        <v>10</v>
      </c>
      <c r="E2" s="136">
        <v>33</v>
      </c>
      <c r="F2" s="137">
        <v>57</v>
      </c>
      <c r="G2" s="137">
        <v>53</v>
      </c>
      <c r="H2" s="139" t="s">
        <v>11</v>
      </c>
      <c r="I2" s="137">
        <v>18</v>
      </c>
      <c r="J2" s="137">
        <v>36</v>
      </c>
      <c r="K2" s="137">
        <v>6</v>
      </c>
      <c r="L2" s="138" t="s">
        <v>12</v>
      </c>
      <c r="M2" s="132"/>
      <c r="N2" s="141"/>
      <c r="O2" s="141"/>
      <c r="P2" s="141"/>
      <c r="Q2" s="141"/>
      <c r="R2" s="141"/>
      <c r="S2" s="141"/>
      <c r="T2" s="141"/>
      <c r="U2" s="141"/>
      <c r="V2" s="141"/>
      <c r="W2" s="141"/>
      <c r="X2" s="141"/>
      <c r="Y2" s="141"/>
      <c r="Z2" s="141"/>
    </row>
    <row r="3" ht="12.75" customHeight="1" spans="1:26">
      <c r="A3" s="132"/>
      <c r="B3" s="140" t="s">
        <v>8</v>
      </c>
      <c r="C3" s="132" t="s">
        <v>13</v>
      </c>
      <c r="D3" s="139" t="s">
        <v>14</v>
      </c>
      <c r="E3" s="140">
        <v>26</v>
      </c>
      <c r="F3" s="132">
        <v>8</v>
      </c>
      <c r="G3" s="132">
        <v>21</v>
      </c>
      <c r="H3" s="139" t="s">
        <v>11</v>
      </c>
      <c r="I3" s="132">
        <v>28</v>
      </c>
      <c r="J3" s="132">
        <v>14</v>
      </c>
      <c r="K3" s="132">
        <v>46</v>
      </c>
      <c r="L3" s="139" t="s">
        <v>12</v>
      </c>
      <c r="M3" s="132"/>
      <c r="N3" s="141"/>
      <c r="O3" s="141"/>
      <c r="P3" s="141"/>
      <c r="Q3" s="141"/>
      <c r="R3" s="141"/>
      <c r="S3" s="141"/>
      <c r="T3" s="141"/>
      <c r="U3" s="141"/>
      <c r="V3" s="141"/>
      <c r="W3" s="141"/>
      <c r="X3" s="141"/>
      <c r="Y3" s="141"/>
      <c r="Z3" s="141"/>
    </row>
    <row r="4" ht="12.75" customHeight="1" spans="1:26">
      <c r="A4" s="132"/>
      <c r="B4" s="140" t="s">
        <v>15</v>
      </c>
      <c r="C4" s="132" t="s">
        <v>16</v>
      </c>
      <c r="D4" s="139" t="s">
        <v>17</v>
      </c>
      <c r="E4" s="140">
        <v>52</v>
      </c>
      <c r="F4" s="132">
        <v>33</v>
      </c>
      <c r="G4" s="132">
        <v>40</v>
      </c>
      <c r="H4" s="139" t="s">
        <v>18</v>
      </c>
      <c r="I4" s="132">
        <v>13</v>
      </c>
      <c r="J4" s="132">
        <v>17</v>
      </c>
      <c r="K4" s="132">
        <v>22</v>
      </c>
      <c r="L4" s="139" t="s">
        <v>12</v>
      </c>
      <c r="M4" s="132"/>
      <c r="N4" s="141"/>
      <c r="O4" s="141"/>
      <c r="P4" s="141"/>
      <c r="Q4" s="141"/>
      <c r="R4" s="141"/>
      <c r="S4" s="141"/>
      <c r="T4" s="141"/>
      <c r="U4" s="141"/>
      <c r="V4" s="141"/>
      <c r="W4" s="141"/>
      <c r="X4" s="141"/>
      <c r="Y4" s="141"/>
      <c r="Z4" s="141"/>
    </row>
    <row r="5" ht="12.75" customHeight="1" spans="1:26">
      <c r="A5" s="132"/>
      <c r="B5" s="140" t="s">
        <v>15</v>
      </c>
      <c r="C5" s="132" t="s">
        <v>19</v>
      </c>
      <c r="D5" s="139" t="s">
        <v>20</v>
      </c>
      <c r="E5" s="140">
        <v>52</v>
      </c>
      <c r="F5" s="132">
        <v>31</v>
      </c>
      <c r="G5" s="132">
        <v>0</v>
      </c>
      <c r="H5" s="139" t="s">
        <v>18</v>
      </c>
      <c r="I5" s="132">
        <v>13</v>
      </c>
      <c r="J5" s="132">
        <v>24</v>
      </c>
      <c r="K5" s="132">
        <v>0</v>
      </c>
      <c r="L5" s="139" t="s">
        <v>12</v>
      </c>
      <c r="M5" s="132"/>
      <c r="N5" s="141"/>
      <c r="O5" s="141"/>
      <c r="P5" s="141"/>
      <c r="Q5" s="141"/>
      <c r="R5" s="141"/>
      <c r="S5" s="141"/>
      <c r="T5" s="141"/>
      <c r="U5" s="141"/>
      <c r="V5" s="141"/>
      <c r="W5" s="141"/>
      <c r="X5" s="141"/>
      <c r="Y5" s="141"/>
      <c r="Z5" s="141"/>
    </row>
    <row r="6" ht="12.75" customHeight="1" spans="1:26">
      <c r="A6" s="132"/>
      <c r="B6" s="140" t="s">
        <v>15</v>
      </c>
      <c r="C6" s="132" t="s">
        <v>21</v>
      </c>
      <c r="D6" s="139" t="s">
        <v>22</v>
      </c>
      <c r="E6" s="140">
        <v>50</v>
      </c>
      <c r="F6" s="132">
        <v>1</v>
      </c>
      <c r="G6" s="132">
        <v>35</v>
      </c>
      <c r="H6" s="139" t="s">
        <v>18</v>
      </c>
      <c r="I6" s="132">
        <v>8</v>
      </c>
      <c r="J6" s="132">
        <v>32</v>
      </c>
      <c r="K6" s="132">
        <v>35</v>
      </c>
      <c r="L6" s="139" t="s">
        <v>12</v>
      </c>
      <c r="M6" s="132"/>
      <c r="N6" s="141"/>
      <c r="O6" s="141"/>
      <c r="P6" s="141"/>
      <c r="Q6" s="141"/>
      <c r="R6" s="141"/>
      <c r="S6" s="141"/>
      <c r="T6" s="141"/>
      <c r="U6" s="141"/>
      <c r="V6" s="141"/>
      <c r="W6" s="141"/>
      <c r="X6" s="141"/>
      <c r="Y6" s="141"/>
      <c r="Z6" s="141"/>
    </row>
    <row r="7" ht="12.75" customHeight="1" spans="1:26">
      <c r="A7" s="132"/>
      <c r="B7" s="140" t="s">
        <v>15</v>
      </c>
      <c r="C7" s="132" t="s">
        <v>23</v>
      </c>
      <c r="D7" s="139" t="s">
        <v>24</v>
      </c>
      <c r="E7" s="140">
        <v>53</v>
      </c>
      <c r="F7" s="132">
        <v>37</v>
      </c>
      <c r="G7" s="132">
        <v>49</v>
      </c>
      <c r="H7" s="139" t="s">
        <v>18</v>
      </c>
      <c r="I7" s="140">
        <v>9</v>
      </c>
      <c r="J7" s="132">
        <v>59</v>
      </c>
      <c r="K7" s="132">
        <v>18</v>
      </c>
      <c r="L7" s="139" t="s">
        <v>12</v>
      </c>
      <c r="M7" s="132"/>
      <c r="N7" s="141"/>
      <c r="O7" s="141"/>
      <c r="P7" s="141"/>
      <c r="Q7" s="141"/>
      <c r="R7" s="141"/>
      <c r="S7" s="141"/>
      <c r="T7" s="141"/>
      <c r="U7" s="141"/>
      <c r="V7" s="141"/>
      <c r="W7" s="141"/>
      <c r="X7" s="141"/>
      <c r="Y7" s="141"/>
      <c r="Z7" s="141"/>
    </row>
    <row r="8" ht="12.75" customHeight="1" spans="1:26">
      <c r="A8" s="132"/>
      <c r="B8" s="140" t="s">
        <v>15</v>
      </c>
      <c r="C8" s="132" t="s">
        <v>25</v>
      </c>
      <c r="D8" s="139" t="s">
        <v>26</v>
      </c>
      <c r="E8" s="140">
        <v>51</v>
      </c>
      <c r="F8" s="132">
        <v>25</v>
      </c>
      <c r="G8" s="132">
        <v>57</v>
      </c>
      <c r="H8" s="139" t="s">
        <v>18</v>
      </c>
      <c r="I8" s="140">
        <v>12</v>
      </c>
      <c r="J8" s="132">
        <v>14</v>
      </c>
      <c r="K8" s="132">
        <v>30</v>
      </c>
      <c r="L8" s="139" t="s">
        <v>12</v>
      </c>
      <c r="M8" s="132"/>
      <c r="N8" s="141"/>
      <c r="O8" s="141"/>
      <c r="P8" s="141"/>
      <c r="Q8" s="141"/>
      <c r="R8" s="141"/>
      <c r="S8" s="141"/>
      <c r="T8" s="141"/>
      <c r="U8" s="141"/>
      <c r="V8" s="141"/>
      <c r="W8" s="141"/>
      <c r="X8" s="141"/>
      <c r="Y8" s="141"/>
      <c r="Z8" s="141"/>
    </row>
    <row r="9" ht="12.75" customHeight="1" spans="1:26">
      <c r="A9" s="132"/>
      <c r="B9" s="140" t="s">
        <v>15</v>
      </c>
      <c r="C9" s="132" t="s">
        <v>27</v>
      </c>
      <c r="D9" s="139" t="s">
        <v>28</v>
      </c>
      <c r="E9" s="140">
        <v>48</v>
      </c>
      <c r="F9" s="132">
        <v>21</v>
      </c>
      <c r="G9" s="132">
        <v>0</v>
      </c>
      <c r="H9" s="139" t="s">
        <v>18</v>
      </c>
      <c r="I9" s="140">
        <v>11</v>
      </c>
      <c r="J9" s="132">
        <v>47</v>
      </c>
      <c r="K9" s="132">
        <v>0</v>
      </c>
      <c r="L9" s="139" t="s">
        <v>12</v>
      </c>
      <c r="M9" s="132"/>
      <c r="N9" s="141"/>
      <c r="O9" s="141"/>
      <c r="P9" s="141"/>
      <c r="Q9" s="141"/>
      <c r="R9" s="141"/>
      <c r="S9" s="141"/>
      <c r="T9" s="141"/>
      <c r="U9" s="141"/>
      <c r="V9" s="141"/>
      <c r="W9" s="141"/>
      <c r="X9" s="141"/>
      <c r="Y9" s="141"/>
      <c r="Z9" s="141"/>
    </row>
    <row r="10" ht="12.75" customHeight="1" spans="1:26">
      <c r="A10" s="132"/>
      <c r="B10" s="140" t="s">
        <v>15</v>
      </c>
      <c r="C10" s="132" t="s">
        <v>29</v>
      </c>
      <c r="D10" s="139" t="s">
        <v>30</v>
      </c>
      <c r="E10" s="140">
        <v>48</v>
      </c>
      <c r="F10" s="132">
        <v>41</v>
      </c>
      <c r="G10" s="132">
        <v>24</v>
      </c>
      <c r="H10" s="139" t="s">
        <v>18</v>
      </c>
      <c r="I10" s="140">
        <v>9</v>
      </c>
      <c r="J10" s="132">
        <v>13</v>
      </c>
      <c r="K10" s="132">
        <v>19</v>
      </c>
      <c r="L10" s="139" t="s">
        <v>12</v>
      </c>
      <c r="M10" s="132"/>
      <c r="N10" s="141"/>
      <c r="O10" s="141"/>
      <c r="P10" s="141"/>
      <c r="Q10" s="141"/>
      <c r="R10" s="141"/>
      <c r="S10" s="141"/>
      <c r="T10" s="141"/>
      <c r="U10" s="141"/>
      <c r="V10" s="141"/>
      <c r="W10" s="141"/>
      <c r="X10" s="141"/>
      <c r="Y10" s="141"/>
      <c r="Z10" s="141"/>
    </row>
    <row r="11" ht="12.75" customHeight="1" spans="1:26">
      <c r="A11" s="132"/>
      <c r="B11" s="140" t="s">
        <v>15</v>
      </c>
      <c r="C11" s="132" t="s">
        <v>31</v>
      </c>
      <c r="D11" s="139" t="s">
        <v>32</v>
      </c>
      <c r="E11" s="140">
        <v>50</v>
      </c>
      <c r="F11" s="132">
        <v>51</v>
      </c>
      <c r="G11" s="132">
        <v>57</v>
      </c>
      <c r="H11" s="139" t="s">
        <v>18</v>
      </c>
      <c r="I11" s="140">
        <v>7</v>
      </c>
      <c r="J11" s="132">
        <v>8</v>
      </c>
      <c r="K11" s="132">
        <v>34</v>
      </c>
      <c r="L11" s="139" t="s">
        <v>12</v>
      </c>
      <c r="M11" s="132"/>
      <c r="N11" s="141"/>
      <c r="O11" s="141"/>
      <c r="P11" s="141"/>
      <c r="Q11" s="141"/>
      <c r="R11" s="141"/>
      <c r="S11" s="141"/>
      <c r="T11" s="141"/>
      <c r="U11" s="141"/>
      <c r="V11" s="141"/>
      <c r="W11" s="141"/>
      <c r="X11" s="141"/>
      <c r="Y11" s="141"/>
      <c r="Z11" s="141"/>
    </row>
    <row r="12" ht="12.75" customHeight="1" spans="1:26">
      <c r="A12" s="132"/>
      <c r="B12" s="140" t="s">
        <v>15</v>
      </c>
      <c r="C12" s="132" t="s">
        <v>33</v>
      </c>
      <c r="D12" s="132" t="s">
        <v>34</v>
      </c>
      <c r="E12" s="140">
        <v>51</v>
      </c>
      <c r="F12" s="132">
        <v>17</v>
      </c>
      <c r="G12" s="132">
        <v>22</v>
      </c>
      <c r="H12" s="132" t="s">
        <v>18</v>
      </c>
      <c r="I12" s="140">
        <v>6</v>
      </c>
      <c r="J12" s="132">
        <v>46</v>
      </c>
      <c r="K12" s="132">
        <v>0</v>
      </c>
      <c r="L12" s="139" t="s">
        <v>12</v>
      </c>
      <c r="M12" s="132"/>
      <c r="N12" s="141"/>
      <c r="O12" s="141"/>
      <c r="P12" s="141"/>
      <c r="Q12" s="141"/>
      <c r="R12" s="141"/>
      <c r="S12" s="141"/>
      <c r="T12" s="141"/>
      <c r="U12" s="141"/>
      <c r="V12" s="141"/>
      <c r="W12" s="141"/>
      <c r="X12" s="141"/>
      <c r="Y12" s="141"/>
      <c r="Z12" s="141"/>
    </row>
    <row r="13" ht="12.75" customHeight="1" spans="1:26">
      <c r="A13" s="132"/>
      <c r="B13" s="140" t="s">
        <v>15</v>
      </c>
      <c r="C13" s="132" t="s">
        <v>35</v>
      </c>
      <c r="D13" s="132" t="s">
        <v>36</v>
      </c>
      <c r="E13" s="140">
        <v>52</v>
      </c>
      <c r="F13" s="132">
        <v>8</v>
      </c>
      <c r="G13" s="132">
        <v>5</v>
      </c>
      <c r="H13" s="132" t="s">
        <v>18</v>
      </c>
      <c r="I13" s="140">
        <v>7</v>
      </c>
      <c r="J13" s="132">
        <v>41</v>
      </c>
      <c r="K13" s="132">
        <v>5</v>
      </c>
      <c r="L13" s="139" t="s">
        <v>12</v>
      </c>
      <c r="M13" s="132"/>
      <c r="N13" s="141"/>
      <c r="O13" s="141"/>
      <c r="P13" s="141"/>
      <c r="Q13" s="141"/>
      <c r="R13" s="141"/>
      <c r="S13" s="141"/>
      <c r="T13" s="141"/>
      <c r="U13" s="141"/>
      <c r="V13" s="141"/>
      <c r="W13" s="141"/>
      <c r="X13" s="141"/>
      <c r="Y13" s="141"/>
      <c r="Z13" s="141"/>
    </row>
    <row r="14" ht="12.75" customHeight="1" spans="1:26">
      <c r="A14" s="132"/>
      <c r="B14" s="140" t="s">
        <v>15</v>
      </c>
      <c r="C14" s="132" t="s">
        <v>37</v>
      </c>
      <c r="D14" s="132" t="s">
        <v>17</v>
      </c>
      <c r="E14" s="140">
        <v>52</v>
      </c>
      <c r="F14" s="132">
        <v>21</v>
      </c>
      <c r="G14" s="132">
        <v>42</v>
      </c>
      <c r="H14" s="132" t="s">
        <v>18</v>
      </c>
      <c r="I14" s="140">
        <v>13</v>
      </c>
      <c r="J14" s="132">
        <v>30</v>
      </c>
      <c r="K14" s="132">
        <v>0</v>
      </c>
      <c r="L14" s="139" t="s">
        <v>12</v>
      </c>
      <c r="M14" s="132"/>
      <c r="N14" s="141"/>
      <c r="O14" s="141"/>
      <c r="P14" s="141"/>
      <c r="Q14" s="141"/>
      <c r="R14" s="141"/>
      <c r="S14" s="141"/>
      <c r="T14" s="141"/>
      <c r="U14" s="141"/>
      <c r="V14" s="141"/>
      <c r="W14" s="141"/>
      <c r="X14" s="141"/>
      <c r="Y14" s="141"/>
      <c r="Z14" s="141"/>
    </row>
    <row r="15" ht="12.75" customHeight="1" spans="1:26">
      <c r="A15" s="132"/>
      <c r="B15" s="140" t="s">
        <v>15</v>
      </c>
      <c r="C15" s="132" t="s">
        <v>38</v>
      </c>
      <c r="D15" s="132" t="s">
        <v>39</v>
      </c>
      <c r="E15" s="140">
        <v>48</v>
      </c>
      <c r="F15" s="132">
        <v>46</v>
      </c>
      <c r="G15" s="132">
        <v>37</v>
      </c>
      <c r="H15" s="132" t="s">
        <v>18</v>
      </c>
      <c r="I15" s="140">
        <v>9</v>
      </c>
      <c r="J15" s="132">
        <v>10</v>
      </c>
      <c r="K15" s="132">
        <v>50</v>
      </c>
      <c r="L15" s="139" t="s">
        <v>12</v>
      </c>
      <c r="M15" s="132"/>
      <c r="N15" s="141"/>
      <c r="O15" s="141"/>
      <c r="P15" s="141"/>
      <c r="Q15" s="141"/>
      <c r="R15" s="141"/>
      <c r="S15" s="141"/>
      <c r="T15" s="141"/>
      <c r="U15" s="141"/>
      <c r="V15" s="141"/>
      <c r="W15" s="141"/>
      <c r="X15" s="141"/>
      <c r="Y15" s="141"/>
      <c r="Z15" s="141"/>
    </row>
    <row r="16" ht="12.75" customHeight="1" spans="1:26">
      <c r="A16" s="132"/>
      <c r="B16" s="140" t="s">
        <v>15</v>
      </c>
      <c r="C16" s="132" t="s">
        <v>40</v>
      </c>
      <c r="D16" s="132" t="s">
        <v>41</v>
      </c>
      <c r="E16" s="140">
        <v>50</v>
      </c>
      <c r="F16" s="132">
        <v>54</v>
      </c>
      <c r="G16" s="132">
        <v>0</v>
      </c>
      <c r="H16" s="132" t="s">
        <v>18</v>
      </c>
      <c r="I16" s="140">
        <v>7</v>
      </c>
      <c r="J16" s="132">
        <v>11</v>
      </c>
      <c r="K16" s="132">
        <v>0</v>
      </c>
      <c r="L16" s="139" t="s">
        <v>12</v>
      </c>
      <c r="M16" s="132"/>
      <c r="N16" s="141"/>
      <c r="O16" s="141"/>
      <c r="P16" s="141"/>
      <c r="Q16" s="141"/>
      <c r="R16" s="141"/>
      <c r="S16" s="141"/>
      <c r="T16" s="141"/>
      <c r="U16" s="141"/>
      <c r="V16" s="141"/>
      <c r="W16" s="141"/>
      <c r="X16" s="141"/>
      <c r="Y16" s="141"/>
      <c r="Z16" s="141"/>
    </row>
    <row r="17" ht="12.75" customHeight="1" spans="1:26">
      <c r="A17" s="132"/>
      <c r="B17" s="140" t="s">
        <v>15</v>
      </c>
      <c r="C17" s="132" t="s">
        <v>37</v>
      </c>
      <c r="D17" s="132" t="s">
        <v>17</v>
      </c>
      <c r="E17" s="140">
        <v>52</v>
      </c>
      <c r="F17" s="132">
        <v>21</v>
      </c>
      <c r="G17" s="132">
        <v>42</v>
      </c>
      <c r="H17" s="132" t="s">
        <v>18</v>
      </c>
      <c r="I17" s="140">
        <v>13</v>
      </c>
      <c r="J17" s="132">
        <v>30</v>
      </c>
      <c r="K17" s="132">
        <v>0</v>
      </c>
      <c r="L17" s="139" t="s">
        <v>12</v>
      </c>
      <c r="M17" s="132"/>
      <c r="N17" s="141"/>
      <c r="O17" s="141"/>
      <c r="P17" s="141"/>
      <c r="Q17" s="141"/>
      <c r="R17" s="141"/>
      <c r="S17" s="141"/>
      <c r="T17" s="141"/>
      <c r="U17" s="141"/>
      <c r="V17" s="141"/>
      <c r="W17" s="141"/>
      <c r="X17" s="141"/>
      <c r="Y17" s="141"/>
      <c r="Z17" s="141"/>
    </row>
    <row r="18" ht="12.75" customHeight="1" spans="1:26">
      <c r="A18" s="132"/>
      <c r="B18" s="140" t="s">
        <v>15</v>
      </c>
      <c r="C18" s="132" t="s">
        <v>40</v>
      </c>
      <c r="D18" s="132" t="s">
        <v>41</v>
      </c>
      <c r="E18" s="140">
        <v>50</v>
      </c>
      <c r="F18" s="132">
        <v>54</v>
      </c>
      <c r="G18" s="132">
        <v>0</v>
      </c>
      <c r="H18" s="132" t="s">
        <v>18</v>
      </c>
      <c r="I18" s="140">
        <v>7</v>
      </c>
      <c r="J18" s="132">
        <v>11</v>
      </c>
      <c r="K18" s="132">
        <v>0</v>
      </c>
      <c r="L18" s="139" t="s">
        <v>12</v>
      </c>
      <c r="M18" s="132"/>
      <c r="N18" s="141"/>
      <c r="O18" s="141"/>
      <c r="P18" s="141"/>
      <c r="Q18" s="141"/>
      <c r="R18" s="141"/>
      <c r="S18" s="141"/>
      <c r="T18" s="141"/>
      <c r="U18" s="141"/>
      <c r="V18" s="141"/>
      <c r="W18" s="141"/>
      <c r="X18" s="141"/>
      <c r="Y18" s="141"/>
      <c r="Z18" s="141"/>
    </row>
    <row r="19" ht="12.75" customHeight="1" spans="1:26">
      <c r="A19" s="132"/>
      <c r="B19" s="140" t="s">
        <v>15</v>
      </c>
      <c r="C19" s="132" t="s">
        <v>42</v>
      </c>
      <c r="D19" s="132" t="s">
        <v>43</v>
      </c>
      <c r="E19" s="140">
        <v>49</v>
      </c>
      <c r="F19" s="132">
        <v>28</v>
      </c>
      <c r="G19" s="132">
        <v>22</v>
      </c>
      <c r="H19" s="132" t="s">
        <v>18</v>
      </c>
      <c r="I19" s="140">
        <v>8</v>
      </c>
      <c r="J19" s="132">
        <v>30</v>
      </c>
      <c r="K19" s="132">
        <v>51</v>
      </c>
      <c r="L19" s="139" t="s">
        <v>12</v>
      </c>
      <c r="M19" s="132"/>
      <c r="N19" s="141"/>
      <c r="O19" s="141"/>
      <c r="P19" s="141"/>
      <c r="Q19" s="141"/>
      <c r="R19" s="141"/>
      <c r="S19" s="141"/>
      <c r="T19" s="141"/>
      <c r="U19" s="141"/>
      <c r="V19" s="141"/>
      <c r="W19" s="141"/>
      <c r="X19" s="141"/>
      <c r="Y19" s="141"/>
      <c r="Z19" s="141"/>
    </row>
    <row r="20" ht="12.75" customHeight="1" spans="1:26">
      <c r="A20" s="132"/>
      <c r="B20" s="140" t="s">
        <v>15</v>
      </c>
      <c r="C20" s="132" t="s">
        <v>44</v>
      </c>
      <c r="D20" s="139" t="s">
        <v>45</v>
      </c>
      <c r="E20" s="140">
        <v>53</v>
      </c>
      <c r="F20" s="132">
        <v>2</v>
      </c>
      <c r="G20" s="132">
        <v>51</v>
      </c>
      <c r="H20" s="139" t="s">
        <v>18</v>
      </c>
      <c r="I20" s="140">
        <v>8</v>
      </c>
      <c r="J20" s="132">
        <v>47</v>
      </c>
      <c r="K20" s="132">
        <v>12</v>
      </c>
      <c r="L20" s="139" t="s">
        <v>12</v>
      </c>
      <c r="M20" s="132"/>
      <c r="N20" s="141"/>
      <c r="O20" s="141"/>
      <c r="P20" s="141"/>
      <c r="Q20" s="141"/>
      <c r="R20" s="141"/>
      <c r="S20" s="141"/>
      <c r="T20" s="141"/>
      <c r="U20" s="141"/>
      <c r="V20" s="141"/>
      <c r="W20" s="141"/>
      <c r="X20" s="141"/>
      <c r="Y20" s="141"/>
      <c r="Z20" s="141"/>
    </row>
    <row r="21" ht="12.75" customHeight="1" spans="1:26">
      <c r="A21" s="132"/>
      <c r="B21" s="140" t="s">
        <v>46</v>
      </c>
      <c r="C21" s="132" t="s">
        <v>47</v>
      </c>
      <c r="D21" s="139" t="s">
        <v>48</v>
      </c>
      <c r="E21" s="140">
        <v>8</v>
      </c>
      <c r="F21" s="132">
        <v>51</v>
      </c>
      <c r="G21" s="132">
        <v>30</v>
      </c>
      <c r="H21" s="139" t="s">
        <v>11</v>
      </c>
      <c r="I21" s="140">
        <v>13</v>
      </c>
      <c r="J21" s="132">
        <v>13</v>
      </c>
      <c r="K21" s="132">
        <v>52</v>
      </c>
      <c r="L21" s="139" t="s">
        <v>12</v>
      </c>
      <c r="M21" s="132"/>
      <c r="N21" s="141"/>
      <c r="O21" s="141"/>
      <c r="P21" s="141"/>
      <c r="Q21" s="141"/>
      <c r="R21" s="141"/>
      <c r="S21" s="141"/>
      <c r="T21" s="141"/>
      <c r="U21" s="141"/>
      <c r="V21" s="141"/>
      <c r="W21" s="141"/>
      <c r="X21" s="141"/>
      <c r="Y21" s="141"/>
      <c r="Z21" s="141"/>
    </row>
    <row r="22" ht="12.75" customHeight="1" spans="1:26">
      <c r="A22" s="132"/>
      <c r="B22" s="140" t="s">
        <v>49</v>
      </c>
      <c r="C22" s="132" t="s">
        <v>50</v>
      </c>
      <c r="D22" s="139" t="s">
        <v>51</v>
      </c>
      <c r="E22" s="140">
        <v>18</v>
      </c>
      <c r="F22" s="132">
        <v>2</v>
      </c>
      <c r="G22" s="132">
        <v>27</v>
      </c>
      <c r="H22" s="139" t="s">
        <v>18</v>
      </c>
      <c r="I22" s="140">
        <v>63</v>
      </c>
      <c r="J22" s="132">
        <v>6</v>
      </c>
      <c r="K22" s="132">
        <v>32</v>
      </c>
      <c r="L22" s="139" t="s">
        <v>52</v>
      </c>
      <c r="M22" s="132"/>
      <c r="N22" s="141"/>
      <c r="O22" s="141"/>
      <c r="P22" s="141"/>
      <c r="Q22" s="141"/>
      <c r="R22" s="141"/>
      <c r="S22" s="141"/>
      <c r="T22" s="141"/>
      <c r="U22" s="141"/>
      <c r="V22" s="141"/>
      <c r="W22" s="141"/>
      <c r="X22" s="141"/>
      <c r="Y22" s="141"/>
      <c r="Z22" s="141"/>
    </row>
    <row r="23" ht="12.75" customHeight="1" spans="1:26">
      <c r="A23" s="132"/>
      <c r="B23" s="140" t="s">
        <v>53</v>
      </c>
      <c r="C23" s="132" t="s">
        <v>54</v>
      </c>
      <c r="D23" s="139" t="s">
        <v>55</v>
      </c>
      <c r="E23" s="140">
        <v>21</v>
      </c>
      <c r="F23" s="132">
        <v>40</v>
      </c>
      <c r="G23" s="132">
        <v>46</v>
      </c>
      <c r="H23" s="139" t="s">
        <v>18</v>
      </c>
      <c r="I23" s="140">
        <v>39</v>
      </c>
      <c r="J23" s="132">
        <v>9</v>
      </c>
      <c r="K23" s="132">
        <v>24</v>
      </c>
      <c r="L23" s="139" t="s">
        <v>12</v>
      </c>
      <c r="M23" s="132"/>
      <c r="N23" s="141"/>
      <c r="O23" s="141"/>
      <c r="P23" s="141"/>
      <c r="Q23" s="141"/>
      <c r="R23" s="141"/>
      <c r="S23" s="141"/>
      <c r="T23" s="141"/>
      <c r="U23" s="141"/>
      <c r="V23" s="141"/>
      <c r="W23" s="141"/>
      <c r="X23" s="141"/>
      <c r="Y23" s="141"/>
      <c r="Z23" s="141"/>
    </row>
    <row r="24" ht="12.75" customHeight="1" spans="1:26">
      <c r="A24" s="132"/>
      <c r="B24" s="140" t="s">
        <v>56</v>
      </c>
      <c r="C24" s="132" t="s">
        <v>57</v>
      </c>
      <c r="D24" s="139" t="s">
        <v>58</v>
      </c>
      <c r="E24" s="140">
        <v>41</v>
      </c>
      <c r="F24" s="132">
        <v>8</v>
      </c>
      <c r="G24" s="132">
        <v>0</v>
      </c>
      <c r="H24" s="139" t="s">
        <v>11</v>
      </c>
      <c r="I24" s="140">
        <v>71</v>
      </c>
      <c r="J24" s="132">
        <v>10</v>
      </c>
      <c r="K24" s="132">
        <v>0</v>
      </c>
      <c r="L24" s="139" t="s">
        <v>52</v>
      </c>
      <c r="M24" s="132"/>
      <c r="N24" s="141"/>
      <c r="O24" s="141"/>
      <c r="P24" s="141"/>
      <c r="Q24" s="141"/>
      <c r="R24" s="141"/>
      <c r="S24" s="141"/>
      <c r="T24" s="141"/>
      <c r="U24" s="141"/>
      <c r="V24" s="141"/>
      <c r="W24" s="141"/>
      <c r="X24" s="141"/>
      <c r="Y24" s="141"/>
      <c r="Z24" s="141"/>
    </row>
    <row r="25" ht="12.75" customHeight="1" spans="1:26">
      <c r="A25" s="132"/>
      <c r="B25" s="140" t="s">
        <v>56</v>
      </c>
      <c r="C25" s="132" t="s">
        <v>59</v>
      </c>
      <c r="D25" s="139" t="s">
        <v>60</v>
      </c>
      <c r="E25" s="140">
        <v>34</v>
      </c>
      <c r="F25" s="132">
        <v>33</v>
      </c>
      <c r="G25" s="132">
        <v>33</v>
      </c>
      <c r="H25" s="139" t="s">
        <v>11</v>
      </c>
      <c r="I25" s="140">
        <v>58</v>
      </c>
      <c r="J25" s="132">
        <v>24</v>
      </c>
      <c r="K25" s="132">
        <v>56</v>
      </c>
      <c r="L25" s="139" t="s">
        <v>52</v>
      </c>
      <c r="M25" s="132"/>
      <c r="N25" s="141"/>
      <c r="O25" s="141"/>
      <c r="P25" s="141"/>
      <c r="Q25" s="141"/>
      <c r="R25" s="141"/>
      <c r="S25" s="141"/>
      <c r="T25" s="141"/>
      <c r="U25" s="141"/>
      <c r="V25" s="141"/>
      <c r="W25" s="141"/>
      <c r="X25" s="141"/>
      <c r="Y25" s="141"/>
      <c r="Z25" s="141"/>
    </row>
    <row r="26" ht="12.75" customHeight="1" spans="1:26">
      <c r="A26" s="132"/>
      <c r="B26" s="140" t="s">
        <v>56</v>
      </c>
      <c r="C26" s="132" t="s">
        <v>61</v>
      </c>
      <c r="D26" s="139" t="s">
        <v>60</v>
      </c>
      <c r="E26" s="140">
        <v>34</v>
      </c>
      <c r="F26" s="132">
        <v>49</v>
      </c>
      <c r="G26" s="132">
        <v>20</v>
      </c>
      <c r="H26" s="139" t="s">
        <v>11</v>
      </c>
      <c r="I26" s="140">
        <v>58</v>
      </c>
      <c r="J26" s="132">
        <v>32</v>
      </c>
      <c r="K26" s="132">
        <v>9</v>
      </c>
      <c r="L26" s="139" t="s">
        <v>52</v>
      </c>
      <c r="M26" s="132"/>
      <c r="N26" s="141"/>
      <c r="O26" s="141"/>
      <c r="P26" s="141"/>
      <c r="Q26" s="141"/>
      <c r="R26" s="141"/>
      <c r="S26" s="141"/>
      <c r="T26" s="141"/>
      <c r="U26" s="141"/>
      <c r="V26" s="141"/>
      <c r="W26" s="141"/>
      <c r="X26" s="141"/>
      <c r="Y26" s="141"/>
      <c r="Z26" s="141"/>
    </row>
    <row r="27" ht="12.75" customHeight="1" spans="1:26">
      <c r="A27" s="132"/>
      <c r="B27" s="140" t="s">
        <v>56</v>
      </c>
      <c r="C27" s="132" t="s">
        <v>62</v>
      </c>
      <c r="D27" s="139" t="s">
        <v>63</v>
      </c>
      <c r="E27" s="140">
        <v>32</v>
      </c>
      <c r="F27" s="132">
        <v>50</v>
      </c>
      <c r="G27" s="132">
        <v>0</v>
      </c>
      <c r="H27" s="139" t="s">
        <v>11</v>
      </c>
      <c r="I27" s="140">
        <v>68</v>
      </c>
      <c r="J27" s="132">
        <v>47</v>
      </c>
      <c r="K27" s="132">
        <v>0</v>
      </c>
      <c r="L27" s="139" t="s">
        <v>52</v>
      </c>
      <c r="M27" s="132"/>
      <c r="N27" s="141"/>
      <c r="O27" s="141"/>
      <c r="P27" s="141"/>
      <c r="Q27" s="141"/>
      <c r="R27" s="141"/>
      <c r="S27" s="141"/>
      <c r="T27" s="141"/>
      <c r="U27" s="141"/>
      <c r="V27" s="141"/>
      <c r="W27" s="141"/>
      <c r="X27" s="141"/>
      <c r="Y27" s="141"/>
      <c r="Z27" s="141"/>
    </row>
    <row r="28" ht="12.75" customHeight="1" spans="1:26">
      <c r="A28" s="132"/>
      <c r="B28" s="140" t="s">
        <v>56</v>
      </c>
      <c r="C28" s="132" t="s">
        <v>64</v>
      </c>
      <c r="D28" s="139" t="s">
        <v>65</v>
      </c>
      <c r="E28" s="140">
        <v>32</v>
      </c>
      <c r="F28" s="132">
        <v>54</v>
      </c>
      <c r="G28" s="132">
        <v>13</v>
      </c>
      <c r="H28" s="139" t="s">
        <v>11</v>
      </c>
      <c r="I28" s="140">
        <v>60</v>
      </c>
      <c r="J28" s="132">
        <v>47</v>
      </c>
      <c r="K28" s="132">
        <v>6</v>
      </c>
      <c r="L28" s="139" t="s">
        <v>52</v>
      </c>
      <c r="M28" s="132"/>
      <c r="N28" s="141"/>
      <c r="O28" s="141"/>
      <c r="P28" s="141"/>
      <c r="Q28" s="141"/>
      <c r="R28" s="141"/>
      <c r="S28" s="141"/>
      <c r="T28" s="141"/>
      <c r="U28" s="141"/>
      <c r="V28" s="141"/>
      <c r="W28" s="141"/>
      <c r="X28" s="141"/>
      <c r="Y28" s="141"/>
      <c r="Z28" s="141"/>
    </row>
    <row r="29" ht="12.75" customHeight="1" spans="1:26">
      <c r="A29" s="132"/>
      <c r="B29" s="140" t="s">
        <v>56</v>
      </c>
      <c r="C29" s="132" t="s">
        <v>66</v>
      </c>
      <c r="D29" s="139" t="s">
        <v>67</v>
      </c>
      <c r="E29" s="140">
        <v>34</v>
      </c>
      <c r="F29" s="132">
        <v>35</v>
      </c>
      <c r="G29" s="132">
        <v>0</v>
      </c>
      <c r="H29" s="139" t="s">
        <v>11</v>
      </c>
      <c r="I29" s="140">
        <v>68</v>
      </c>
      <c r="J29" s="132">
        <v>24</v>
      </c>
      <c r="K29" s="132">
        <v>0</v>
      </c>
      <c r="L29" s="139" t="s">
        <v>52</v>
      </c>
      <c r="M29" s="132"/>
      <c r="N29" s="141"/>
      <c r="O29" s="141"/>
      <c r="P29" s="141"/>
      <c r="Q29" s="141"/>
      <c r="R29" s="141"/>
      <c r="S29" s="141"/>
      <c r="T29" s="141"/>
      <c r="U29" s="141"/>
      <c r="V29" s="141"/>
      <c r="W29" s="141"/>
      <c r="X29" s="141"/>
      <c r="Y29" s="141"/>
      <c r="Z29" s="141"/>
    </row>
    <row r="30" ht="12.75" customHeight="1" spans="1:26">
      <c r="A30" s="132"/>
      <c r="B30" s="140" t="s">
        <v>56</v>
      </c>
      <c r="C30" s="132" t="s">
        <v>68</v>
      </c>
      <c r="D30" s="139" t="s">
        <v>69</v>
      </c>
      <c r="E30" s="140">
        <v>45</v>
      </c>
      <c r="F30" s="132">
        <v>47</v>
      </c>
      <c r="G30" s="132">
        <v>7</v>
      </c>
      <c r="H30" s="139" t="s">
        <v>11</v>
      </c>
      <c r="I30" s="140">
        <v>67</v>
      </c>
      <c r="J30" s="132">
        <v>27</v>
      </c>
      <c r="K30" s="132">
        <v>56</v>
      </c>
      <c r="L30" s="139" t="s">
        <v>52</v>
      </c>
      <c r="M30" s="132"/>
      <c r="N30" s="141"/>
      <c r="O30" s="141"/>
      <c r="P30" s="141"/>
      <c r="Q30" s="141"/>
      <c r="R30" s="141"/>
      <c r="S30" s="141"/>
      <c r="T30" s="141"/>
      <c r="U30" s="141"/>
      <c r="V30" s="141"/>
      <c r="W30" s="141"/>
      <c r="X30" s="141"/>
      <c r="Y30" s="141"/>
      <c r="Z30" s="141"/>
    </row>
    <row r="31" ht="12.75" customHeight="1" spans="1:26">
      <c r="A31" s="132"/>
      <c r="B31" s="140" t="s">
        <v>56</v>
      </c>
      <c r="C31" s="132" t="s">
        <v>70</v>
      </c>
      <c r="D31" s="139" t="s">
        <v>71</v>
      </c>
      <c r="E31" s="140">
        <v>31</v>
      </c>
      <c r="F31" s="132">
        <v>34</v>
      </c>
      <c r="G31" s="132">
        <v>17</v>
      </c>
      <c r="H31" s="139" t="s">
        <v>11</v>
      </c>
      <c r="I31" s="140">
        <v>68</v>
      </c>
      <c r="J31" s="132">
        <v>25</v>
      </c>
      <c r="K31" s="132">
        <v>5</v>
      </c>
      <c r="L31" s="139" t="s">
        <v>52</v>
      </c>
      <c r="M31" s="132"/>
      <c r="N31" s="141"/>
      <c r="O31" s="141"/>
      <c r="P31" s="141"/>
      <c r="Q31" s="141"/>
      <c r="R31" s="141"/>
      <c r="S31" s="141"/>
      <c r="T31" s="141"/>
      <c r="U31" s="141"/>
      <c r="V31" s="141"/>
      <c r="W31" s="141"/>
      <c r="X31" s="141"/>
      <c r="Y31" s="141"/>
      <c r="Z31" s="141"/>
    </row>
    <row r="32" ht="12.75" customHeight="1" spans="1:26">
      <c r="A32" s="132"/>
      <c r="B32" s="140" t="s">
        <v>56</v>
      </c>
      <c r="C32" s="132" t="s">
        <v>72</v>
      </c>
      <c r="D32" s="139" t="s">
        <v>73</v>
      </c>
      <c r="E32" s="140">
        <v>31</v>
      </c>
      <c r="F32" s="132">
        <v>18</v>
      </c>
      <c r="G32" s="132">
        <v>36</v>
      </c>
      <c r="H32" s="139" t="s">
        <v>11</v>
      </c>
      <c r="I32" s="140">
        <v>64</v>
      </c>
      <c r="J32" s="132">
        <v>12</v>
      </c>
      <c r="K32" s="132">
        <v>30</v>
      </c>
      <c r="L32" s="139" t="s">
        <v>52</v>
      </c>
      <c r="M32" s="132"/>
      <c r="N32" s="141"/>
      <c r="O32" s="141"/>
      <c r="P32" s="141"/>
      <c r="Q32" s="141"/>
      <c r="R32" s="141"/>
      <c r="S32" s="141"/>
      <c r="T32" s="141"/>
      <c r="U32" s="141"/>
      <c r="V32" s="141"/>
      <c r="W32" s="141"/>
      <c r="X32" s="141"/>
      <c r="Y32" s="141"/>
      <c r="Z32" s="141"/>
    </row>
    <row r="33" ht="12.75" customHeight="1" spans="1:26">
      <c r="A33" s="132"/>
      <c r="B33" s="140" t="s">
        <v>56</v>
      </c>
      <c r="C33" s="132" t="s">
        <v>74</v>
      </c>
      <c r="D33" s="139" t="s">
        <v>75</v>
      </c>
      <c r="E33" s="140">
        <v>54</v>
      </c>
      <c r="F33" s="132">
        <v>50</v>
      </c>
      <c r="G33" s="132">
        <v>36</v>
      </c>
      <c r="H33" s="139" t="s">
        <v>11</v>
      </c>
      <c r="I33" s="140">
        <v>68</v>
      </c>
      <c r="J33" s="132">
        <v>17</v>
      </c>
      <c r="K33" s="132">
        <v>44</v>
      </c>
      <c r="L33" s="139" t="s">
        <v>52</v>
      </c>
      <c r="M33" s="132"/>
      <c r="N33" s="141"/>
      <c r="O33" s="141"/>
      <c r="P33" s="141"/>
      <c r="Q33" s="141"/>
      <c r="R33" s="141"/>
      <c r="S33" s="141"/>
      <c r="T33" s="141"/>
      <c r="U33" s="141"/>
      <c r="V33" s="141"/>
      <c r="W33" s="141"/>
      <c r="X33" s="141"/>
      <c r="Y33" s="141"/>
      <c r="Z33" s="141"/>
    </row>
    <row r="34" ht="12.75" customHeight="1" spans="1:26">
      <c r="A34" s="132"/>
      <c r="B34" s="140" t="s">
        <v>76</v>
      </c>
      <c r="C34" s="132" t="s">
        <v>77</v>
      </c>
      <c r="D34" s="139" t="s">
        <v>78</v>
      </c>
      <c r="E34" s="140">
        <v>37</v>
      </c>
      <c r="F34" s="132">
        <v>40</v>
      </c>
      <c r="G34" s="132">
        <v>24</v>
      </c>
      <c r="H34" s="139" t="s">
        <v>11</v>
      </c>
      <c r="I34" s="140">
        <v>144</v>
      </c>
      <c r="J34" s="132">
        <v>50</v>
      </c>
      <c r="K34" s="132">
        <v>36</v>
      </c>
      <c r="L34" s="139" t="s">
        <v>12</v>
      </c>
      <c r="M34" s="132"/>
      <c r="N34" s="141"/>
      <c r="O34" s="141"/>
      <c r="P34" s="141"/>
      <c r="Q34" s="141"/>
      <c r="R34" s="141"/>
      <c r="S34" s="141"/>
      <c r="T34" s="141"/>
      <c r="U34" s="141"/>
      <c r="V34" s="141"/>
      <c r="W34" s="141"/>
      <c r="X34" s="141"/>
      <c r="Y34" s="141"/>
      <c r="Z34" s="141"/>
    </row>
    <row r="35" ht="12.75" customHeight="1" spans="1:26">
      <c r="A35" s="132"/>
      <c r="B35" s="140" t="s">
        <v>76</v>
      </c>
      <c r="C35" s="132" t="s">
        <v>79</v>
      </c>
      <c r="D35" s="139" t="s">
        <v>80</v>
      </c>
      <c r="E35" s="140">
        <v>31</v>
      </c>
      <c r="F35" s="132">
        <v>56</v>
      </c>
      <c r="G35" s="132">
        <v>25</v>
      </c>
      <c r="H35" s="139" t="s">
        <v>11</v>
      </c>
      <c r="I35" s="140">
        <v>115</v>
      </c>
      <c r="J35" s="132">
        <v>58</v>
      </c>
      <c r="K35" s="132">
        <v>1</v>
      </c>
      <c r="L35" s="139" t="s">
        <v>12</v>
      </c>
      <c r="M35" s="132"/>
      <c r="N35" s="141"/>
      <c r="O35" s="141"/>
      <c r="P35" s="141"/>
      <c r="Q35" s="141"/>
      <c r="R35" s="141"/>
      <c r="S35" s="141"/>
      <c r="T35" s="141"/>
      <c r="U35" s="141"/>
      <c r="V35" s="141"/>
      <c r="W35" s="141"/>
      <c r="X35" s="141"/>
      <c r="Y35" s="141"/>
      <c r="Z35" s="141"/>
    </row>
    <row r="36" ht="12.75" customHeight="1" spans="1:26">
      <c r="A36" s="132"/>
      <c r="B36" s="140" t="s">
        <v>76</v>
      </c>
      <c r="C36" s="132" t="s">
        <v>81</v>
      </c>
      <c r="D36" s="139" t="s">
        <v>82</v>
      </c>
      <c r="E36" s="140">
        <v>33</v>
      </c>
      <c r="F36" s="132">
        <v>56</v>
      </c>
      <c r="G36" s="132">
        <v>46</v>
      </c>
      <c r="H36" s="139" t="s">
        <v>11</v>
      </c>
      <c r="I36" s="140">
        <v>151</v>
      </c>
      <c r="J36" s="132">
        <v>10</v>
      </c>
      <c r="K36" s="132">
        <v>38</v>
      </c>
      <c r="L36" s="139" t="s">
        <v>12</v>
      </c>
      <c r="M36" s="132"/>
      <c r="N36" s="141"/>
      <c r="O36" s="141"/>
      <c r="P36" s="141"/>
      <c r="Q36" s="141"/>
      <c r="R36" s="141"/>
      <c r="S36" s="141"/>
      <c r="T36" s="141"/>
      <c r="U36" s="141"/>
      <c r="V36" s="141"/>
      <c r="W36" s="141"/>
      <c r="X36" s="141"/>
      <c r="Y36" s="141"/>
      <c r="Z36" s="141"/>
    </row>
    <row r="37" ht="12.75" customHeight="1" spans="1:26">
      <c r="A37" s="132"/>
      <c r="B37" s="140" t="s">
        <v>76</v>
      </c>
      <c r="C37" s="132" t="s">
        <v>83</v>
      </c>
      <c r="D37" s="139" t="s">
        <v>84</v>
      </c>
      <c r="E37" s="140">
        <v>16</v>
      </c>
      <c r="F37" s="132">
        <v>53</v>
      </c>
      <c r="G37" s="132">
        <v>9</v>
      </c>
      <c r="H37" s="139" t="s">
        <v>11</v>
      </c>
      <c r="I37" s="140">
        <v>145</v>
      </c>
      <c r="J37" s="132">
        <v>45</v>
      </c>
      <c r="K37" s="132">
        <v>19</v>
      </c>
      <c r="L37" s="139" t="s">
        <v>12</v>
      </c>
      <c r="M37" s="132"/>
      <c r="N37" s="141"/>
      <c r="O37" s="141"/>
      <c r="P37" s="141"/>
      <c r="Q37" s="141"/>
      <c r="R37" s="141"/>
      <c r="S37" s="141"/>
      <c r="T37" s="141"/>
      <c r="U37" s="141"/>
      <c r="V37" s="141"/>
      <c r="W37" s="141"/>
      <c r="X37" s="141"/>
      <c r="Y37" s="141"/>
      <c r="Z37" s="141"/>
    </row>
    <row r="38" ht="12.75" customHeight="1" spans="1:26">
      <c r="A38" s="132"/>
      <c r="B38" s="140" t="s">
        <v>76</v>
      </c>
      <c r="C38" s="132" t="s">
        <v>85</v>
      </c>
      <c r="D38" s="139" t="s">
        <v>86</v>
      </c>
      <c r="E38" s="140">
        <v>27</v>
      </c>
      <c r="F38" s="132">
        <v>23</v>
      </c>
      <c r="G38" s="132">
        <v>0</v>
      </c>
      <c r="H38" s="139" t="s">
        <v>11</v>
      </c>
      <c r="I38" s="140">
        <v>153</v>
      </c>
      <c r="J38" s="132">
        <v>7</v>
      </c>
      <c r="K38" s="132">
        <v>6</v>
      </c>
      <c r="L38" s="139" t="s">
        <v>12</v>
      </c>
      <c r="M38" s="132"/>
      <c r="N38" s="141"/>
      <c r="O38" s="141"/>
      <c r="P38" s="141"/>
      <c r="Q38" s="141"/>
      <c r="R38" s="141"/>
      <c r="S38" s="141"/>
      <c r="T38" s="141"/>
      <c r="U38" s="141"/>
      <c r="V38" s="141"/>
      <c r="W38" s="141"/>
      <c r="X38" s="141"/>
      <c r="Y38" s="141"/>
      <c r="Z38" s="141"/>
    </row>
    <row r="39" ht="12.75" customHeight="1" spans="1:26">
      <c r="A39" s="132"/>
      <c r="B39" s="140" t="s">
        <v>87</v>
      </c>
      <c r="C39" s="132" t="s">
        <v>88</v>
      </c>
      <c r="D39" s="139" t="s">
        <v>89</v>
      </c>
      <c r="E39" s="140">
        <v>47</v>
      </c>
      <c r="F39" s="132">
        <v>4</v>
      </c>
      <c r="G39" s="132">
        <v>0</v>
      </c>
      <c r="H39" s="139" t="s">
        <v>18</v>
      </c>
      <c r="I39" s="140">
        <v>15</v>
      </c>
      <c r="J39" s="132">
        <v>27</v>
      </c>
      <c r="K39" s="132">
        <v>0</v>
      </c>
      <c r="L39" s="139" t="s">
        <v>12</v>
      </c>
      <c r="M39" s="132"/>
      <c r="N39" s="141"/>
      <c r="O39" s="141"/>
      <c r="P39" s="141"/>
      <c r="Q39" s="141"/>
      <c r="R39" s="141"/>
      <c r="S39" s="141"/>
      <c r="T39" s="141"/>
      <c r="U39" s="141"/>
      <c r="V39" s="141"/>
      <c r="W39" s="141"/>
      <c r="X39" s="141"/>
      <c r="Y39" s="141"/>
      <c r="Z39" s="141"/>
    </row>
    <row r="40" ht="12.75" customHeight="1" spans="1:26">
      <c r="A40" s="132"/>
      <c r="B40" s="140" t="s">
        <v>87</v>
      </c>
      <c r="C40" s="132" t="s">
        <v>90</v>
      </c>
      <c r="D40" s="139" t="s">
        <v>91</v>
      </c>
      <c r="E40" s="140">
        <v>47</v>
      </c>
      <c r="F40" s="132">
        <v>47</v>
      </c>
      <c r="G40" s="132">
        <v>36</v>
      </c>
      <c r="H40" s="139" t="s">
        <v>18</v>
      </c>
      <c r="I40" s="140">
        <v>13</v>
      </c>
      <c r="J40" s="132">
        <v>0</v>
      </c>
      <c r="K40" s="132">
        <v>16</v>
      </c>
      <c r="L40" s="139" t="s">
        <v>12</v>
      </c>
      <c r="M40" s="132"/>
      <c r="N40" s="141"/>
      <c r="O40" s="141"/>
      <c r="P40" s="141"/>
      <c r="Q40" s="141"/>
      <c r="R40" s="141"/>
      <c r="S40" s="141"/>
      <c r="T40" s="141"/>
      <c r="U40" s="141"/>
      <c r="V40" s="141"/>
      <c r="W40" s="141"/>
      <c r="X40" s="141"/>
      <c r="Y40" s="141"/>
      <c r="Z40" s="141"/>
    </row>
    <row r="41" ht="12.75" customHeight="1" spans="1:26">
      <c r="A41" s="132"/>
      <c r="B41" s="140" t="s">
        <v>87</v>
      </c>
      <c r="C41" s="132" t="s">
        <v>92</v>
      </c>
      <c r="D41" s="139" t="s">
        <v>93</v>
      </c>
      <c r="E41" s="140">
        <v>48</v>
      </c>
      <c r="F41" s="132">
        <v>6</v>
      </c>
      <c r="G41" s="132">
        <v>37</v>
      </c>
      <c r="H41" s="139" t="s">
        <v>18</v>
      </c>
      <c r="I41" s="140">
        <v>16</v>
      </c>
      <c r="J41" s="132">
        <v>34</v>
      </c>
      <c r="K41" s="132">
        <v>11</v>
      </c>
      <c r="L41" s="139" t="s">
        <v>12</v>
      </c>
      <c r="M41" s="132"/>
      <c r="N41" s="141"/>
      <c r="O41" s="141"/>
      <c r="P41" s="141"/>
      <c r="Q41" s="141"/>
      <c r="R41" s="141"/>
      <c r="S41" s="141"/>
      <c r="T41" s="141"/>
      <c r="U41" s="141"/>
      <c r="V41" s="141"/>
      <c r="W41" s="141"/>
      <c r="X41" s="141"/>
      <c r="Y41" s="141"/>
      <c r="Z41" s="141"/>
    </row>
    <row r="42" ht="12.75" customHeight="1" spans="1:26">
      <c r="A42" s="132"/>
      <c r="B42" s="140" t="s">
        <v>94</v>
      </c>
      <c r="C42" s="132" t="s">
        <v>95</v>
      </c>
      <c r="D42" s="139" t="s">
        <v>96</v>
      </c>
      <c r="E42" s="140">
        <v>25</v>
      </c>
      <c r="F42" s="132">
        <v>2</v>
      </c>
      <c r="G42" s="132">
        <v>20</v>
      </c>
      <c r="H42" s="139" t="s">
        <v>18</v>
      </c>
      <c r="I42" s="140">
        <v>77</v>
      </c>
      <c r="J42" s="132">
        <v>27</v>
      </c>
      <c r="K42" s="132">
        <v>58</v>
      </c>
      <c r="L42" s="139" t="s">
        <v>52</v>
      </c>
      <c r="M42" s="132"/>
      <c r="N42" s="141"/>
      <c r="O42" s="141"/>
      <c r="P42" s="141"/>
      <c r="Q42" s="141"/>
      <c r="R42" s="141"/>
      <c r="S42" s="141"/>
      <c r="T42" s="141"/>
      <c r="U42" s="141"/>
      <c r="V42" s="141"/>
      <c r="W42" s="141"/>
      <c r="X42" s="141"/>
      <c r="Y42" s="141"/>
      <c r="Z42" s="141"/>
    </row>
    <row r="43" ht="12.75" customHeight="1" spans="1:26">
      <c r="A43" s="132"/>
      <c r="B43" s="140" t="s">
        <v>97</v>
      </c>
      <c r="C43" s="132" t="s">
        <v>98</v>
      </c>
      <c r="D43" s="139" t="s">
        <v>99</v>
      </c>
      <c r="E43" s="140">
        <v>50</v>
      </c>
      <c r="F43" s="132">
        <v>54</v>
      </c>
      <c r="G43" s="132">
        <v>5</v>
      </c>
      <c r="H43" s="139" t="s">
        <v>18</v>
      </c>
      <c r="I43" s="140">
        <v>4</v>
      </c>
      <c r="J43" s="132">
        <v>29</v>
      </c>
      <c r="K43" s="132">
        <v>4</v>
      </c>
      <c r="L43" s="139" t="s">
        <v>12</v>
      </c>
      <c r="M43" s="132"/>
      <c r="N43" s="141"/>
      <c r="O43" s="141"/>
      <c r="P43" s="141"/>
      <c r="Q43" s="141"/>
      <c r="R43" s="141"/>
      <c r="S43" s="141"/>
      <c r="T43" s="141"/>
      <c r="U43" s="141"/>
      <c r="V43" s="141"/>
      <c r="W43" s="141"/>
      <c r="X43" s="141"/>
      <c r="Y43" s="141"/>
      <c r="Z43" s="141"/>
    </row>
    <row r="44" ht="12.75" customHeight="1" spans="1:26">
      <c r="A44" s="132"/>
      <c r="B44" s="140" t="s">
        <v>100</v>
      </c>
      <c r="C44" s="132" t="s">
        <v>101</v>
      </c>
      <c r="D44" s="139" t="s">
        <v>102</v>
      </c>
      <c r="E44" s="140">
        <v>44</v>
      </c>
      <c r="F44" s="132">
        <v>49</v>
      </c>
      <c r="G44" s="132">
        <v>6</v>
      </c>
      <c r="H44" s="139" t="s">
        <v>18</v>
      </c>
      <c r="I44" s="140">
        <v>20</v>
      </c>
      <c r="J44" s="132">
        <v>18</v>
      </c>
      <c r="K44" s="132">
        <v>33</v>
      </c>
      <c r="L44" s="139" t="s">
        <v>12</v>
      </c>
      <c r="M44" s="132"/>
      <c r="N44" s="141"/>
      <c r="O44" s="141"/>
      <c r="P44" s="141"/>
      <c r="Q44" s="141"/>
      <c r="R44" s="141"/>
      <c r="S44" s="141"/>
      <c r="T44" s="141"/>
      <c r="U44" s="141"/>
      <c r="V44" s="141"/>
      <c r="W44" s="141"/>
      <c r="X44" s="141"/>
      <c r="Y44" s="141"/>
      <c r="Z44" s="141"/>
    </row>
    <row r="45" ht="12.75" customHeight="1" spans="1:26">
      <c r="A45" s="132"/>
      <c r="B45" s="140" t="s">
        <v>103</v>
      </c>
      <c r="C45" s="132" t="s">
        <v>104</v>
      </c>
      <c r="D45" s="139" t="s">
        <v>105</v>
      </c>
      <c r="E45" s="140">
        <v>16</v>
      </c>
      <c r="F45" s="132">
        <v>30</v>
      </c>
      <c r="G45" s="132">
        <v>48</v>
      </c>
      <c r="H45" s="139" t="s">
        <v>11</v>
      </c>
      <c r="I45" s="140">
        <v>68</v>
      </c>
      <c r="J45" s="132">
        <v>11</v>
      </c>
      <c r="K45" s="132">
        <v>32</v>
      </c>
      <c r="L45" s="139" t="s">
        <v>52</v>
      </c>
      <c r="M45" s="132"/>
      <c r="N45" s="141"/>
      <c r="O45" s="141"/>
      <c r="P45" s="141"/>
      <c r="Q45" s="141"/>
      <c r="R45" s="141"/>
      <c r="S45" s="141"/>
      <c r="T45" s="141"/>
      <c r="U45" s="141"/>
      <c r="V45" s="141"/>
      <c r="W45" s="141"/>
      <c r="X45" s="141"/>
      <c r="Y45" s="141"/>
      <c r="Z45" s="141"/>
    </row>
    <row r="46" ht="12.75" customHeight="1" spans="1:26">
      <c r="A46" s="132"/>
      <c r="B46" s="140" t="s">
        <v>103</v>
      </c>
      <c r="C46" s="132" t="s">
        <v>106</v>
      </c>
      <c r="D46" s="139" t="s">
        <v>107</v>
      </c>
      <c r="E46" s="140">
        <v>17</v>
      </c>
      <c r="F46" s="132">
        <v>38</v>
      </c>
      <c r="G46" s="132">
        <v>41</v>
      </c>
      <c r="H46" s="139" t="s">
        <v>11</v>
      </c>
      <c r="I46" s="140">
        <v>63</v>
      </c>
      <c r="J46" s="132">
        <v>8</v>
      </c>
      <c r="K46" s="132">
        <v>7</v>
      </c>
      <c r="L46" s="139" t="s">
        <v>52</v>
      </c>
      <c r="M46" s="132"/>
      <c r="N46" s="141"/>
      <c r="O46" s="141"/>
      <c r="P46" s="141"/>
      <c r="Q46" s="141"/>
      <c r="R46" s="141"/>
      <c r="S46" s="141"/>
      <c r="T46" s="141"/>
      <c r="U46" s="141"/>
      <c r="V46" s="141"/>
      <c r="W46" s="141"/>
      <c r="X46" s="141"/>
      <c r="Y46" s="141"/>
      <c r="Z46" s="141"/>
    </row>
    <row r="47" ht="12.75" customHeight="1" spans="1:26">
      <c r="A47" s="132"/>
      <c r="B47" s="140" t="s">
        <v>103</v>
      </c>
      <c r="C47" s="132" t="s">
        <v>108</v>
      </c>
      <c r="D47" s="139" t="s">
        <v>109</v>
      </c>
      <c r="E47" s="140">
        <v>17</v>
      </c>
      <c r="F47" s="132">
        <v>25</v>
      </c>
      <c r="G47" s="132">
        <v>16</v>
      </c>
      <c r="H47" s="139" t="s">
        <v>11</v>
      </c>
      <c r="I47" s="140">
        <v>66</v>
      </c>
      <c r="J47" s="132">
        <v>10</v>
      </c>
      <c r="K47" s="132">
        <v>38</v>
      </c>
      <c r="L47" s="139" t="s">
        <v>52</v>
      </c>
      <c r="M47" s="132"/>
      <c r="N47" s="141"/>
      <c r="O47" s="141"/>
      <c r="P47" s="141"/>
      <c r="Q47" s="141"/>
      <c r="R47" s="141"/>
      <c r="S47" s="141"/>
      <c r="T47" s="141"/>
      <c r="U47" s="141"/>
      <c r="V47" s="141"/>
      <c r="W47" s="141"/>
      <c r="X47" s="141"/>
      <c r="Y47" s="141"/>
      <c r="Z47" s="141"/>
    </row>
    <row r="48" ht="12.75" customHeight="1" spans="1:26">
      <c r="A48" s="132"/>
      <c r="B48" s="140" t="s">
        <v>110</v>
      </c>
      <c r="C48" s="132" t="s">
        <v>111</v>
      </c>
      <c r="D48" s="139" t="s">
        <v>112</v>
      </c>
      <c r="E48" s="140">
        <v>9</v>
      </c>
      <c r="F48" s="132">
        <v>51</v>
      </c>
      <c r="G48" s="132">
        <v>58</v>
      </c>
      <c r="H48" s="139" t="s">
        <v>11</v>
      </c>
      <c r="I48" s="140">
        <v>56</v>
      </c>
      <c r="J48" s="132">
        <v>6</v>
      </c>
      <c r="K48" s="132">
        <v>22</v>
      </c>
      <c r="L48" s="139" t="s">
        <v>52</v>
      </c>
      <c r="M48" s="132"/>
      <c r="N48" s="141"/>
      <c r="O48" s="141"/>
      <c r="P48" s="141"/>
      <c r="Q48" s="141"/>
      <c r="R48" s="141"/>
      <c r="S48" s="141"/>
      <c r="T48" s="141"/>
      <c r="U48" s="141"/>
      <c r="V48" s="141"/>
      <c r="W48" s="141"/>
      <c r="X48" s="141"/>
      <c r="Y48" s="141"/>
      <c r="Z48" s="141"/>
    </row>
    <row r="49" ht="12.75" customHeight="1" spans="1:26">
      <c r="A49" s="132"/>
      <c r="B49" s="140" t="s">
        <v>110</v>
      </c>
      <c r="C49" s="132" t="s">
        <v>113</v>
      </c>
      <c r="D49" s="139" t="s">
        <v>114</v>
      </c>
      <c r="E49" s="140">
        <v>3</v>
      </c>
      <c r="F49" s="132">
        <v>15</v>
      </c>
      <c r="G49" s="132">
        <v>14</v>
      </c>
      <c r="H49" s="139" t="s">
        <v>11</v>
      </c>
      <c r="I49" s="140">
        <v>52</v>
      </c>
      <c r="J49" s="132">
        <v>15</v>
      </c>
      <c r="K49" s="132">
        <v>14</v>
      </c>
      <c r="L49" s="139" t="s">
        <v>52</v>
      </c>
      <c r="M49" s="132"/>
      <c r="N49" s="141"/>
      <c r="O49" s="141"/>
      <c r="P49" s="141"/>
      <c r="Q49" s="141"/>
      <c r="R49" s="141"/>
      <c r="S49" s="141"/>
      <c r="T49" s="141"/>
      <c r="U49" s="141"/>
      <c r="V49" s="141"/>
      <c r="W49" s="141"/>
      <c r="X49" s="141"/>
      <c r="Y49" s="141"/>
      <c r="Z49" s="141"/>
    </row>
    <row r="50" ht="12.75" customHeight="1" spans="1:26">
      <c r="A50" s="132"/>
      <c r="B50" s="140" t="s">
        <v>110</v>
      </c>
      <c r="C50" s="132" t="s">
        <v>115</v>
      </c>
      <c r="D50" s="139" t="s">
        <v>116</v>
      </c>
      <c r="E50" s="132">
        <v>10</v>
      </c>
      <c r="F50" s="132">
        <v>59</v>
      </c>
      <c r="G50" s="132">
        <v>2</v>
      </c>
      <c r="H50" s="132" t="s">
        <v>11</v>
      </c>
      <c r="I50" s="140">
        <v>37</v>
      </c>
      <c r="J50" s="132">
        <v>4</v>
      </c>
      <c r="K50" s="132">
        <v>13</v>
      </c>
      <c r="L50" s="139" t="s">
        <v>52</v>
      </c>
      <c r="M50" s="132"/>
      <c r="N50" s="141"/>
      <c r="O50" s="141"/>
      <c r="P50" s="141"/>
      <c r="Q50" s="141"/>
      <c r="R50" s="141"/>
      <c r="S50" s="141"/>
      <c r="T50" s="141"/>
      <c r="U50" s="141"/>
      <c r="V50" s="141"/>
      <c r="W50" s="141"/>
      <c r="X50" s="141"/>
      <c r="Y50" s="141"/>
      <c r="Z50" s="141"/>
    </row>
    <row r="51" ht="12.75" customHeight="1" spans="1:26">
      <c r="A51" s="132"/>
      <c r="B51" s="140" t="s">
        <v>110</v>
      </c>
      <c r="C51" s="132" t="s">
        <v>117</v>
      </c>
      <c r="D51" s="139" t="s">
        <v>118</v>
      </c>
      <c r="E51" s="140">
        <v>21</v>
      </c>
      <c r="F51" s="132">
        <v>11</v>
      </c>
      <c r="G51" s="132">
        <v>0</v>
      </c>
      <c r="H51" s="139" t="s">
        <v>11</v>
      </c>
      <c r="I51" s="140">
        <v>50</v>
      </c>
      <c r="J51" s="132">
        <v>25</v>
      </c>
      <c r="K51" s="132">
        <v>0</v>
      </c>
      <c r="L51" s="139" t="s">
        <v>52</v>
      </c>
      <c r="M51" s="132"/>
      <c r="N51" s="141"/>
      <c r="O51" s="141"/>
      <c r="P51" s="141"/>
      <c r="Q51" s="141"/>
      <c r="R51" s="141"/>
      <c r="S51" s="141"/>
      <c r="T51" s="141"/>
      <c r="U51" s="141"/>
      <c r="V51" s="141"/>
      <c r="W51" s="141"/>
      <c r="X51" s="141"/>
      <c r="Y51" s="141"/>
      <c r="Z51" s="141"/>
    </row>
    <row r="52" ht="12.75" customHeight="1" spans="1:26">
      <c r="A52" s="132"/>
      <c r="B52" s="140" t="s">
        <v>110</v>
      </c>
      <c r="C52" s="132" t="s">
        <v>119</v>
      </c>
      <c r="D52" s="139" t="s">
        <v>120</v>
      </c>
      <c r="E52" s="140">
        <v>7</v>
      </c>
      <c r="F52" s="132">
        <v>12</v>
      </c>
      <c r="G52" s="132">
        <v>0</v>
      </c>
      <c r="H52" s="139" t="s">
        <v>11</v>
      </c>
      <c r="I52" s="140">
        <v>48</v>
      </c>
      <c r="J52" s="132">
        <v>12</v>
      </c>
      <c r="K52" s="132">
        <v>0</v>
      </c>
      <c r="L52" s="139" t="s">
        <v>52</v>
      </c>
      <c r="M52" s="132"/>
      <c r="N52" s="141"/>
      <c r="O52" s="141"/>
      <c r="P52" s="141"/>
      <c r="Q52" s="141"/>
      <c r="R52" s="141"/>
      <c r="S52" s="141"/>
      <c r="T52" s="141"/>
      <c r="U52" s="141"/>
      <c r="V52" s="141"/>
      <c r="W52" s="141"/>
      <c r="X52" s="141"/>
      <c r="Y52" s="141"/>
      <c r="Z52" s="141"/>
    </row>
    <row r="53" ht="12.75" customHeight="1" spans="1:26">
      <c r="A53" s="132"/>
      <c r="B53" s="140" t="s">
        <v>110</v>
      </c>
      <c r="C53" s="132" t="s">
        <v>121</v>
      </c>
      <c r="D53" s="139" t="s">
        <v>122</v>
      </c>
      <c r="E53" s="140">
        <v>19</v>
      </c>
      <c r="F53" s="132">
        <v>34</v>
      </c>
      <c r="G53" s="132">
        <v>48</v>
      </c>
      <c r="H53" s="139" t="s">
        <v>11</v>
      </c>
      <c r="I53" s="140">
        <v>46</v>
      </c>
      <c r="J53" s="132">
        <v>57</v>
      </c>
      <c r="K53" s="132">
        <v>37</v>
      </c>
      <c r="L53" s="139" t="s">
        <v>52</v>
      </c>
      <c r="M53" s="132"/>
      <c r="N53" s="141"/>
      <c r="O53" s="141"/>
      <c r="P53" s="141"/>
      <c r="Q53" s="141"/>
      <c r="R53" s="141"/>
      <c r="S53" s="141"/>
      <c r="T53" s="141"/>
      <c r="U53" s="141"/>
      <c r="V53" s="141"/>
      <c r="W53" s="141"/>
      <c r="X53" s="141"/>
      <c r="Y53" s="141"/>
      <c r="Z53" s="141"/>
    </row>
    <row r="54" ht="12.75" customHeight="1" spans="1:26">
      <c r="A54" s="132"/>
      <c r="B54" s="140" t="s">
        <v>110</v>
      </c>
      <c r="C54" s="132" t="s">
        <v>123</v>
      </c>
      <c r="D54" s="139" t="s">
        <v>124</v>
      </c>
      <c r="E54" s="140">
        <v>31</v>
      </c>
      <c r="F54" s="132">
        <v>23</v>
      </c>
      <c r="G54" s="132">
        <v>27</v>
      </c>
      <c r="H54" s="139" t="s">
        <v>11</v>
      </c>
      <c r="I54" s="140">
        <v>54</v>
      </c>
      <c r="J54" s="132">
        <v>6</v>
      </c>
      <c r="K54" s="132">
        <v>35</v>
      </c>
      <c r="L54" s="139" t="s">
        <v>52</v>
      </c>
      <c r="M54" s="132"/>
      <c r="N54" s="141"/>
      <c r="O54" s="141"/>
      <c r="P54" s="141"/>
      <c r="Q54" s="141"/>
      <c r="R54" s="141"/>
      <c r="S54" s="141"/>
      <c r="T54" s="141"/>
      <c r="U54" s="141"/>
      <c r="V54" s="141"/>
      <c r="W54" s="141"/>
      <c r="X54" s="141"/>
      <c r="Y54" s="141"/>
      <c r="Z54" s="141"/>
    </row>
    <row r="55" ht="12.75" customHeight="1" spans="1:26">
      <c r="A55" s="132"/>
      <c r="B55" s="140" t="s">
        <v>110</v>
      </c>
      <c r="C55" s="132" t="s">
        <v>125</v>
      </c>
      <c r="D55" s="139" t="s">
        <v>126</v>
      </c>
      <c r="E55" s="140">
        <v>12</v>
      </c>
      <c r="F55" s="132">
        <v>3</v>
      </c>
      <c r="G55" s="132">
        <v>0</v>
      </c>
      <c r="H55" s="139" t="s">
        <v>11</v>
      </c>
      <c r="I55" s="140">
        <v>45</v>
      </c>
      <c r="J55" s="132">
        <v>0</v>
      </c>
      <c r="K55" s="132">
        <v>0</v>
      </c>
      <c r="L55" s="139" t="s">
        <v>52</v>
      </c>
      <c r="M55" s="132"/>
      <c r="N55" s="141"/>
      <c r="O55" s="141"/>
      <c r="P55" s="141"/>
      <c r="Q55" s="141"/>
      <c r="R55" s="141"/>
      <c r="S55" s="141"/>
      <c r="T55" s="141"/>
      <c r="U55" s="141"/>
      <c r="V55" s="141"/>
      <c r="W55" s="141"/>
      <c r="X55" s="141"/>
      <c r="Y55" s="141"/>
      <c r="Z55" s="141"/>
    </row>
    <row r="56" ht="12.75" customHeight="1" spans="1:26">
      <c r="A56" s="132"/>
      <c r="B56" s="140" t="s">
        <v>110</v>
      </c>
      <c r="C56" s="132" t="s">
        <v>127</v>
      </c>
      <c r="D56" s="139" t="s">
        <v>128</v>
      </c>
      <c r="E56" s="140">
        <v>22</v>
      </c>
      <c r="F56" s="132">
        <v>9</v>
      </c>
      <c r="G56" s="132">
        <v>28</v>
      </c>
      <c r="H56" s="139" t="s">
        <v>11</v>
      </c>
      <c r="I56" s="140">
        <v>49</v>
      </c>
      <c r="J56" s="132">
        <v>4</v>
      </c>
      <c r="K56" s="132">
        <v>6</v>
      </c>
      <c r="L56" s="139" t="s">
        <v>52</v>
      </c>
      <c r="M56" s="132"/>
      <c r="N56" s="141"/>
      <c r="O56" s="141"/>
      <c r="P56" s="141"/>
      <c r="Q56" s="141"/>
      <c r="R56" s="141"/>
      <c r="S56" s="141"/>
      <c r="T56" s="141"/>
      <c r="U56" s="141"/>
      <c r="V56" s="141"/>
      <c r="W56" s="141"/>
      <c r="X56" s="141"/>
      <c r="Y56" s="141"/>
      <c r="Z56" s="141"/>
    </row>
    <row r="57" ht="12.75" customHeight="1" spans="1:26">
      <c r="A57" s="132"/>
      <c r="B57" s="140" t="s">
        <v>110</v>
      </c>
      <c r="C57" s="132" t="s">
        <v>129</v>
      </c>
      <c r="D57" s="139" t="s">
        <v>130</v>
      </c>
      <c r="E57" s="140">
        <v>1</v>
      </c>
      <c r="F57" s="132">
        <v>23</v>
      </c>
      <c r="G57" s="132">
        <v>1</v>
      </c>
      <c r="H57" s="139" t="s">
        <v>11</v>
      </c>
      <c r="I57" s="140">
        <v>48</v>
      </c>
      <c r="J57" s="132">
        <v>28</v>
      </c>
      <c r="K57" s="132">
        <v>7</v>
      </c>
      <c r="L57" s="139" t="s">
        <v>52</v>
      </c>
      <c r="M57" s="132"/>
      <c r="N57" s="141"/>
      <c r="O57" s="141"/>
      <c r="P57" s="141"/>
      <c r="Q57" s="141"/>
      <c r="R57" s="141"/>
      <c r="S57" s="141"/>
      <c r="T57" s="141"/>
      <c r="U57" s="141"/>
      <c r="V57" s="141"/>
      <c r="W57" s="141"/>
      <c r="X57" s="141"/>
      <c r="Y57" s="141"/>
      <c r="Z57" s="141"/>
    </row>
    <row r="58" ht="12.75" customHeight="1" spans="1:26">
      <c r="A58" s="132"/>
      <c r="B58" s="140" t="s">
        <v>110</v>
      </c>
      <c r="C58" s="132" t="s">
        <v>131</v>
      </c>
      <c r="D58" s="139" t="s">
        <v>132</v>
      </c>
      <c r="E58" s="140">
        <v>19</v>
      </c>
      <c r="F58" s="132">
        <v>38</v>
      </c>
      <c r="G58" s="132">
        <v>1</v>
      </c>
      <c r="H58" s="139" t="s">
        <v>11</v>
      </c>
      <c r="I58" s="140">
        <v>43</v>
      </c>
      <c r="J58" s="132">
        <v>58</v>
      </c>
      <c r="K58" s="132">
        <v>8</v>
      </c>
      <c r="L58" s="139" t="s">
        <v>52</v>
      </c>
      <c r="M58" s="132"/>
      <c r="N58" s="141"/>
      <c r="O58" s="141"/>
      <c r="P58" s="141"/>
      <c r="Q58" s="141"/>
      <c r="R58" s="141"/>
      <c r="S58" s="141"/>
      <c r="T58" s="141"/>
      <c r="U58" s="141"/>
      <c r="V58" s="141"/>
      <c r="W58" s="141"/>
      <c r="X58" s="141"/>
      <c r="Y58" s="141"/>
      <c r="Z58" s="141"/>
    </row>
    <row r="59" ht="12.75" customHeight="1" spans="1:26">
      <c r="A59" s="132"/>
      <c r="B59" s="140" t="s">
        <v>110</v>
      </c>
      <c r="C59" s="132" t="s">
        <v>133</v>
      </c>
      <c r="D59" s="139" t="s">
        <v>132</v>
      </c>
      <c r="E59" s="140">
        <v>19</v>
      </c>
      <c r="F59" s="132">
        <v>45</v>
      </c>
      <c r="G59" s="132">
        <v>20</v>
      </c>
      <c r="H59" s="139" t="s">
        <v>11</v>
      </c>
      <c r="I59" s="140">
        <v>43</v>
      </c>
      <c r="J59" s="132">
        <v>45</v>
      </c>
      <c r="K59" s="132">
        <v>0</v>
      </c>
      <c r="L59" s="139" t="s">
        <v>52</v>
      </c>
      <c r="M59" s="132"/>
      <c r="N59" s="141"/>
      <c r="O59" s="141"/>
      <c r="P59" s="141"/>
      <c r="Q59" s="141"/>
      <c r="R59" s="141"/>
      <c r="S59" s="141"/>
      <c r="T59" s="141"/>
      <c r="U59" s="141"/>
      <c r="V59" s="141"/>
      <c r="W59" s="141"/>
      <c r="X59" s="141"/>
      <c r="Y59" s="141"/>
      <c r="Z59" s="141"/>
    </row>
    <row r="60" ht="12.75" customHeight="1" spans="1:26">
      <c r="A60" s="132"/>
      <c r="B60" s="140" t="s">
        <v>110</v>
      </c>
      <c r="C60" s="132" t="s">
        <v>134</v>
      </c>
      <c r="D60" s="139" t="s">
        <v>135</v>
      </c>
      <c r="E60" s="140">
        <v>2</v>
      </c>
      <c r="F60" s="132">
        <v>50</v>
      </c>
      <c r="G60" s="132">
        <v>0</v>
      </c>
      <c r="H60" s="139" t="s">
        <v>18</v>
      </c>
      <c r="I60" s="140">
        <v>60</v>
      </c>
      <c r="J60" s="132">
        <v>41</v>
      </c>
      <c r="K60" s="132">
        <v>0</v>
      </c>
      <c r="L60" s="139" t="s">
        <v>52</v>
      </c>
      <c r="M60" s="132"/>
      <c r="N60" s="141"/>
      <c r="O60" s="141"/>
      <c r="P60" s="141"/>
      <c r="Q60" s="141"/>
      <c r="R60" s="141"/>
      <c r="S60" s="141"/>
      <c r="T60" s="141"/>
      <c r="U60" s="141"/>
      <c r="V60" s="141"/>
      <c r="W60" s="141"/>
      <c r="X60" s="141"/>
      <c r="Y60" s="141"/>
      <c r="Z60" s="141"/>
    </row>
    <row r="61" ht="12.75" customHeight="1" spans="1:26">
      <c r="A61" s="132"/>
      <c r="B61" s="140" t="s">
        <v>110</v>
      </c>
      <c r="C61" s="132" t="s">
        <v>136</v>
      </c>
      <c r="D61" s="139" t="s">
        <v>137</v>
      </c>
      <c r="E61" s="140">
        <v>15</v>
      </c>
      <c r="F61" s="132">
        <v>52</v>
      </c>
      <c r="G61" s="132">
        <v>16</v>
      </c>
      <c r="H61" s="139" t="s">
        <v>11</v>
      </c>
      <c r="I61" s="140">
        <v>47</v>
      </c>
      <c r="J61" s="132">
        <v>55</v>
      </c>
      <c r="K61" s="132">
        <v>7</v>
      </c>
      <c r="L61" s="139" t="s">
        <v>52</v>
      </c>
      <c r="M61" s="132"/>
      <c r="N61" s="141"/>
      <c r="O61" s="141"/>
      <c r="P61" s="141"/>
      <c r="Q61" s="141"/>
      <c r="R61" s="141"/>
      <c r="S61" s="141"/>
      <c r="T61" s="141"/>
      <c r="U61" s="141"/>
      <c r="V61" s="141"/>
      <c r="W61" s="141"/>
      <c r="X61" s="141"/>
      <c r="Y61" s="141"/>
      <c r="Z61" s="141"/>
    </row>
    <row r="62" ht="12.75" customHeight="1" spans="1:26">
      <c r="A62" s="132"/>
      <c r="B62" s="140" t="s">
        <v>110</v>
      </c>
      <c r="C62" s="132" t="s">
        <v>138</v>
      </c>
      <c r="D62" s="139" t="s">
        <v>139</v>
      </c>
      <c r="E62" s="140">
        <v>1</v>
      </c>
      <c r="F62" s="132">
        <v>59</v>
      </c>
      <c r="G62" s="132">
        <v>0</v>
      </c>
      <c r="H62" s="139" t="s">
        <v>11</v>
      </c>
      <c r="I62" s="140">
        <v>46</v>
      </c>
      <c r="J62" s="132">
        <v>13</v>
      </c>
      <c r="K62" s="132">
        <v>0</v>
      </c>
      <c r="L62" s="139" t="s">
        <v>52</v>
      </c>
      <c r="M62" s="132"/>
      <c r="N62" s="141"/>
      <c r="O62" s="141"/>
      <c r="P62" s="141"/>
      <c r="Q62" s="141"/>
      <c r="R62" s="141"/>
      <c r="S62" s="141"/>
      <c r="T62" s="141"/>
      <c r="U62" s="141"/>
      <c r="V62" s="141"/>
      <c r="W62" s="141"/>
      <c r="X62" s="141"/>
      <c r="Y62" s="141"/>
      <c r="Z62" s="141"/>
    </row>
    <row r="63" ht="12.75" customHeight="1" spans="1:26">
      <c r="A63" s="132"/>
      <c r="B63" s="140" t="s">
        <v>110</v>
      </c>
      <c r="C63" s="132" t="s">
        <v>140</v>
      </c>
      <c r="D63" s="139" t="s">
        <v>141</v>
      </c>
      <c r="E63" s="140">
        <v>7</v>
      </c>
      <c r="F63" s="132">
        <v>16</v>
      </c>
      <c r="G63" s="132">
        <v>0</v>
      </c>
      <c r="H63" s="139" t="s">
        <v>11</v>
      </c>
      <c r="I63" s="140">
        <v>35</v>
      </c>
      <c r="J63" s="132">
        <v>54</v>
      </c>
      <c r="K63" s="132">
        <v>0</v>
      </c>
      <c r="L63" s="139" t="s">
        <v>52</v>
      </c>
      <c r="M63" s="132"/>
      <c r="N63" s="141"/>
      <c r="O63" s="141"/>
      <c r="P63" s="141"/>
      <c r="Q63" s="141"/>
      <c r="R63" s="141"/>
      <c r="S63" s="141"/>
      <c r="T63" s="141"/>
      <c r="U63" s="141"/>
      <c r="V63" s="141"/>
      <c r="W63" s="141"/>
      <c r="X63" s="141"/>
      <c r="Y63" s="141"/>
      <c r="Z63" s="141"/>
    </row>
    <row r="64" ht="12.75" customHeight="1" spans="1:26">
      <c r="A64" s="132"/>
      <c r="B64" s="140" t="s">
        <v>110</v>
      </c>
      <c r="C64" s="132" t="s">
        <v>142</v>
      </c>
      <c r="D64" s="139" t="s">
        <v>143</v>
      </c>
      <c r="E64" s="140">
        <v>23</v>
      </c>
      <c r="F64" s="132">
        <v>0</v>
      </c>
      <c r="G64" s="132">
        <v>27</v>
      </c>
      <c r="H64" s="139" t="s">
        <v>11</v>
      </c>
      <c r="I64" s="140">
        <v>47</v>
      </c>
      <c r="J64" s="132">
        <v>8</v>
      </c>
      <c r="K64" s="132">
        <v>4</v>
      </c>
      <c r="L64" s="139" t="s">
        <v>52</v>
      </c>
      <c r="M64" s="132"/>
      <c r="N64" s="141"/>
      <c r="O64" s="141"/>
      <c r="P64" s="141"/>
      <c r="Q64" s="141"/>
      <c r="R64" s="141"/>
      <c r="S64" s="141"/>
      <c r="T64" s="141"/>
      <c r="U64" s="141"/>
      <c r="V64" s="141"/>
      <c r="W64" s="141"/>
      <c r="X64" s="141"/>
      <c r="Y64" s="141"/>
      <c r="Z64" s="141"/>
    </row>
    <row r="65" ht="12.75" customHeight="1" spans="1:26">
      <c r="A65" s="132"/>
      <c r="B65" s="140" t="s">
        <v>110</v>
      </c>
      <c r="C65" s="132" t="s">
        <v>144</v>
      </c>
      <c r="D65" s="139" t="s">
        <v>143</v>
      </c>
      <c r="E65" s="140">
        <v>22</v>
      </c>
      <c r="F65" s="132">
        <v>51</v>
      </c>
      <c r="G65" s="132">
        <v>33</v>
      </c>
      <c r="H65" s="139" t="s">
        <v>11</v>
      </c>
      <c r="I65" s="140">
        <v>47</v>
      </c>
      <c r="J65" s="132">
        <v>6</v>
      </c>
      <c r="K65" s="132">
        <v>29</v>
      </c>
      <c r="L65" s="139" t="s">
        <v>52</v>
      </c>
      <c r="M65" s="132"/>
      <c r="N65" s="141"/>
      <c r="O65" s="141"/>
      <c r="P65" s="141"/>
      <c r="Q65" s="141"/>
      <c r="R65" s="141"/>
      <c r="S65" s="141"/>
      <c r="T65" s="141"/>
      <c r="U65" s="141"/>
      <c r="V65" s="141"/>
      <c r="W65" s="141"/>
      <c r="X65" s="141"/>
      <c r="Y65" s="141"/>
      <c r="Z65" s="141"/>
    </row>
    <row r="66" ht="12.75" customHeight="1" spans="1:26">
      <c r="A66" s="132"/>
      <c r="B66" s="140" t="s">
        <v>110</v>
      </c>
      <c r="C66" s="132" t="s">
        <v>145</v>
      </c>
      <c r="D66" s="139" t="s">
        <v>146</v>
      </c>
      <c r="E66" s="140">
        <v>20</v>
      </c>
      <c r="F66" s="132">
        <v>28</v>
      </c>
      <c r="G66" s="132">
        <v>2</v>
      </c>
      <c r="H66" s="139" t="s">
        <v>11</v>
      </c>
      <c r="I66" s="140">
        <v>54</v>
      </c>
      <c r="J66" s="132">
        <v>40</v>
      </c>
      <c r="K66" s="132">
        <v>2</v>
      </c>
      <c r="L66" s="139" t="s">
        <v>52</v>
      </c>
      <c r="M66" s="132"/>
      <c r="N66" s="141"/>
      <c r="O66" s="141"/>
      <c r="P66" s="141"/>
      <c r="Q66" s="141"/>
      <c r="R66" s="141"/>
      <c r="S66" s="141"/>
      <c r="T66" s="141"/>
      <c r="U66" s="141"/>
      <c r="V66" s="141"/>
      <c r="W66" s="141"/>
      <c r="X66" s="141"/>
      <c r="Y66" s="141"/>
      <c r="Z66" s="141"/>
    </row>
    <row r="67" ht="12.75" customHeight="1" spans="1:26">
      <c r="A67" s="132"/>
      <c r="B67" s="140" t="s">
        <v>110</v>
      </c>
      <c r="C67" s="132" t="s">
        <v>147</v>
      </c>
      <c r="D67" s="139" t="s">
        <v>148</v>
      </c>
      <c r="E67" s="140">
        <v>21</v>
      </c>
      <c r="F67" s="132">
        <v>45</v>
      </c>
      <c r="G67" s="132">
        <v>0</v>
      </c>
      <c r="H67" s="139" t="s">
        <v>11</v>
      </c>
      <c r="I67" s="140">
        <v>41</v>
      </c>
      <c r="J67" s="132">
        <v>18</v>
      </c>
      <c r="K67" s="132">
        <v>0</v>
      </c>
      <c r="L67" s="139" t="s">
        <v>52</v>
      </c>
      <c r="M67" s="132"/>
      <c r="N67" s="141"/>
      <c r="O67" s="141"/>
      <c r="P67" s="141"/>
      <c r="Q67" s="141"/>
      <c r="R67" s="141"/>
      <c r="S67" s="141"/>
      <c r="T67" s="141"/>
      <c r="U67" s="141"/>
      <c r="V67" s="141"/>
      <c r="W67" s="141"/>
      <c r="X67" s="141"/>
      <c r="Y67" s="141"/>
      <c r="Z67" s="141"/>
    </row>
    <row r="68" ht="12.75" customHeight="1" spans="1:26">
      <c r="A68" s="132"/>
      <c r="B68" s="140" t="s">
        <v>110</v>
      </c>
      <c r="C68" s="132" t="s">
        <v>149</v>
      </c>
      <c r="D68" s="139" t="s">
        <v>150</v>
      </c>
      <c r="E68" s="140">
        <v>6</v>
      </c>
      <c r="F68" s="132">
        <v>7</v>
      </c>
      <c r="G68" s="132">
        <v>4</v>
      </c>
      <c r="H68" s="139" t="s">
        <v>11</v>
      </c>
      <c r="I68" s="140">
        <v>50</v>
      </c>
      <c r="J68" s="132">
        <v>0</v>
      </c>
      <c r="K68" s="132">
        <v>12</v>
      </c>
      <c r="L68" s="139" t="s">
        <v>52</v>
      </c>
      <c r="M68" s="132"/>
      <c r="N68" s="141"/>
      <c r="O68" s="141"/>
      <c r="P68" s="141"/>
      <c r="Q68" s="141"/>
      <c r="R68" s="141"/>
      <c r="S68" s="141"/>
      <c r="T68" s="141"/>
      <c r="U68" s="141"/>
      <c r="V68" s="141"/>
      <c r="W68" s="141"/>
      <c r="X68" s="141"/>
      <c r="Y68" s="141"/>
      <c r="Z68" s="141"/>
    </row>
    <row r="69" ht="12.75" customHeight="1" spans="1:26">
      <c r="A69" s="132"/>
      <c r="B69" s="140" t="s">
        <v>110</v>
      </c>
      <c r="C69" s="132" t="s">
        <v>151</v>
      </c>
      <c r="D69" s="139" t="s">
        <v>152</v>
      </c>
      <c r="E69" s="140">
        <v>24</v>
      </c>
      <c r="F69" s="132">
        <v>57</v>
      </c>
      <c r="G69" s="132">
        <v>0</v>
      </c>
      <c r="H69" s="139" t="s">
        <v>11</v>
      </c>
      <c r="I69" s="140">
        <v>53</v>
      </c>
      <c r="J69" s="132">
        <v>29</v>
      </c>
      <c r="K69" s="132">
        <v>0</v>
      </c>
      <c r="L69" s="139" t="s">
        <v>52</v>
      </c>
      <c r="M69" s="132"/>
      <c r="N69" s="141"/>
      <c r="O69" s="141"/>
      <c r="P69" s="141"/>
      <c r="Q69" s="141"/>
      <c r="R69" s="141"/>
      <c r="S69" s="141"/>
      <c r="T69" s="141"/>
      <c r="U69" s="141"/>
      <c r="V69" s="141"/>
      <c r="W69" s="141"/>
      <c r="X69" s="141"/>
      <c r="Y69" s="141"/>
      <c r="Z69" s="141"/>
    </row>
    <row r="70" ht="12.75" customHeight="1" spans="1:26">
      <c r="A70" s="132"/>
      <c r="B70" s="140" t="s">
        <v>110</v>
      </c>
      <c r="C70" s="132" t="s">
        <v>153</v>
      </c>
      <c r="D70" s="139" t="s">
        <v>154</v>
      </c>
      <c r="E70" s="140">
        <v>29</v>
      </c>
      <c r="F70" s="132">
        <v>11</v>
      </c>
      <c r="G70" s="132">
        <v>49</v>
      </c>
      <c r="H70" s="139" t="s">
        <v>11</v>
      </c>
      <c r="I70" s="140">
        <v>51</v>
      </c>
      <c r="J70" s="132">
        <v>11</v>
      </c>
      <c r="K70" s="132">
        <v>15</v>
      </c>
      <c r="L70" s="139" t="s">
        <v>52</v>
      </c>
      <c r="M70" s="132"/>
      <c r="N70" s="141"/>
      <c r="O70" s="141"/>
      <c r="P70" s="141"/>
      <c r="Q70" s="141"/>
      <c r="R70" s="141"/>
      <c r="S70" s="141"/>
      <c r="T70" s="141"/>
      <c r="U70" s="141"/>
      <c r="V70" s="141"/>
      <c r="W70" s="141"/>
      <c r="X70" s="141"/>
      <c r="Y70" s="141"/>
      <c r="Z70" s="141"/>
    </row>
    <row r="71" ht="12.75" customHeight="1" spans="1:26">
      <c r="A71" s="132"/>
      <c r="B71" s="140" t="s">
        <v>110</v>
      </c>
      <c r="C71" s="132" t="s">
        <v>155</v>
      </c>
      <c r="D71" s="139" t="s">
        <v>156</v>
      </c>
      <c r="E71" s="140">
        <v>27</v>
      </c>
      <c r="F71" s="132">
        <v>8</v>
      </c>
      <c r="G71" s="132">
        <v>3</v>
      </c>
      <c r="H71" s="139" t="s">
        <v>11</v>
      </c>
      <c r="I71" s="140">
        <v>52</v>
      </c>
      <c r="J71" s="132">
        <v>39</v>
      </c>
      <c r="K71" s="132">
        <v>24</v>
      </c>
      <c r="L71" s="139" t="s">
        <v>52</v>
      </c>
      <c r="M71" s="132"/>
      <c r="N71" s="141"/>
      <c r="O71" s="141"/>
      <c r="P71" s="141"/>
      <c r="Q71" s="141"/>
      <c r="R71" s="141"/>
      <c r="S71" s="141"/>
      <c r="T71" s="141"/>
      <c r="U71" s="141"/>
      <c r="V71" s="141"/>
      <c r="W71" s="141"/>
      <c r="X71" s="141"/>
      <c r="Y71" s="141"/>
      <c r="Z71" s="141"/>
    </row>
    <row r="72" ht="12.75" customHeight="1" spans="1:26">
      <c r="A72" s="132"/>
      <c r="B72" s="140" t="s">
        <v>110</v>
      </c>
      <c r="C72" s="132" t="s">
        <v>157</v>
      </c>
      <c r="D72" s="139" t="s">
        <v>158</v>
      </c>
      <c r="E72" s="140">
        <v>8</v>
      </c>
      <c r="F72" s="132">
        <v>17</v>
      </c>
      <c r="G72" s="132">
        <v>0</v>
      </c>
      <c r="H72" s="139" t="s">
        <v>11</v>
      </c>
      <c r="I72" s="140">
        <v>49</v>
      </c>
      <c r="J72" s="132">
        <v>17</v>
      </c>
      <c r="K72" s="132">
        <v>0</v>
      </c>
      <c r="L72" s="139" t="s">
        <v>52</v>
      </c>
      <c r="M72" s="132"/>
      <c r="N72" s="141"/>
      <c r="O72" s="141"/>
      <c r="P72" s="141"/>
      <c r="Q72" s="141"/>
      <c r="R72" s="141"/>
      <c r="S72" s="141"/>
      <c r="T72" s="141"/>
      <c r="U72" s="141"/>
      <c r="V72" s="141"/>
      <c r="W72" s="141"/>
      <c r="X72" s="141"/>
      <c r="Y72" s="141"/>
      <c r="Z72" s="141"/>
    </row>
    <row r="73" ht="12.75" customHeight="1" spans="1:26">
      <c r="A73" s="132"/>
      <c r="B73" s="140" t="s">
        <v>110</v>
      </c>
      <c r="C73" s="132" t="s">
        <v>159</v>
      </c>
      <c r="D73" s="139" t="s">
        <v>160</v>
      </c>
      <c r="E73" s="140">
        <v>10</v>
      </c>
      <c r="F73" s="132">
        <v>38</v>
      </c>
      <c r="G73" s="132">
        <v>0</v>
      </c>
      <c r="H73" s="139" t="s">
        <v>11</v>
      </c>
      <c r="I73" s="140">
        <v>51</v>
      </c>
      <c r="J73" s="132">
        <v>34</v>
      </c>
      <c r="K73" s="132">
        <v>0</v>
      </c>
      <c r="L73" s="139" t="s">
        <v>52</v>
      </c>
      <c r="M73" s="132"/>
      <c r="N73" s="141"/>
      <c r="O73" s="141"/>
      <c r="P73" s="141"/>
      <c r="Q73" s="141"/>
      <c r="R73" s="141"/>
      <c r="S73" s="141"/>
      <c r="T73" s="141"/>
      <c r="U73" s="141"/>
      <c r="V73" s="141"/>
      <c r="W73" s="141"/>
      <c r="X73" s="141"/>
      <c r="Y73" s="141"/>
      <c r="Z73" s="141"/>
    </row>
    <row r="74" ht="12.75" customHeight="1" spans="1:26">
      <c r="A74" s="132"/>
      <c r="B74" s="140" t="s">
        <v>110</v>
      </c>
      <c r="C74" s="132" t="s">
        <v>161</v>
      </c>
      <c r="D74" s="139" t="s">
        <v>162</v>
      </c>
      <c r="E74" s="140">
        <v>19</v>
      </c>
      <c r="F74" s="132">
        <v>0</v>
      </c>
      <c r="G74" s="132">
        <v>41</v>
      </c>
      <c r="H74" s="139" t="s">
        <v>11</v>
      </c>
      <c r="I74" s="140">
        <v>57</v>
      </c>
      <c r="J74" s="132">
        <v>40</v>
      </c>
      <c r="K74" s="132">
        <v>1</v>
      </c>
      <c r="L74" s="139" t="s">
        <v>52</v>
      </c>
      <c r="M74" s="132"/>
      <c r="N74" s="141"/>
      <c r="O74" s="141"/>
      <c r="P74" s="141"/>
      <c r="Q74" s="141"/>
      <c r="R74" s="141"/>
      <c r="S74" s="141"/>
      <c r="T74" s="141"/>
      <c r="U74" s="141"/>
      <c r="V74" s="141"/>
      <c r="W74" s="141"/>
      <c r="X74" s="141"/>
      <c r="Y74" s="141"/>
      <c r="Z74" s="141"/>
    </row>
    <row r="75" ht="12.75" customHeight="1" spans="1:26">
      <c r="A75" s="132"/>
      <c r="B75" s="140" t="s">
        <v>110</v>
      </c>
      <c r="C75" s="132" t="s">
        <v>163</v>
      </c>
      <c r="D75" s="139" t="s">
        <v>164</v>
      </c>
      <c r="E75" s="140">
        <v>28</v>
      </c>
      <c r="F75" s="132">
        <v>42</v>
      </c>
      <c r="G75" s="132">
        <v>0</v>
      </c>
      <c r="H75" s="139" t="s">
        <v>11</v>
      </c>
      <c r="I75" s="140">
        <v>49</v>
      </c>
      <c r="J75" s="132">
        <v>22</v>
      </c>
      <c r="K75" s="132">
        <v>0</v>
      </c>
      <c r="L75" s="139" t="s">
        <v>52</v>
      </c>
      <c r="M75" s="132"/>
      <c r="N75" s="141"/>
      <c r="O75" s="141"/>
      <c r="P75" s="141"/>
      <c r="Q75" s="141"/>
      <c r="R75" s="141"/>
      <c r="S75" s="141"/>
      <c r="T75" s="141"/>
      <c r="U75" s="141"/>
      <c r="V75" s="141"/>
      <c r="W75" s="141"/>
      <c r="X75" s="141"/>
      <c r="Y75" s="141"/>
      <c r="Z75" s="141"/>
    </row>
    <row r="76" ht="12.75" customHeight="1" spans="1:26">
      <c r="A76" s="132"/>
      <c r="B76" s="140" t="s">
        <v>110</v>
      </c>
      <c r="C76" s="132" t="s">
        <v>165</v>
      </c>
      <c r="D76" s="139" t="s">
        <v>166</v>
      </c>
      <c r="E76" s="140">
        <v>7</v>
      </c>
      <c r="F76" s="132">
        <v>35</v>
      </c>
      <c r="G76" s="132">
        <v>58</v>
      </c>
      <c r="H76" s="139" t="s">
        <v>11</v>
      </c>
      <c r="I76" s="140">
        <v>72</v>
      </c>
      <c r="J76" s="132">
        <v>46</v>
      </c>
      <c r="K76" s="132">
        <v>10</v>
      </c>
      <c r="L76" s="139" t="s">
        <v>52</v>
      </c>
      <c r="M76" s="132"/>
      <c r="N76" s="141"/>
      <c r="O76" s="141"/>
      <c r="P76" s="141"/>
      <c r="Q76" s="141"/>
      <c r="R76" s="141"/>
      <c r="S76" s="141"/>
      <c r="T76" s="141"/>
      <c r="U76" s="141"/>
      <c r="V76" s="141"/>
      <c r="W76" s="141"/>
      <c r="X76" s="141"/>
      <c r="Y76" s="141"/>
      <c r="Z76" s="141"/>
    </row>
    <row r="77" ht="12.75" customHeight="1" spans="1:26">
      <c r="A77" s="132"/>
      <c r="B77" s="140" t="s">
        <v>110</v>
      </c>
      <c r="C77" s="132" t="s">
        <v>167</v>
      </c>
      <c r="D77" s="139" t="s">
        <v>168</v>
      </c>
      <c r="E77" s="140">
        <v>15</v>
      </c>
      <c r="F77" s="132">
        <v>39</v>
      </c>
      <c r="G77" s="132">
        <v>11</v>
      </c>
      <c r="H77" s="139" t="s">
        <v>11</v>
      </c>
      <c r="I77" s="140">
        <v>56</v>
      </c>
      <c r="J77" s="132">
        <v>7</v>
      </c>
      <c r="K77" s="132">
        <v>0</v>
      </c>
      <c r="L77" s="139" t="s">
        <v>52</v>
      </c>
      <c r="M77" s="132"/>
      <c r="N77" s="141"/>
      <c r="O77" s="141"/>
      <c r="P77" s="141"/>
      <c r="Q77" s="141"/>
      <c r="R77" s="141"/>
      <c r="S77" s="141"/>
      <c r="T77" s="141"/>
      <c r="U77" s="141"/>
      <c r="V77" s="141"/>
      <c r="W77" s="141"/>
      <c r="X77" s="141"/>
      <c r="Y77" s="141"/>
      <c r="Z77" s="141"/>
    </row>
    <row r="78" ht="12.75" customHeight="1" spans="1:26">
      <c r="A78" s="132"/>
      <c r="B78" s="140" t="s">
        <v>110</v>
      </c>
      <c r="C78" s="132" t="s">
        <v>169</v>
      </c>
      <c r="D78" s="139" t="s">
        <v>170</v>
      </c>
      <c r="E78" s="140">
        <v>25</v>
      </c>
      <c r="F78" s="132">
        <v>31</v>
      </c>
      <c r="G78" s="132">
        <v>43</v>
      </c>
      <c r="H78" s="139" t="s">
        <v>11</v>
      </c>
      <c r="I78" s="140">
        <v>49</v>
      </c>
      <c r="J78" s="132">
        <v>10</v>
      </c>
      <c r="K78" s="132">
        <v>33</v>
      </c>
      <c r="L78" s="139" t="s">
        <v>52</v>
      </c>
      <c r="M78" s="132"/>
      <c r="N78" s="141"/>
      <c r="O78" s="141"/>
      <c r="P78" s="141"/>
      <c r="Q78" s="141"/>
      <c r="R78" s="141"/>
      <c r="S78" s="141"/>
      <c r="T78" s="141"/>
      <c r="U78" s="141"/>
      <c r="V78" s="141"/>
      <c r="W78" s="141"/>
      <c r="X78" s="141"/>
      <c r="Y78" s="141"/>
      <c r="Z78" s="141"/>
    </row>
    <row r="79" ht="12.75" customHeight="1" spans="1:26">
      <c r="A79" s="132"/>
      <c r="B79" s="140" t="s">
        <v>110</v>
      </c>
      <c r="C79" s="132" t="s">
        <v>171</v>
      </c>
      <c r="D79" s="139" t="s">
        <v>172</v>
      </c>
      <c r="E79" s="140">
        <v>22</v>
      </c>
      <c r="F79" s="132">
        <v>12</v>
      </c>
      <c r="G79" s="132">
        <v>0</v>
      </c>
      <c r="H79" s="139" t="s">
        <v>11</v>
      </c>
      <c r="I79" s="140">
        <v>54</v>
      </c>
      <c r="J79" s="132">
        <v>52</v>
      </c>
      <c r="K79" s="132">
        <v>0</v>
      </c>
      <c r="L79" s="139" t="s">
        <v>52</v>
      </c>
      <c r="M79" s="132"/>
      <c r="N79" s="141"/>
      <c r="O79" s="141"/>
      <c r="P79" s="141"/>
      <c r="Q79" s="141"/>
      <c r="R79" s="141"/>
      <c r="S79" s="141"/>
      <c r="T79" s="141"/>
      <c r="U79" s="141"/>
      <c r="V79" s="141"/>
      <c r="W79" s="141"/>
      <c r="X79" s="141"/>
      <c r="Y79" s="141"/>
      <c r="Z79" s="141"/>
    </row>
    <row r="80" ht="12.75" customHeight="1" spans="1:26">
      <c r="A80" s="132"/>
      <c r="B80" s="140" t="s">
        <v>110</v>
      </c>
      <c r="C80" s="132" t="s">
        <v>173</v>
      </c>
      <c r="D80" s="139" t="s">
        <v>174</v>
      </c>
      <c r="E80" s="140">
        <v>27</v>
      </c>
      <c r="F80" s="132">
        <v>40</v>
      </c>
      <c r="G80" s="132">
        <v>14</v>
      </c>
      <c r="H80" s="139" t="s">
        <v>11</v>
      </c>
      <c r="I80" s="140">
        <v>48</v>
      </c>
      <c r="J80" s="132">
        <v>32</v>
      </c>
      <c r="K80" s="132">
        <v>50</v>
      </c>
      <c r="L80" s="139" t="s">
        <v>52</v>
      </c>
      <c r="M80" s="132"/>
      <c r="N80" s="141"/>
      <c r="O80" s="141"/>
      <c r="P80" s="141"/>
      <c r="Q80" s="141"/>
      <c r="R80" s="141"/>
      <c r="S80" s="141"/>
      <c r="T80" s="141"/>
      <c r="U80" s="141"/>
      <c r="V80" s="141"/>
      <c r="W80" s="141"/>
      <c r="X80" s="141"/>
      <c r="Y80" s="141"/>
      <c r="Z80" s="141"/>
    </row>
    <row r="81" ht="12.75" customHeight="1" spans="1:26">
      <c r="A81" s="132"/>
      <c r="B81" s="140" t="s">
        <v>110</v>
      </c>
      <c r="C81" s="132" t="s">
        <v>175</v>
      </c>
      <c r="D81" s="139" t="s">
        <v>176</v>
      </c>
      <c r="E81" s="140">
        <v>3</v>
      </c>
      <c r="F81" s="132">
        <v>46</v>
      </c>
      <c r="G81" s="132">
        <v>35</v>
      </c>
      <c r="H81" s="139" t="s">
        <v>11</v>
      </c>
      <c r="I81" s="140">
        <v>38</v>
      </c>
      <c r="J81" s="132">
        <v>31</v>
      </c>
      <c r="K81" s="132">
        <v>57</v>
      </c>
      <c r="L81" s="139" t="s">
        <v>52</v>
      </c>
      <c r="M81" s="132"/>
      <c r="N81" s="141"/>
      <c r="O81" s="141"/>
      <c r="P81" s="141"/>
      <c r="Q81" s="141"/>
      <c r="R81" s="141"/>
      <c r="S81" s="141"/>
      <c r="T81" s="141"/>
      <c r="U81" s="141"/>
      <c r="V81" s="141"/>
      <c r="W81" s="141"/>
      <c r="X81" s="141"/>
      <c r="Y81" s="141"/>
      <c r="Z81" s="141"/>
    </row>
    <row r="82" ht="12.75" customHeight="1" spans="1:26">
      <c r="A82" s="132"/>
      <c r="B82" s="140" t="s">
        <v>110</v>
      </c>
      <c r="C82" s="132" t="s">
        <v>177</v>
      </c>
      <c r="D82" s="139" t="s">
        <v>178</v>
      </c>
      <c r="E82" s="140">
        <v>25</v>
      </c>
      <c r="F82" s="132">
        <v>35</v>
      </c>
      <c r="G82" s="132">
        <v>46</v>
      </c>
      <c r="H82" s="139" t="s">
        <v>11</v>
      </c>
      <c r="I82" s="140">
        <v>54</v>
      </c>
      <c r="J82" s="132">
        <v>29</v>
      </c>
      <c r="K82" s="132">
        <v>14</v>
      </c>
      <c r="L82" s="139" t="s">
        <v>52</v>
      </c>
      <c r="M82" s="132"/>
      <c r="N82" s="141"/>
      <c r="O82" s="141"/>
      <c r="P82" s="141"/>
      <c r="Q82" s="141"/>
      <c r="R82" s="141"/>
      <c r="S82" s="141"/>
      <c r="T82" s="141"/>
      <c r="U82" s="141"/>
      <c r="V82" s="141"/>
      <c r="W82" s="141"/>
      <c r="X82" s="141"/>
      <c r="Y82" s="141"/>
      <c r="Z82" s="141"/>
    </row>
    <row r="83" ht="12.75" customHeight="1" spans="1:26">
      <c r="A83" s="132"/>
      <c r="B83" s="140" t="s">
        <v>110</v>
      </c>
      <c r="C83" s="132" t="s">
        <v>179</v>
      </c>
      <c r="D83" s="139" t="s">
        <v>180</v>
      </c>
      <c r="E83" s="140">
        <v>16</v>
      </c>
      <c r="F83" s="132">
        <v>37</v>
      </c>
      <c r="G83" s="132">
        <v>55</v>
      </c>
      <c r="H83" s="139" t="s">
        <v>11</v>
      </c>
      <c r="I83" s="140">
        <v>49</v>
      </c>
      <c r="J83" s="132">
        <v>13</v>
      </c>
      <c r="K83" s="132">
        <v>14</v>
      </c>
      <c r="L83" s="139" t="s">
        <v>52</v>
      </c>
      <c r="M83" s="132"/>
      <c r="N83" s="141"/>
      <c r="O83" s="141"/>
      <c r="P83" s="141"/>
      <c r="Q83" s="141"/>
      <c r="R83" s="141"/>
      <c r="S83" s="141"/>
      <c r="T83" s="141"/>
      <c r="U83" s="141"/>
      <c r="V83" s="141"/>
      <c r="W83" s="141"/>
      <c r="X83" s="141"/>
      <c r="Y83" s="141"/>
      <c r="Z83" s="141"/>
    </row>
    <row r="84" ht="12.75" customHeight="1" spans="1:26">
      <c r="A84" s="132"/>
      <c r="B84" s="140" t="s">
        <v>110</v>
      </c>
      <c r="C84" s="132" t="s">
        <v>181</v>
      </c>
      <c r="D84" s="139" t="s">
        <v>180</v>
      </c>
      <c r="E84" s="140">
        <v>21</v>
      </c>
      <c r="F84" s="132">
        <v>30</v>
      </c>
      <c r="G84" s="132">
        <v>42</v>
      </c>
      <c r="H84" s="139" t="s">
        <v>11</v>
      </c>
      <c r="I84" s="140">
        <v>43</v>
      </c>
      <c r="J84" s="132">
        <v>10</v>
      </c>
      <c r="K84" s="132">
        <v>13</v>
      </c>
      <c r="L84" s="139" t="s">
        <v>52</v>
      </c>
      <c r="M84" s="132"/>
      <c r="N84" s="141"/>
      <c r="O84" s="141"/>
      <c r="P84" s="141"/>
      <c r="Q84" s="141"/>
      <c r="R84" s="141"/>
      <c r="S84" s="141"/>
      <c r="T84" s="141"/>
      <c r="U84" s="141"/>
      <c r="V84" s="141"/>
      <c r="W84" s="141"/>
      <c r="X84" s="141"/>
      <c r="Y84" s="141"/>
      <c r="Z84" s="141"/>
    </row>
    <row r="85" ht="12.75" customHeight="1" spans="1:26">
      <c r="A85" s="132"/>
      <c r="B85" s="140" t="s">
        <v>110</v>
      </c>
      <c r="C85" s="132" t="s">
        <v>182</v>
      </c>
      <c r="D85" s="139" t="s">
        <v>183</v>
      </c>
      <c r="E85" s="140">
        <v>18</v>
      </c>
      <c r="F85" s="132">
        <v>53</v>
      </c>
      <c r="G85" s="132">
        <v>43</v>
      </c>
      <c r="H85" s="139" t="s">
        <v>11</v>
      </c>
      <c r="I85" s="140">
        <v>41</v>
      </c>
      <c r="J85" s="132">
        <v>58</v>
      </c>
      <c r="K85" s="132">
        <v>56</v>
      </c>
      <c r="L85" s="139" t="s">
        <v>52</v>
      </c>
      <c r="M85" s="132"/>
      <c r="N85" s="141"/>
      <c r="O85" s="141"/>
      <c r="P85" s="141"/>
      <c r="Q85" s="141"/>
      <c r="R85" s="141"/>
      <c r="S85" s="141"/>
      <c r="T85" s="141"/>
      <c r="U85" s="141"/>
      <c r="V85" s="141"/>
      <c r="W85" s="141"/>
      <c r="X85" s="141"/>
      <c r="Y85" s="141"/>
      <c r="Z85" s="141"/>
    </row>
    <row r="86" ht="12.75" customHeight="1" spans="1:26">
      <c r="A86" s="132"/>
      <c r="B86" s="140" t="s">
        <v>110</v>
      </c>
      <c r="C86" s="132" t="s">
        <v>184</v>
      </c>
      <c r="D86" s="139" t="s">
        <v>185</v>
      </c>
      <c r="E86" s="140">
        <v>23</v>
      </c>
      <c r="F86" s="132">
        <v>25</v>
      </c>
      <c r="G86" s="132">
        <v>55</v>
      </c>
      <c r="H86" s="139" t="s">
        <v>11</v>
      </c>
      <c r="I86" s="140">
        <v>46</v>
      </c>
      <c r="J86" s="132">
        <v>28</v>
      </c>
      <c r="K86" s="132">
        <v>10</v>
      </c>
      <c r="L86" s="139" t="s">
        <v>52</v>
      </c>
      <c r="M86" s="132"/>
      <c r="N86" s="141"/>
      <c r="O86" s="141"/>
      <c r="P86" s="141"/>
      <c r="Q86" s="141"/>
      <c r="R86" s="141"/>
      <c r="S86" s="141"/>
      <c r="T86" s="141"/>
      <c r="U86" s="141"/>
      <c r="V86" s="141"/>
      <c r="W86" s="141"/>
      <c r="X86" s="141"/>
      <c r="Y86" s="141"/>
      <c r="Z86" s="141"/>
    </row>
    <row r="87" ht="12.75" customHeight="1" spans="1:26">
      <c r="A87" s="132"/>
      <c r="B87" s="140" t="s">
        <v>110</v>
      </c>
      <c r="C87" s="132" t="s">
        <v>186</v>
      </c>
      <c r="D87" s="139" t="s">
        <v>187</v>
      </c>
      <c r="E87" s="140">
        <v>11</v>
      </c>
      <c r="F87" s="132">
        <v>40</v>
      </c>
      <c r="G87" s="132">
        <v>0</v>
      </c>
      <c r="H87" s="139" t="s">
        <v>11</v>
      </c>
      <c r="I87" s="140">
        <v>49</v>
      </c>
      <c r="J87" s="132">
        <v>13</v>
      </c>
      <c r="K87" s="132">
        <v>0</v>
      </c>
      <c r="L87" s="139" t="s">
        <v>52</v>
      </c>
      <c r="M87" s="132"/>
      <c r="N87" s="141"/>
      <c r="O87" s="141"/>
      <c r="P87" s="141"/>
      <c r="Q87" s="141"/>
      <c r="R87" s="141"/>
      <c r="S87" s="141"/>
      <c r="T87" s="141"/>
      <c r="U87" s="141"/>
      <c r="V87" s="141"/>
      <c r="W87" s="141"/>
      <c r="X87" s="141"/>
      <c r="Y87" s="141"/>
      <c r="Z87" s="141"/>
    </row>
    <row r="88" ht="12.75" customHeight="1" spans="1:26">
      <c r="A88" s="132"/>
      <c r="B88" s="140" t="s">
        <v>110</v>
      </c>
      <c r="C88" s="132" t="s">
        <v>188</v>
      </c>
      <c r="D88" s="139" t="s">
        <v>189</v>
      </c>
      <c r="E88" s="140">
        <v>14</v>
      </c>
      <c r="F88" s="132">
        <v>48</v>
      </c>
      <c r="G88" s="132">
        <v>57</v>
      </c>
      <c r="H88" s="139" t="s">
        <v>11</v>
      </c>
      <c r="I88" s="140">
        <v>39</v>
      </c>
      <c r="J88" s="132">
        <v>2</v>
      </c>
      <c r="K88" s="132">
        <v>0</v>
      </c>
      <c r="L88" s="139" t="s">
        <v>52</v>
      </c>
      <c r="M88" s="132"/>
      <c r="N88" s="141"/>
      <c r="O88" s="141"/>
      <c r="P88" s="141"/>
      <c r="Q88" s="141"/>
      <c r="R88" s="141"/>
      <c r="S88" s="141"/>
      <c r="T88" s="141"/>
      <c r="U88" s="141"/>
      <c r="V88" s="141"/>
      <c r="W88" s="141"/>
      <c r="X88" s="141"/>
      <c r="Y88" s="141"/>
      <c r="Z88" s="141"/>
    </row>
    <row r="89" ht="12.75" customHeight="1" spans="1:26">
      <c r="A89" s="132"/>
      <c r="B89" s="140" t="s">
        <v>110</v>
      </c>
      <c r="C89" s="132" t="s">
        <v>190</v>
      </c>
      <c r="D89" s="139" t="s">
        <v>191</v>
      </c>
      <c r="E89" s="140">
        <v>5</v>
      </c>
      <c r="F89" s="132">
        <v>30</v>
      </c>
      <c r="G89" s="132">
        <v>0</v>
      </c>
      <c r="H89" s="139" t="s">
        <v>11</v>
      </c>
      <c r="I89" s="140">
        <v>47</v>
      </c>
      <c r="J89" s="132">
        <v>25</v>
      </c>
      <c r="K89" s="132">
        <v>0</v>
      </c>
      <c r="L89" s="139" t="s">
        <v>52</v>
      </c>
      <c r="M89" s="132"/>
      <c r="N89" s="141"/>
      <c r="O89" s="141"/>
      <c r="P89" s="141"/>
      <c r="Q89" s="141"/>
      <c r="R89" s="141"/>
      <c r="S89" s="141"/>
      <c r="T89" s="141"/>
      <c r="U89" s="141"/>
      <c r="V89" s="141"/>
      <c r="W89" s="141"/>
      <c r="X89" s="141"/>
      <c r="Y89" s="141"/>
      <c r="Z89" s="141"/>
    </row>
    <row r="90" ht="12.75" customHeight="1" spans="1:26">
      <c r="A90" s="132"/>
      <c r="B90" s="140" t="s">
        <v>110</v>
      </c>
      <c r="C90" s="132" t="s">
        <v>192</v>
      </c>
      <c r="D90" s="139" t="s">
        <v>193</v>
      </c>
      <c r="E90" s="140">
        <v>19</v>
      </c>
      <c r="F90" s="132">
        <v>30</v>
      </c>
      <c r="G90" s="132">
        <v>0</v>
      </c>
      <c r="H90" s="139" t="s">
        <v>11</v>
      </c>
      <c r="I90" s="140">
        <v>42</v>
      </c>
      <c r="J90" s="132">
        <v>32</v>
      </c>
      <c r="K90" s="132">
        <v>0</v>
      </c>
      <c r="L90" s="139" t="s">
        <v>52</v>
      </c>
      <c r="M90" s="132"/>
      <c r="N90" s="141"/>
      <c r="O90" s="141"/>
      <c r="P90" s="141"/>
      <c r="Q90" s="141"/>
      <c r="R90" s="141"/>
      <c r="S90" s="141"/>
      <c r="T90" s="141"/>
      <c r="U90" s="141"/>
      <c r="V90" s="141"/>
      <c r="W90" s="141"/>
      <c r="X90" s="141"/>
      <c r="Y90" s="141"/>
      <c r="Z90" s="141"/>
    </row>
    <row r="91" ht="12.75" customHeight="1" spans="1:26">
      <c r="A91" s="132"/>
      <c r="B91" s="140" t="s">
        <v>110</v>
      </c>
      <c r="C91" s="132" t="s">
        <v>194</v>
      </c>
      <c r="D91" s="139" t="s">
        <v>195</v>
      </c>
      <c r="E91" s="140">
        <v>8</v>
      </c>
      <c r="F91" s="132">
        <v>3</v>
      </c>
      <c r="G91" s="132">
        <v>0</v>
      </c>
      <c r="H91" s="139" t="s">
        <v>11</v>
      </c>
      <c r="I91" s="140">
        <v>62</v>
      </c>
      <c r="J91" s="132">
        <v>52</v>
      </c>
      <c r="K91" s="132">
        <v>0</v>
      </c>
      <c r="L91" s="139" t="s">
        <v>52</v>
      </c>
      <c r="M91" s="132"/>
      <c r="N91" s="141"/>
      <c r="O91" s="141"/>
      <c r="P91" s="141"/>
      <c r="Q91" s="141"/>
      <c r="R91" s="141"/>
      <c r="S91" s="141"/>
      <c r="T91" s="141"/>
      <c r="U91" s="141"/>
      <c r="V91" s="141"/>
      <c r="W91" s="141"/>
      <c r="X91" s="141"/>
      <c r="Y91" s="141"/>
      <c r="Z91" s="141"/>
    </row>
    <row r="92" ht="12.75" customHeight="1" spans="1:26">
      <c r="A92" s="132"/>
      <c r="B92" s="140" t="s">
        <v>110</v>
      </c>
      <c r="C92" s="132" t="s">
        <v>196</v>
      </c>
      <c r="D92" s="139" t="s">
        <v>197</v>
      </c>
      <c r="E92" s="140">
        <v>7</v>
      </c>
      <c r="F92" s="132">
        <v>8</v>
      </c>
      <c r="G92" s="132">
        <v>54</v>
      </c>
      <c r="H92" s="139" t="s">
        <v>11</v>
      </c>
      <c r="I92" s="140">
        <v>34</v>
      </c>
      <c r="J92" s="132">
        <v>57</v>
      </c>
      <c r="K92" s="132">
        <v>2</v>
      </c>
      <c r="L92" s="139" t="s">
        <v>52</v>
      </c>
      <c r="M92" s="132"/>
      <c r="N92" s="141"/>
      <c r="O92" s="141"/>
      <c r="P92" s="141"/>
      <c r="Q92" s="141"/>
      <c r="R92" s="141"/>
      <c r="S92" s="141"/>
      <c r="T92" s="141"/>
      <c r="U92" s="141"/>
      <c r="V92" s="141"/>
      <c r="W92" s="141"/>
      <c r="X92" s="141"/>
      <c r="Y92" s="141"/>
      <c r="Z92" s="141"/>
    </row>
    <row r="93" ht="12.75" customHeight="1" spans="1:26">
      <c r="A93" s="132"/>
      <c r="B93" s="140" t="s">
        <v>110</v>
      </c>
      <c r="C93" s="132" t="s">
        <v>198</v>
      </c>
      <c r="D93" s="139" t="s">
        <v>199</v>
      </c>
      <c r="E93" s="140">
        <v>26</v>
      </c>
      <c r="F93" s="132">
        <v>13</v>
      </c>
      <c r="G93" s="132">
        <v>4</v>
      </c>
      <c r="H93" s="139" t="s">
        <v>11</v>
      </c>
      <c r="I93" s="140">
        <v>48</v>
      </c>
      <c r="J93" s="132">
        <v>48</v>
      </c>
      <c r="K93" s="132">
        <v>1</v>
      </c>
      <c r="L93" s="139" t="s">
        <v>52</v>
      </c>
      <c r="M93" s="132"/>
      <c r="N93" s="141"/>
      <c r="O93" s="141"/>
      <c r="P93" s="141"/>
      <c r="Q93" s="141"/>
      <c r="R93" s="141"/>
      <c r="S93" s="141"/>
      <c r="T93" s="141"/>
      <c r="U93" s="141"/>
      <c r="V93" s="141"/>
      <c r="W93" s="141"/>
      <c r="X93" s="141"/>
      <c r="Y93" s="141"/>
      <c r="Z93" s="141"/>
    </row>
    <row r="94" ht="12.75" customHeight="1" spans="1:26">
      <c r="A94" s="132"/>
      <c r="B94" s="140" t="s">
        <v>110</v>
      </c>
      <c r="C94" s="132" t="s">
        <v>200</v>
      </c>
      <c r="D94" s="139" t="s">
        <v>201</v>
      </c>
      <c r="E94" s="140">
        <v>11</v>
      </c>
      <c r="F94" s="132">
        <v>14</v>
      </c>
      <c r="G94" s="132">
        <v>0</v>
      </c>
      <c r="H94" s="139" t="s">
        <v>11</v>
      </c>
      <c r="I94" s="140">
        <v>57</v>
      </c>
      <c r="J94" s="132">
        <v>31</v>
      </c>
      <c r="K94" s="132">
        <v>0</v>
      </c>
      <c r="L94" s="139" t="s">
        <v>52</v>
      </c>
      <c r="M94" s="132"/>
      <c r="N94" s="141"/>
      <c r="O94" s="141"/>
      <c r="P94" s="141"/>
      <c r="Q94" s="141"/>
      <c r="R94" s="141"/>
      <c r="S94" s="141"/>
      <c r="T94" s="141"/>
      <c r="U94" s="141"/>
      <c r="V94" s="141"/>
      <c r="W94" s="141"/>
      <c r="X94" s="141"/>
      <c r="Y94" s="141"/>
      <c r="Z94" s="141"/>
    </row>
    <row r="95" ht="12.75" customHeight="1" spans="1:26">
      <c r="A95" s="132"/>
      <c r="B95" s="140" t="s">
        <v>110</v>
      </c>
      <c r="C95" s="132" t="s">
        <v>202</v>
      </c>
      <c r="D95" s="139" t="s">
        <v>203</v>
      </c>
      <c r="E95" s="140">
        <v>7</v>
      </c>
      <c r="F95" s="132">
        <v>13</v>
      </c>
      <c r="G95" s="132">
        <v>5</v>
      </c>
      <c r="H95" s="139" t="s">
        <v>11</v>
      </c>
      <c r="I95" s="140">
        <v>39</v>
      </c>
      <c r="J95" s="132">
        <v>16</v>
      </c>
      <c r="K95" s="132">
        <v>5</v>
      </c>
      <c r="L95" s="139" t="s">
        <v>52</v>
      </c>
      <c r="M95" s="132"/>
      <c r="N95" s="141"/>
      <c r="O95" s="141"/>
      <c r="P95" s="141"/>
      <c r="Q95" s="141"/>
      <c r="R95" s="141"/>
      <c r="S95" s="141"/>
      <c r="T95" s="141"/>
      <c r="U95" s="141"/>
      <c r="V95" s="141"/>
      <c r="W95" s="141"/>
      <c r="X95" s="141"/>
      <c r="Y95" s="141"/>
      <c r="Z95" s="141"/>
    </row>
    <row r="96" ht="12.75" customHeight="1" spans="1:26">
      <c r="A96" s="132"/>
      <c r="B96" s="140" t="s">
        <v>110</v>
      </c>
      <c r="C96" s="132" t="s">
        <v>204</v>
      </c>
      <c r="D96" s="139" t="s">
        <v>205</v>
      </c>
      <c r="E96" s="140">
        <v>11</v>
      </c>
      <c r="F96" s="132">
        <v>30</v>
      </c>
      <c r="G96" s="132">
        <v>1</v>
      </c>
      <c r="H96" s="139" t="s">
        <v>11</v>
      </c>
      <c r="I96" s="140">
        <v>58</v>
      </c>
      <c r="J96" s="132">
        <v>53</v>
      </c>
      <c r="K96" s="132">
        <v>2</v>
      </c>
      <c r="L96" s="139" t="s">
        <v>52</v>
      </c>
      <c r="M96" s="132"/>
      <c r="N96" s="141"/>
      <c r="O96" s="141"/>
      <c r="P96" s="141"/>
      <c r="Q96" s="141"/>
      <c r="R96" s="141"/>
      <c r="S96" s="141"/>
      <c r="T96" s="141"/>
      <c r="U96" s="141"/>
      <c r="V96" s="141"/>
      <c r="W96" s="141"/>
      <c r="X96" s="141"/>
      <c r="Y96" s="141"/>
      <c r="Z96" s="141"/>
    </row>
    <row r="97" ht="12.75" customHeight="1" spans="1:26">
      <c r="A97" s="132"/>
      <c r="B97" s="140" t="s">
        <v>110</v>
      </c>
      <c r="C97" s="132" t="s">
        <v>206</v>
      </c>
      <c r="D97" s="139" t="s">
        <v>207</v>
      </c>
      <c r="E97" s="140">
        <v>21</v>
      </c>
      <c r="F97" s="132">
        <v>47</v>
      </c>
      <c r="G97" s="132">
        <v>29</v>
      </c>
      <c r="H97" s="139" t="s">
        <v>11</v>
      </c>
      <c r="I97" s="140">
        <v>43</v>
      </c>
      <c r="J97" s="132">
        <v>23</v>
      </c>
      <c r="K97" s="132">
        <v>12</v>
      </c>
      <c r="L97" s="139" t="s">
        <v>52</v>
      </c>
      <c r="M97" s="132"/>
      <c r="N97" s="141"/>
      <c r="O97" s="141"/>
      <c r="P97" s="141"/>
      <c r="Q97" s="141"/>
      <c r="R97" s="141"/>
      <c r="S97" s="141"/>
      <c r="T97" s="141"/>
      <c r="U97" s="141"/>
      <c r="V97" s="141"/>
      <c r="W97" s="141"/>
      <c r="X97" s="141"/>
      <c r="Y97" s="141"/>
      <c r="Z97" s="141"/>
    </row>
    <row r="98" ht="12.75" customHeight="1" spans="1:26">
      <c r="A98" s="132"/>
      <c r="B98" s="140" t="s">
        <v>110</v>
      </c>
      <c r="C98" s="132" t="s">
        <v>208</v>
      </c>
      <c r="D98" s="139" t="s">
        <v>209</v>
      </c>
      <c r="E98" s="140">
        <v>23</v>
      </c>
      <c r="F98" s="132">
        <v>20</v>
      </c>
      <c r="G98" s="132">
        <v>0</v>
      </c>
      <c r="H98" s="139" t="s">
        <v>11</v>
      </c>
      <c r="I98" s="140">
        <v>51</v>
      </c>
      <c r="J98" s="132">
        <v>8</v>
      </c>
      <c r="K98" s="132">
        <v>0</v>
      </c>
      <c r="L98" s="139" t="s">
        <v>52</v>
      </c>
      <c r="M98" s="132"/>
      <c r="N98" s="141"/>
      <c r="O98" s="141"/>
      <c r="P98" s="141"/>
      <c r="Q98" s="141"/>
      <c r="R98" s="141"/>
      <c r="S98" s="141"/>
      <c r="T98" s="141"/>
      <c r="U98" s="141"/>
      <c r="V98" s="141"/>
      <c r="W98" s="141"/>
      <c r="X98" s="141"/>
      <c r="Y98" s="141"/>
      <c r="Z98" s="141"/>
    </row>
    <row r="99" ht="12.75" customHeight="1" spans="1:26">
      <c r="A99" s="132"/>
      <c r="B99" s="140" t="s">
        <v>110</v>
      </c>
      <c r="C99" s="132" t="s">
        <v>210</v>
      </c>
      <c r="D99" s="139" t="s">
        <v>211</v>
      </c>
      <c r="E99" s="140">
        <v>0</v>
      </c>
      <c r="F99" s="132">
        <v>3</v>
      </c>
      <c r="G99" s="132">
        <v>3</v>
      </c>
      <c r="H99" s="139" t="s">
        <v>18</v>
      </c>
      <c r="I99" s="140">
        <v>51</v>
      </c>
      <c r="J99" s="132">
        <v>4</v>
      </c>
      <c r="K99" s="132">
        <v>20</v>
      </c>
      <c r="L99" s="139" t="s">
        <v>52</v>
      </c>
      <c r="M99" s="132"/>
      <c r="N99" s="141"/>
      <c r="O99" s="141"/>
      <c r="P99" s="141"/>
      <c r="Q99" s="141"/>
      <c r="R99" s="141"/>
      <c r="S99" s="141"/>
      <c r="T99" s="141"/>
      <c r="U99" s="141"/>
      <c r="V99" s="141"/>
      <c r="W99" s="141"/>
      <c r="X99" s="141"/>
      <c r="Y99" s="141"/>
      <c r="Z99" s="141"/>
    </row>
    <row r="100" ht="12.75" customHeight="1" spans="1:26">
      <c r="A100" s="132"/>
      <c r="B100" s="140" t="s">
        <v>110</v>
      </c>
      <c r="C100" s="132" t="s">
        <v>212</v>
      </c>
      <c r="D100" s="139" t="s">
        <v>213</v>
      </c>
      <c r="E100" s="140">
        <v>9</v>
      </c>
      <c r="F100" s="132">
        <v>30</v>
      </c>
      <c r="G100" s="132">
        <v>39</v>
      </c>
      <c r="H100" s="139" t="s">
        <v>11</v>
      </c>
      <c r="I100" s="140">
        <v>35</v>
      </c>
      <c r="J100" s="132">
        <v>47</v>
      </c>
      <c r="K100" s="132">
        <v>30</v>
      </c>
      <c r="L100" s="139" t="s">
        <v>52</v>
      </c>
      <c r="M100" s="132"/>
      <c r="N100" s="141"/>
      <c r="O100" s="141"/>
      <c r="P100" s="141"/>
      <c r="Q100" s="141"/>
      <c r="R100" s="141"/>
      <c r="S100" s="141"/>
      <c r="T100" s="141"/>
      <c r="U100" s="141"/>
      <c r="V100" s="141"/>
      <c r="W100" s="141"/>
      <c r="X100" s="141"/>
      <c r="Y100" s="141"/>
      <c r="Z100" s="141"/>
    </row>
    <row r="101" ht="12.75" customHeight="1" spans="1:26">
      <c r="A101" s="132"/>
      <c r="B101" s="140" t="s">
        <v>110</v>
      </c>
      <c r="C101" s="132" t="s">
        <v>214</v>
      </c>
      <c r="D101" s="139" t="s">
        <v>215</v>
      </c>
      <c r="E101" s="140">
        <v>3</v>
      </c>
      <c r="F101" s="132">
        <v>2</v>
      </c>
      <c r="G101" s="132">
        <v>19</v>
      </c>
      <c r="H101" s="139" t="s">
        <v>11</v>
      </c>
      <c r="I101" s="140">
        <v>60</v>
      </c>
      <c r="J101" s="132">
        <v>2</v>
      </c>
      <c r="K101" s="132">
        <v>50</v>
      </c>
      <c r="L101" s="139" t="s">
        <v>52</v>
      </c>
      <c r="M101" s="132"/>
      <c r="N101" s="141"/>
      <c r="O101" s="141"/>
      <c r="P101" s="141"/>
      <c r="Q101" s="141"/>
      <c r="R101" s="141"/>
      <c r="S101" s="141"/>
      <c r="T101" s="141"/>
      <c r="U101" s="141"/>
      <c r="V101" s="141"/>
      <c r="W101" s="141"/>
      <c r="X101" s="141"/>
      <c r="Y101" s="141"/>
      <c r="Z101" s="141"/>
    </row>
    <row r="102" ht="12.75" customHeight="1" spans="1:26">
      <c r="A102" s="132"/>
      <c r="B102" s="140" t="s">
        <v>110</v>
      </c>
      <c r="C102" s="132" t="s">
        <v>216</v>
      </c>
      <c r="D102" s="139" t="s">
        <v>217</v>
      </c>
      <c r="E102" s="140">
        <v>5</v>
      </c>
      <c r="F102" s="132">
        <v>22</v>
      </c>
      <c r="G102" s="132">
        <v>0</v>
      </c>
      <c r="H102" s="139" t="s">
        <v>11</v>
      </c>
      <c r="I102" s="140">
        <v>49</v>
      </c>
      <c r="J102" s="132">
        <v>10</v>
      </c>
      <c r="K102" s="132">
        <v>0</v>
      </c>
      <c r="L102" s="139" t="s">
        <v>52</v>
      </c>
      <c r="M102" s="132"/>
      <c r="N102" s="141"/>
      <c r="O102" s="141"/>
      <c r="P102" s="141"/>
      <c r="Q102" s="141"/>
      <c r="R102" s="141"/>
      <c r="S102" s="141"/>
      <c r="T102" s="141"/>
      <c r="U102" s="141"/>
      <c r="V102" s="141"/>
      <c r="W102" s="141"/>
      <c r="X102" s="141"/>
      <c r="Y102" s="141"/>
      <c r="Z102" s="141"/>
    </row>
    <row r="103" ht="12.75" customHeight="1" spans="1:26">
      <c r="A103" s="132"/>
      <c r="B103" s="140" t="s">
        <v>110</v>
      </c>
      <c r="C103" s="132" t="s">
        <v>218</v>
      </c>
      <c r="D103" s="139" t="s">
        <v>219</v>
      </c>
      <c r="E103" s="140">
        <v>22</v>
      </c>
      <c r="F103" s="132">
        <v>13</v>
      </c>
      <c r="G103" s="132">
        <v>0</v>
      </c>
      <c r="H103" s="139" t="s">
        <v>11</v>
      </c>
      <c r="I103" s="140">
        <v>49</v>
      </c>
      <c r="J103" s="132">
        <v>56</v>
      </c>
      <c r="K103" s="132">
        <v>0</v>
      </c>
      <c r="L103" s="139" t="s">
        <v>52</v>
      </c>
      <c r="M103" s="132"/>
      <c r="N103" s="141"/>
      <c r="O103" s="141"/>
      <c r="P103" s="141"/>
      <c r="Q103" s="141"/>
      <c r="R103" s="141"/>
      <c r="S103" s="141"/>
      <c r="T103" s="141"/>
      <c r="U103" s="141"/>
      <c r="V103" s="141"/>
      <c r="W103" s="141"/>
      <c r="X103" s="141"/>
      <c r="Y103" s="141"/>
      <c r="Z103" s="141"/>
    </row>
    <row r="104" ht="12.75" customHeight="1" spans="1:26">
      <c r="A104" s="132"/>
      <c r="B104" s="140" t="s">
        <v>110</v>
      </c>
      <c r="C104" s="132" t="s">
        <v>220</v>
      </c>
      <c r="D104" s="139" t="s">
        <v>221</v>
      </c>
      <c r="E104" s="140">
        <v>23</v>
      </c>
      <c r="F104" s="132">
        <v>25</v>
      </c>
      <c r="G104" s="132">
        <v>0</v>
      </c>
      <c r="H104" s="139" t="s">
        <v>11</v>
      </c>
      <c r="I104" s="140">
        <v>51</v>
      </c>
      <c r="J104" s="132">
        <v>58</v>
      </c>
      <c r="K104" s="132">
        <v>0</v>
      </c>
      <c r="L104" s="139" t="s">
        <v>52</v>
      </c>
      <c r="M104" s="132"/>
      <c r="N104" s="141"/>
      <c r="O104" s="141"/>
      <c r="P104" s="141"/>
      <c r="Q104" s="141"/>
      <c r="R104" s="141"/>
      <c r="S104" s="141"/>
      <c r="T104" s="141"/>
      <c r="U104" s="141"/>
      <c r="V104" s="141"/>
      <c r="W104" s="141"/>
      <c r="X104" s="141"/>
      <c r="Y104" s="141"/>
      <c r="Z104" s="141"/>
    </row>
    <row r="105" ht="12.75" customHeight="1" spans="1:26">
      <c r="A105" s="132"/>
      <c r="B105" s="140" t="s">
        <v>110</v>
      </c>
      <c r="C105" s="132" t="s">
        <v>222</v>
      </c>
      <c r="D105" s="139" t="s">
        <v>223</v>
      </c>
      <c r="E105" s="140">
        <v>13</v>
      </c>
      <c r="F105" s="132">
        <v>32</v>
      </c>
      <c r="G105" s="132">
        <v>0</v>
      </c>
      <c r="H105" s="139" t="s">
        <v>11</v>
      </c>
      <c r="I105" s="140">
        <v>48</v>
      </c>
      <c r="J105" s="132">
        <v>14</v>
      </c>
      <c r="K105" s="132">
        <v>0</v>
      </c>
      <c r="L105" s="139" t="s">
        <v>52</v>
      </c>
      <c r="M105" s="132"/>
      <c r="N105" s="141"/>
      <c r="O105" s="141"/>
      <c r="P105" s="141"/>
      <c r="Q105" s="141"/>
      <c r="R105" s="141"/>
      <c r="S105" s="141"/>
      <c r="T105" s="141"/>
      <c r="U105" s="141"/>
      <c r="V105" s="141"/>
      <c r="W105" s="141"/>
      <c r="X105" s="141"/>
      <c r="Y105" s="141"/>
      <c r="Z105" s="141"/>
    </row>
    <row r="106" ht="12.75" customHeight="1" spans="1:26">
      <c r="A106" s="132"/>
      <c r="B106" s="140" t="s">
        <v>110</v>
      </c>
      <c r="C106" s="132" t="s">
        <v>224</v>
      </c>
      <c r="D106" s="139" t="s">
        <v>225</v>
      </c>
      <c r="E106" s="140">
        <v>16</v>
      </c>
      <c r="F106" s="132">
        <v>43</v>
      </c>
      <c r="G106" s="132">
        <v>0</v>
      </c>
      <c r="H106" s="139" t="s">
        <v>11</v>
      </c>
      <c r="I106" s="140">
        <v>43</v>
      </c>
      <c r="J106" s="132">
        <v>49</v>
      </c>
      <c r="K106" s="132">
        <v>0</v>
      </c>
      <c r="L106" s="139" t="s">
        <v>52</v>
      </c>
      <c r="M106" s="132"/>
      <c r="N106" s="141"/>
      <c r="O106" s="141"/>
      <c r="P106" s="141"/>
      <c r="Q106" s="141"/>
      <c r="R106" s="141"/>
      <c r="S106" s="141"/>
      <c r="T106" s="141"/>
      <c r="U106" s="141"/>
      <c r="V106" s="141"/>
      <c r="W106" s="141"/>
      <c r="X106" s="141"/>
      <c r="Y106" s="141"/>
      <c r="Z106" s="141"/>
    </row>
    <row r="107" ht="12.75" customHeight="1" spans="1:26">
      <c r="A107" s="132"/>
      <c r="B107" s="140" t="s">
        <v>110</v>
      </c>
      <c r="C107" s="132" t="s">
        <v>226</v>
      </c>
      <c r="D107" s="139" t="s">
        <v>227</v>
      </c>
      <c r="E107" s="140">
        <v>5</v>
      </c>
      <c r="F107" s="132">
        <v>54</v>
      </c>
      <c r="G107" s="132">
        <v>41</v>
      </c>
      <c r="H107" s="139" t="s">
        <v>11</v>
      </c>
      <c r="I107" s="140">
        <v>35</v>
      </c>
      <c r="J107" s="132">
        <v>14</v>
      </c>
      <c r="K107" s="132">
        <v>52</v>
      </c>
      <c r="L107" s="139" t="s">
        <v>52</v>
      </c>
      <c r="M107" s="132"/>
      <c r="N107" s="141"/>
      <c r="O107" s="141"/>
      <c r="P107" s="141"/>
      <c r="Q107" s="141"/>
      <c r="R107" s="141"/>
      <c r="S107" s="141"/>
      <c r="T107" s="141"/>
      <c r="U107" s="141"/>
      <c r="V107" s="141"/>
      <c r="W107" s="141"/>
      <c r="X107" s="141"/>
      <c r="Y107" s="141"/>
      <c r="Z107" s="141"/>
    </row>
    <row r="108" ht="12.75" customHeight="1" spans="1:26">
      <c r="A108" s="132"/>
      <c r="B108" s="140" t="s">
        <v>110</v>
      </c>
      <c r="C108" s="132" t="s">
        <v>228</v>
      </c>
      <c r="D108" s="139" t="s">
        <v>229</v>
      </c>
      <c r="E108" s="140">
        <v>26</v>
      </c>
      <c r="F108" s="132">
        <v>52</v>
      </c>
      <c r="G108" s="132">
        <v>48</v>
      </c>
      <c r="H108" s="139" t="s">
        <v>11</v>
      </c>
      <c r="I108" s="140">
        <v>48</v>
      </c>
      <c r="J108" s="132">
        <v>39</v>
      </c>
      <c r="K108" s="132">
        <v>5</v>
      </c>
      <c r="L108" s="139" t="s">
        <v>52</v>
      </c>
      <c r="M108" s="132"/>
      <c r="N108" s="141"/>
      <c r="O108" s="141"/>
      <c r="P108" s="141"/>
      <c r="Q108" s="141"/>
      <c r="R108" s="141"/>
      <c r="S108" s="141"/>
      <c r="T108" s="141"/>
      <c r="U108" s="141"/>
      <c r="V108" s="141"/>
      <c r="W108" s="141"/>
      <c r="X108" s="141"/>
      <c r="Y108" s="141"/>
      <c r="Z108" s="141"/>
    </row>
    <row r="109" ht="12.75" customHeight="1" spans="1:26">
      <c r="A109" s="132"/>
      <c r="B109" s="140" t="s">
        <v>110</v>
      </c>
      <c r="C109" s="132" t="s">
        <v>230</v>
      </c>
      <c r="D109" s="139" t="s">
        <v>231</v>
      </c>
      <c r="E109" s="140">
        <v>6</v>
      </c>
      <c r="F109" s="132">
        <v>45</v>
      </c>
      <c r="G109" s="132">
        <v>44</v>
      </c>
      <c r="H109" s="139" t="s">
        <v>11</v>
      </c>
      <c r="I109" s="140">
        <v>51</v>
      </c>
      <c r="J109" s="132">
        <v>3</v>
      </c>
      <c r="K109" s="132">
        <v>0</v>
      </c>
      <c r="L109" s="139" t="s">
        <v>52</v>
      </c>
      <c r="M109" s="132"/>
      <c r="N109" s="141"/>
      <c r="O109" s="141"/>
      <c r="P109" s="141"/>
      <c r="Q109" s="141"/>
      <c r="R109" s="141"/>
      <c r="S109" s="141"/>
      <c r="T109" s="141"/>
      <c r="U109" s="141"/>
      <c r="V109" s="141"/>
      <c r="W109" s="141"/>
      <c r="X109" s="141"/>
      <c r="Y109" s="141"/>
      <c r="Z109" s="141"/>
    </row>
    <row r="110" ht="12.75" customHeight="1" spans="1:26">
      <c r="A110" s="132"/>
      <c r="B110" s="140" t="s">
        <v>110</v>
      </c>
      <c r="C110" s="132" t="s">
        <v>232</v>
      </c>
      <c r="D110" s="139" t="s">
        <v>233</v>
      </c>
      <c r="E110" s="140">
        <v>10</v>
      </c>
      <c r="F110" s="132">
        <v>17</v>
      </c>
      <c r="G110" s="132">
        <v>24</v>
      </c>
      <c r="H110" s="139" t="s">
        <v>11</v>
      </c>
      <c r="I110" s="140">
        <v>48</v>
      </c>
      <c r="J110" s="132">
        <v>21</v>
      </c>
      <c r="K110" s="132">
        <v>28</v>
      </c>
      <c r="L110" s="139" t="s">
        <v>52</v>
      </c>
      <c r="M110" s="132"/>
      <c r="N110" s="141"/>
      <c r="O110" s="141"/>
      <c r="P110" s="141"/>
      <c r="Q110" s="141"/>
      <c r="R110" s="141"/>
      <c r="S110" s="141"/>
      <c r="T110" s="141"/>
      <c r="U110" s="141"/>
      <c r="V110" s="141"/>
      <c r="W110" s="141"/>
      <c r="X110" s="141"/>
      <c r="Y110" s="141"/>
      <c r="Z110" s="141"/>
    </row>
    <row r="111" ht="12.75" customHeight="1" spans="1:26">
      <c r="A111" s="132"/>
      <c r="B111" s="140" t="s">
        <v>110</v>
      </c>
      <c r="C111" s="132" t="s">
        <v>234</v>
      </c>
      <c r="D111" s="139" t="s">
        <v>235</v>
      </c>
      <c r="E111" s="140">
        <v>2</v>
      </c>
      <c r="F111" s="132">
        <v>54</v>
      </c>
      <c r="G111" s="132">
        <v>0</v>
      </c>
      <c r="H111" s="139" t="s">
        <v>11</v>
      </c>
      <c r="I111" s="140">
        <v>41</v>
      </c>
      <c r="J111" s="132">
        <v>46</v>
      </c>
      <c r="K111" s="132">
        <v>0</v>
      </c>
      <c r="L111" s="139" t="s">
        <v>52</v>
      </c>
      <c r="M111" s="132"/>
      <c r="N111" s="141"/>
      <c r="O111" s="141"/>
      <c r="P111" s="141"/>
      <c r="Q111" s="141"/>
      <c r="R111" s="141"/>
      <c r="S111" s="141"/>
      <c r="T111" s="141"/>
      <c r="U111" s="141"/>
      <c r="V111" s="141"/>
      <c r="W111" s="141"/>
      <c r="X111" s="141"/>
      <c r="Y111" s="141"/>
      <c r="Z111" s="141"/>
    </row>
    <row r="112" ht="12.75" customHeight="1" spans="1:26">
      <c r="A112" s="132"/>
      <c r="B112" s="140" t="s">
        <v>110</v>
      </c>
      <c r="C112" s="132" t="s">
        <v>236</v>
      </c>
      <c r="D112" s="139" t="s">
        <v>237</v>
      </c>
      <c r="E112" s="140">
        <v>28</v>
      </c>
      <c r="F112" s="132">
        <v>15</v>
      </c>
      <c r="G112" s="132">
        <v>0</v>
      </c>
      <c r="H112" s="139" t="s">
        <v>11</v>
      </c>
      <c r="I112" s="140">
        <v>52</v>
      </c>
      <c r="J112" s="132">
        <v>20</v>
      </c>
      <c r="K112" s="132">
        <v>0</v>
      </c>
      <c r="L112" s="139" t="s">
        <v>52</v>
      </c>
      <c r="M112" s="132"/>
      <c r="N112" s="141"/>
      <c r="O112" s="141"/>
      <c r="P112" s="141"/>
      <c r="Q112" s="141"/>
      <c r="R112" s="141"/>
      <c r="S112" s="141"/>
      <c r="T112" s="141"/>
      <c r="U112" s="141"/>
      <c r="V112" s="141"/>
      <c r="W112" s="141"/>
      <c r="X112" s="141"/>
      <c r="Y112" s="141"/>
      <c r="Z112" s="141"/>
    </row>
    <row r="113" ht="12.75" customHeight="1" spans="1:26">
      <c r="A113" s="132"/>
      <c r="B113" s="140" t="s">
        <v>110</v>
      </c>
      <c r="C113" s="132" t="s">
        <v>238</v>
      </c>
      <c r="D113" s="139" t="s">
        <v>239</v>
      </c>
      <c r="E113" s="140">
        <v>18</v>
      </c>
      <c r="F113" s="132">
        <v>40</v>
      </c>
      <c r="G113" s="132">
        <v>23</v>
      </c>
      <c r="H113" s="139" t="s">
        <v>11</v>
      </c>
      <c r="I113" s="140">
        <v>46</v>
      </c>
      <c r="J113" s="132">
        <v>29</v>
      </c>
      <c r="K113" s="132">
        <v>34</v>
      </c>
      <c r="L113" s="139" t="s">
        <v>52</v>
      </c>
      <c r="M113" s="132"/>
      <c r="N113" s="141"/>
      <c r="O113" s="141"/>
      <c r="P113" s="141"/>
      <c r="Q113" s="141"/>
      <c r="R113" s="141"/>
      <c r="S113" s="141"/>
      <c r="T113" s="141"/>
      <c r="U113" s="141"/>
      <c r="V113" s="141"/>
      <c r="W113" s="141"/>
      <c r="X113" s="141"/>
      <c r="Y113" s="141"/>
      <c r="Z113" s="141"/>
    </row>
    <row r="114" ht="12.75" customHeight="1" spans="1:26">
      <c r="A114" s="132"/>
      <c r="B114" s="140" t="s">
        <v>110</v>
      </c>
      <c r="C114" s="132" t="s">
        <v>240</v>
      </c>
      <c r="D114" s="139" t="s">
        <v>241</v>
      </c>
      <c r="E114" s="140">
        <v>31</v>
      </c>
      <c r="F114" s="132">
        <v>43</v>
      </c>
      <c r="G114" s="132">
        <v>6</v>
      </c>
      <c r="H114" s="139" t="s">
        <v>11</v>
      </c>
      <c r="I114" s="140">
        <v>52</v>
      </c>
      <c r="J114" s="132">
        <v>19</v>
      </c>
      <c r="K114" s="132">
        <v>40</v>
      </c>
      <c r="L114" s="139" t="s">
        <v>52</v>
      </c>
      <c r="M114" s="132"/>
      <c r="N114" s="141"/>
      <c r="O114" s="141"/>
      <c r="P114" s="141"/>
      <c r="Q114" s="141"/>
      <c r="R114" s="141"/>
      <c r="S114" s="141"/>
      <c r="T114" s="141"/>
      <c r="U114" s="141"/>
      <c r="V114" s="141"/>
      <c r="W114" s="141"/>
      <c r="X114" s="141"/>
      <c r="Y114" s="141"/>
      <c r="Z114" s="141"/>
    </row>
    <row r="115" ht="12.75" customHeight="1" spans="1:26">
      <c r="A115" s="132"/>
      <c r="B115" s="140" t="s">
        <v>110</v>
      </c>
      <c r="C115" s="132" t="s">
        <v>242</v>
      </c>
      <c r="D115" s="139" t="s">
        <v>243</v>
      </c>
      <c r="E115" s="140">
        <v>9</v>
      </c>
      <c r="F115" s="132">
        <v>21</v>
      </c>
      <c r="G115" s="132">
        <v>45</v>
      </c>
      <c r="H115" s="139" t="s">
        <v>11</v>
      </c>
      <c r="I115" s="140">
        <v>40</v>
      </c>
      <c r="J115" s="132">
        <v>34</v>
      </c>
      <c r="K115" s="132">
        <v>9</v>
      </c>
      <c r="L115" s="139" t="s">
        <v>52</v>
      </c>
      <c r="M115" s="132"/>
      <c r="N115" s="141"/>
      <c r="O115" s="141"/>
      <c r="P115" s="141"/>
      <c r="Q115" s="141"/>
      <c r="R115" s="141"/>
      <c r="S115" s="141"/>
      <c r="T115" s="141"/>
      <c r="U115" s="141"/>
      <c r="V115" s="141"/>
      <c r="W115" s="141"/>
      <c r="X115" s="141"/>
      <c r="Y115" s="141"/>
      <c r="Z115" s="141"/>
    </row>
    <row r="116" ht="12.75" customHeight="1" spans="1:26">
      <c r="A116" s="132"/>
      <c r="B116" s="140" t="s">
        <v>110</v>
      </c>
      <c r="C116" s="132" t="s">
        <v>244</v>
      </c>
      <c r="D116" s="139" t="s">
        <v>245</v>
      </c>
      <c r="E116" s="140">
        <v>22</v>
      </c>
      <c r="F116" s="132">
        <v>32</v>
      </c>
      <c r="G116" s="132">
        <v>0</v>
      </c>
      <c r="H116" s="139" t="s">
        <v>11</v>
      </c>
      <c r="I116" s="140">
        <v>55</v>
      </c>
      <c r="J116" s="132">
        <v>44</v>
      </c>
      <c r="K116" s="132">
        <v>0</v>
      </c>
      <c r="L116" s="139" t="s">
        <v>52</v>
      </c>
      <c r="M116" s="132"/>
      <c r="N116" s="141"/>
      <c r="O116" s="141"/>
      <c r="P116" s="141"/>
      <c r="Q116" s="141"/>
      <c r="R116" s="141"/>
      <c r="S116" s="141"/>
      <c r="T116" s="141"/>
      <c r="U116" s="141"/>
      <c r="V116" s="141"/>
      <c r="W116" s="141"/>
      <c r="X116" s="141"/>
      <c r="Y116" s="141"/>
      <c r="Z116" s="141"/>
    </row>
    <row r="117" ht="12.75" customHeight="1" spans="1:26">
      <c r="A117" s="132"/>
      <c r="B117" s="140" t="s">
        <v>110</v>
      </c>
      <c r="C117" s="132" t="s">
        <v>246</v>
      </c>
      <c r="D117" s="139" t="s">
        <v>247</v>
      </c>
      <c r="E117" s="140">
        <v>29</v>
      </c>
      <c r="F117" s="132">
        <v>59</v>
      </c>
      <c r="G117" s="132">
        <v>4</v>
      </c>
      <c r="H117" s="139" t="s">
        <v>11</v>
      </c>
      <c r="I117" s="140">
        <v>51</v>
      </c>
      <c r="J117" s="132">
        <v>10</v>
      </c>
      <c r="K117" s="132">
        <v>17</v>
      </c>
      <c r="L117" s="139" t="s">
        <v>52</v>
      </c>
      <c r="M117" s="132"/>
      <c r="N117" s="141"/>
      <c r="O117" s="141"/>
      <c r="P117" s="141"/>
      <c r="Q117" s="141"/>
      <c r="R117" s="141"/>
      <c r="S117" s="141"/>
      <c r="T117" s="141"/>
      <c r="U117" s="141"/>
      <c r="V117" s="141"/>
      <c r="W117" s="141"/>
      <c r="X117" s="141"/>
      <c r="Y117" s="141"/>
      <c r="Z117" s="141"/>
    </row>
    <row r="118" ht="12.75" customHeight="1" spans="1:26">
      <c r="A118" s="132"/>
      <c r="B118" s="140" t="s">
        <v>110</v>
      </c>
      <c r="C118" s="132" t="s">
        <v>248</v>
      </c>
      <c r="D118" s="139" t="s">
        <v>249</v>
      </c>
      <c r="E118" s="140">
        <v>16</v>
      </c>
      <c r="F118" s="132">
        <v>26</v>
      </c>
      <c r="G118" s="132">
        <v>19</v>
      </c>
      <c r="H118" s="139" t="s">
        <v>11</v>
      </c>
      <c r="I118" s="140">
        <v>39</v>
      </c>
      <c r="J118" s="132">
        <v>4</v>
      </c>
      <c r="K118" s="132">
        <v>51</v>
      </c>
      <c r="L118" s="139" t="s">
        <v>52</v>
      </c>
      <c r="M118" s="132"/>
      <c r="N118" s="141"/>
      <c r="O118" s="141"/>
      <c r="P118" s="141"/>
      <c r="Q118" s="141"/>
      <c r="R118" s="141"/>
      <c r="S118" s="141"/>
      <c r="T118" s="141"/>
      <c r="U118" s="141"/>
      <c r="V118" s="141"/>
      <c r="W118" s="141"/>
      <c r="X118" s="141"/>
      <c r="Y118" s="141"/>
      <c r="Z118" s="141"/>
    </row>
    <row r="119" ht="12.75" customHeight="1" spans="1:26">
      <c r="A119" s="132"/>
      <c r="B119" s="140" t="s">
        <v>110</v>
      </c>
      <c r="C119" s="132" t="s">
        <v>250</v>
      </c>
      <c r="D119" s="139" t="s">
        <v>251</v>
      </c>
      <c r="E119" s="140">
        <v>8</v>
      </c>
      <c r="F119" s="132">
        <v>42</v>
      </c>
      <c r="G119" s="132">
        <v>33</v>
      </c>
      <c r="H119" s="139" t="s">
        <v>11</v>
      </c>
      <c r="I119" s="140">
        <v>63</v>
      </c>
      <c r="J119" s="132">
        <v>54</v>
      </c>
      <c r="K119" s="132">
        <v>8</v>
      </c>
      <c r="L119" s="139" t="s">
        <v>52</v>
      </c>
      <c r="M119" s="132"/>
      <c r="N119" s="141"/>
      <c r="O119" s="141"/>
      <c r="P119" s="141"/>
      <c r="Q119" s="141"/>
      <c r="R119" s="141"/>
      <c r="S119" s="141"/>
      <c r="T119" s="141"/>
      <c r="U119" s="141"/>
      <c r="V119" s="141"/>
      <c r="W119" s="141"/>
      <c r="X119" s="141"/>
      <c r="Y119" s="141"/>
      <c r="Z119" s="141"/>
    </row>
    <row r="120" ht="12.75" customHeight="1" spans="1:26">
      <c r="A120" s="132"/>
      <c r="B120" s="140" t="s">
        <v>110</v>
      </c>
      <c r="C120" s="132" t="s">
        <v>252</v>
      </c>
      <c r="D120" s="139" t="s">
        <v>253</v>
      </c>
      <c r="E120" s="140">
        <v>22</v>
      </c>
      <c r="F120" s="132">
        <v>10</v>
      </c>
      <c r="G120" s="132">
        <v>40</v>
      </c>
      <c r="H120" s="139" t="s">
        <v>11</v>
      </c>
      <c r="I120" s="140">
        <v>51</v>
      </c>
      <c r="J120" s="132">
        <v>25</v>
      </c>
      <c r="K120" s="132">
        <v>6</v>
      </c>
      <c r="L120" s="139" t="s">
        <v>52</v>
      </c>
      <c r="M120" s="132"/>
      <c r="N120" s="141"/>
      <c r="O120" s="141"/>
      <c r="P120" s="141"/>
      <c r="Q120" s="141"/>
      <c r="R120" s="141"/>
      <c r="S120" s="141"/>
      <c r="T120" s="141"/>
      <c r="U120" s="141"/>
      <c r="V120" s="141"/>
      <c r="W120" s="141"/>
      <c r="X120" s="141"/>
      <c r="Y120" s="141"/>
      <c r="Z120" s="141"/>
    </row>
    <row r="121" ht="12.75" customHeight="1" spans="1:26">
      <c r="A121" s="132"/>
      <c r="B121" s="140" t="s">
        <v>110</v>
      </c>
      <c r="C121" s="132" t="s">
        <v>254</v>
      </c>
      <c r="D121" s="139" t="s">
        <v>255</v>
      </c>
      <c r="E121" s="140">
        <v>8</v>
      </c>
      <c r="F121" s="132">
        <v>7</v>
      </c>
      <c r="G121" s="132">
        <v>33</v>
      </c>
      <c r="H121" s="139" t="s">
        <v>11</v>
      </c>
      <c r="I121" s="140">
        <v>34</v>
      </c>
      <c r="J121" s="132">
        <v>55</v>
      </c>
      <c r="K121" s="132">
        <v>26</v>
      </c>
      <c r="L121" s="139" t="s">
        <v>52</v>
      </c>
      <c r="M121" s="132"/>
      <c r="N121" s="141"/>
      <c r="O121" s="141"/>
      <c r="P121" s="141"/>
      <c r="Q121" s="141"/>
      <c r="R121" s="141"/>
      <c r="S121" s="141"/>
      <c r="T121" s="141"/>
      <c r="U121" s="141"/>
      <c r="V121" s="141"/>
      <c r="W121" s="141"/>
      <c r="X121" s="141"/>
      <c r="Y121" s="141"/>
      <c r="Z121" s="141"/>
    </row>
    <row r="122" ht="12.75" customHeight="1" spans="1:26">
      <c r="A122" s="132"/>
      <c r="B122" s="140" t="s">
        <v>110</v>
      </c>
      <c r="C122" s="132" t="s">
        <v>256</v>
      </c>
      <c r="D122" s="139" t="s">
        <v>257</v>
      </c>
      <c r="E122" s="140">
        <v>8</v>
      </c>
      <c r="F122" s="132">
        <v>1</v>
      </c>
      <c r="G122" s="132">
        <v>49</v>
      </c>
      <c r="H122" s="139" t="s">
        <v>11</v>
      </c>
      <c r="I122" s="140">
        <v>49</v>
      </c>
      <c r="J122" s="132">
        <v>58</v>
      </c>
      <c r="K122" s="132">
        <v>48</v>
      </c>
      <c r="L122" s="139" t="s">
        <v>52</v>
      </c>
      <c r="M122" s="132"/>
      <c r="N122" s="141"/>
      <c r="O122" s="141"/>
      <c r="P122" s="141"/>
      <c r="Q122" s="141"/>
      <c r="R122" s="141"/>
      <c r="S122" s="141"/>
      <c r="T122" s="141"/>
      <c r="U122" s="141"/>
      <c r="V122" s="141"/>
      <c r="W122" s="141"/>
      <c r="X122" s="141"/>
      <c r="Y122" s="141"/>
      <c r="Z122" s="141"/>
    </row>
    <row r="123" ht="12.75" customHeight="1" spans="1:26">
      <c r="A123" s="132"/>
      <c r="B123" s="140" t="s">
        <v>110</v>
      </c>
      <c r="C123" s="132" t="s">
        <v>258</v>
      </c>
      <c r="D123" s="139" t="s">
        <v>259</v>
      </c>
      <c r="E123" s="140">
        <v>21</v>
      </c>
      <c r="F123" s="132">
        <v>8</v>
      </c>
      <c r="G123" s="132">
        <v>3</v>
      </c>
      <c r="H123" s="139" t="s">
        <v>11</v>
      </c>
      <c r="I123" s="140">
        <v>47</v>
      </c>
      <c r="J123" s="132">
        <v>46</v>
      </c>
      <c r="K123" s="132">
        <v>27</v>
      </c>
      <c r="L123" s="139" t="s">
        <v>52</v>
      </c>
      <c r="M123" s="132"/>
      <c r="N123" s="141"/>
      <c r="O123" s="141"/>
      <c r="P123" s="141"/>
      <c r="Q123" s="141"/>
      <c r="R123" s="141"/>
      <c r="S123" s="141"/>
      <c r="T123" s="141"/>
      <c r="U123" s="141"/>
      <c r="V123" s="141"/>
      <c r="W123" s="141"/>
      <c r="X123" s="141"/>
      <c r="Y123" s="141"/>
      <c r="Z123" s="141"/>
    </row>
    <row r="124" ht="12.75" customHeight="1" spans="1:26">
      <c r="A124" s="132"/>
      <c r="B124" s="140" t="s">
        <v>110</v>
      </c>
      <c r="C124" s="132" t="s">
        <v>260</v>
      </c>
      <c r="D124" s="139" t="s">
        <v>261</v>
      </c>
      <c r="E124" s="140">
        <v>9</v>
      </c>
      <c r="F124" s="132">
        <v>52</v>
      </c>
      <c r="G124" s="132">
        <v>9</v>
      </c>
      <c r="H124" s="139" t="s">
        <v>11</v>
      </c>
      <c r="I124" s="140">
        <v>67</v>
      </c>
      <c r="J124" s="132">
        <v>53</v>
      </c>
      <c r="K124" s="132">
        <v>39</v>
      </c>
      <c r="L124" s="139" t="s">
        <v>52</v>
      </c>
      <c r="M124" s="132"/>
      <c r="N124" s="141"/>
      <c r="O124" s="141"/>
      <c r="P124" s="141"/>
      <c r="Q124" s="141"/>
      <c r="R124" s="141"/>
      <c r="S124" s="141"/>
      <c r="T124" s="141"/>
      <c r="U124" s="141"/>
      <c r="V124" s="141"/>
      <c r="W124" s="141"/>
      <c r="X124" s="141"/>
      <c r="Y124" s="141"/>
      <c r="Z124" s="141"/>
    </row>
    <row r="125" ht="12.75" customHeight="1" spans="1:26">
      <c r="A125" s="132"/>
      <c r="B125" s="140" t="s">
        <v>110</v>
      </c>
      <c r="C125" s="132" t="s">
        <v>262</v>
      </c>
      <c r="D125" s="139" t="s">
        <v>263</v>
      </c>
      <c r="E125" s="140">
        <v>22</v>
      </c>
      <c r="F125" s="132">
        <v>48</v>
      </c>
      <c r="G125" s="132">
        <v>32</v>
      </c>
      <c r="H125" s="139" t="s">
        <v>11</v>
      </c>
      <c r="I125" s="140">
        <v>43</v>
      </c>
      <c r="J125" s="132">
        <v>14</v>
      </c>
      <c r="K125" s="132">
        <v>37</v>
      </c>
      <c r="L125" s="139" t="s">
        <v>52</v>
      </c>
      <c r="M125" s="132"/>
      <c r="N125" s="141"/>
      <c r="O125" s="141"/>
      <c r="P125" s="141"/>
      <c r="Q125" s="141"/>
      <c r="R125" s="141"/>
      <c r="S125" s="141"/>
      <c r="T125" s="141"/>
      <c r="U125" s="141"/>
      <c r="V125" s="141"/>
      <c r="W125" s="141"/>
      <c r="X125" s="141"/>
      <c r="Y125" s="141"/>
      <c r="Z125" s="141"/>
    </row>
    <row r="126" ht="12.75" customHeight="1" spans="1:26">
      <c r="A126" s="132"/>
      <c r="B126" s="140" t="s">
        <v>110</v>
      </c>
      <c r="C126" s="132" t="s">
        <v>264</v>
      </c>
      <c r="D126" s="139" t="s">
        <v>263</v>
      </c>
      <c r="E126" s="140">
        <v>22</v>
      </c>
      <c r="F126" s="132">
        <v>54</v>
      </c>
      <c r="G126" s="132">
        <v>38</v>
      </c>
      <c r="H126" s="139" t="s">
        <v>11</v>
      </c>
      <c r="I126" s="140">
        <v>43</v>
      </c>
      <c r="J126" s="132">
        <v>9</v>
      </c>
      <c r="K126" s="132">
        <v>47</v>
      </c>
      <c r="L126" s="139" t="s">
        <v>52</v>
      </c>
      <c r="M126" s="132"/>
      <c r="N126" s="141"/>
      <c r="O126" s="141"/>
      <c r="P126" s="141"/>
      <c r="Q126" s="141"/>
      <c r="R126" s="141"/>
      <c r="S126" s="141"/>
      <c r="T126" s="141"/>
      <c r="U126" s="141"/>
      <c r="V126" s="141"/>
      <c r="W126" s="141"/>
      <c r="X126" s="141"/>
      <c r="Y126" s="141"/>
      <c r="Z126" s="141"/>
    </row>
    <row r="127" ht="12.75" customHeight="1" spans="1:26">
      <c r="A127" s="132"/>
      <c r="B127" s="140" t="s">
        <v>110</v>
      </c>
      <c r="C127" s="132" t="s">
        <v>265</v>
      </c>
      <c r="D127" s="139" t="s">
        <v>266</v>
      </c>
      <c r="E127" s="140">
        <v>17</v>
      </c>
      <c r="F127" s="132">
        <v>50</v>
      </c>
      <c r="G127" s="132">
        <v>0</v>
      </c>
      <c r="H127" s="139" t="s">
        <v>11</v>
      </c>
      <c r="I127" s="140">
        <v>50</v>
      </c>
      <c r="J127" s="132">
        <v>57</v>
      </c>
      <c r="K127" s="132">
        <v>19</v>
      </c>
      <c r="L127" s="139" t="s">
        <v>52</v>
      </c>
      <c r="M127" s="132"/>
      <c r="N127" s="141"/>
      <c r="O127" s="141"/>
      <c r="P127" s="141"/>
      <c r="Q127" s="141"/>
      <c r="R127" s="141"/>
      <c r="S127" s="141"/>
      <c r="T127" s="141"/>
      <c r="U127" s="141"/>
      <c r="V127" s="141"/>
      <c r="W127" s="141"/>
      <c r="X127" s="141"/>
      <c r="Y127" s="141"/>
      <c r="Z127" s="141"/>
    </row>
    <row r="128" ht="12.75" customHeight="1" spans="1:26">
      <c r="A128" s="132"/>
      <c r="B128" s="140" t="s">
        <v>110</v>
      </c>
      <c r="C128" s="132" t="s">
        <v>267</v>
      </c>
      <c r="D128" s="139" t="s">
        <v>268</v>
      </c>
      <c r="E128" s="140">
        <v>16</v>
      </c>
      <c r="F128" s="132">
        <v>26</v>
      </c>
      <c r="G128" s="132">
        <v>0</v>
      </c>
      <c r="H128" s="139" t="s">
        <v>11</v>
      </c>
      <c r="I128" s="140">
        <v>54</v>
      </c>
      <c r="J128" s="132">
        <v>0</v>
      </c>
      <c r="K128" s="132">
        <v>0</v>
      </c>
      <c r="L128" s="139" t="s">
        <v>52</v>
      </c>
      <c r="M128" s="132"/>
      <c r="N128" s="141"/>
      <c r="O128" s="141"/>
      <c r="P128" s="141"/>
      <c r="Q128" s="141"/>
      <c r="R128" s="141"/>
      <c r="S128" s="141"/>
      <c r="T128" s="141"/>
      <c r="U128" s="141"/>
      <c r="V128" s="141"/>
      <c r="W128" s="141"/>
      <c r="X128" s="141"/>
      <c r="Y128" s="141"/>
      <c r="Z128" s="141"/>
    </row>
    <row r="129" ht="12.75" customHeight="1" spans="1:26">
      <c r="A129" s="132"/>
      <c r="B129" s="140" t="s">
        <v>110</v>
      </c>
      <c r="C129" s="132" t="s">
        <v>269</v>
      </c>
      <c r="D129" s="139" t="s">
        <v>270</v>
      </c>
      <c r="E129" s="140">
        <v>12</v>
      </c>
      <c r="F129" s="132">
        <v>54</v>
      </c>
      <c r="G129" s="132">
        <v>40</v>
      </c>
      <c r="H129" s="139" t="s">
        <v>11</v>
      </c>
      <c r="I129" s="140">
        <v>38</v>
      </c>
      <c r="J129" s="132">
        <v>19</v>
      </c>
      <c r="K129" s="132">
        <v>52</v>
      </c>
      <c r="L129" s="139" t="s">
        <v>52</v>
      </c>
      <c r="M129" s="132"/>
      <c r="N129" s="141"/>
      <c r="O129" s="141"/>
      <c r="P129" s="141"/>
      <c r="Q129" s="141"/>
      <c r="R129" s="141"/>
      <c r="S129" s="141"/>
      <c r="T129" s="141"/>
      <c r="U129" s="141"/>
      <c r="V129" s="141"/>
      <c r="W129" s="141"/>
      <c r="X129" s="141"/>
      <c r="Y129" s="141"/>
      <c r="Z129" s="141"/>
    </row>
    <row r="130" ht="12.75" customHeight="1" spans="1:26">
      <c r="A130" s="132"/>
      <c r="B130" s="140" t="s">
        <v>110</v>
      </c>
      <c r="C130" s="132" t="s">
        <v>271</v>
      </c>
      <c r="D130" s="139" t="s">
        <v>272</v>
      </c>
      <c r="E130" s="140">
        <v>2</v>
      </c>
      <c r="F130" s="132">
        <v>25</v>
      </c>
      <c r="G130" s="132">
        <v>21</v>
      </c>
      <c r="H130" s="139" t="s">
        <v>11</v>
      </c>
      <c r="I130" s="140">
        <v>54</v>
      </c>
      <c r="J130" s="132">
        <v>47</v>
      </c>
      <c r="K130" s="132">
        <v>34</v>
      </c>
      <c r="L130" s="139" t="s">
        <v>52</v>
      </c>
      <c r="M130" s="132"/>
      <c r="N130" s="141"/>
      <c r="O130" s="141"/>
      <c r="P130" s="141"/>
      <c r="Q130" s="141"/>
      <c r="R130" s="141"/>
      <c r="S130" s="141"/>
      <c r="T130" s="141"/>
      <c r="U130" s="141"/>
      <c r="V130" s="141"/>
      <c r="W130" s="141"/>
      <c r="X130" s="141"/>
      <c r="Y130" s="141"/>
      <c r="Z130" s="141"/>
    </row>
    <row r="131" ht="12.75" customHeight="1" spans="1:26">
      <c r="A131" s="132"/>
      <c r="B131" s="140" t="s">
        <v>110</v>
      </c>
      <c r="C131" s="132" t="s">
        <v>273</v>
      </c>
      <c r="D131" s="139" t="s">
        <v>274</v>
      </c>
      <c r="E131" s="140">
        <v>11</v>
      </c>
      <c r="F131" s="132">
        <v>38</v>
      </c>
      <c r="G131" s="132">
        <v>0</v>
      </c>
      <c r="H131" s="139" t="s">
        <v>11</v>
      </c>
      <c r="I131" s="140">
        <v>50</v>
      </c>
      <c r="J131" s="132">
        <v>50</v>
      </c>
      <c r="K131" s="132">
        <v>0</v>
      </c>
      <c r="L131" s="139" t="s">
        <v>52</v>
      </c>
      <c r="M131" s="132"/>
      <c r="N131" s="141"/>
      <c r="O131" s="141"/>
      <c r="P131" s="141"/>
      <c r="Q131" s="141"/>
      <c r="R131" s="141"/>
      <c r="S131" s="141"/>
      <c r="T131" s="141"/>
      <c r="U131" s="141"/>
      <c r="V131" s="141"/>
      <c r="W131" s="141"/>
      <c r="X131" s="141"/>
      <c r="Y131" s="141"/>
      <c r="Z131" s="141"/>
    </row>
    <row r="132" ht="12.75" customHeight="1" spans="1:26">
      <c r="A132" s="132"/>
      <c r="B132" s="140" t="s">
        <v>110</v>
      </c>
      <c r="C132" s="132" t="s">
        <v>275</v>
      </c>
      <c r="D132" s="139" t="s">
        <v>276</v>
      </c>
      <c r="E132" s="140">
        <v>20</v>
      </c>
      <c r="F132" s="132">
        <v>48</v>
      </c>
      <c r="G132" s="132">
        <v>0</v>
      </c>
      <c r="H132" s="139" t="s">
        <v>11</v>
      </c>
      <c r="I132" s="140">
        <v>49</v>
      </c>
      <c r="J132" s="132">
        <v>23</v>
      </c>
      <c r="K132" s="132">
        <v>0</v>
      </c>
      <c r="L132" s="139" t="s">
        <v>52</v>
      </c>
      <c r="M132" s="132"/>
      <c r="N132" s="141"/>
      <c r="O132" s="141"/>
      <c r="P132" s="141"/>
      <c r="Q132" s="141"/>
      <c r="R132" s="141"/>
      <c r="S132" s="141"/>
      <c r="T132" s="141"/>
      <c r="U132" s="141"/>
      <c r="V132" s="141"/>
      <c r="W132" s="141"/>
      <c r="X132" s="141"/>
      <c r="Y132" s="141"/>
      <c r="Z132" s="141"/>
    </row>
    <row r="133" ht="12.75" customHeight="1" spans="1:26">
      <c r="A133" s="132"/>
      <c r="B133" s="140" t="s">
        <v>110</v>
      </c>
      <c r="C133" s="132" t="s">
        <v>277</v>
      </c>
      <c r="D133" s="139" t="s">
        <v>278</v>
      </c>
      <c r="E133" s="140">
        <v>2</v>
      </c>
      <c r="F133" s="132">
        <v>35</v>
      </c>
      <c r="G133" s="132">
        <v>7</v>
      </c>
      <c r="H133" s="139" t="s">
        <v>11</v>
      </c>
      <c r="I133" s="140">
        <v>44</v>
      </c>
      <c r="J133" s="132">
        <v>14</v>
      </c>
      <c r="K133" s="132">
        <v>3</v>
      </c>
      <c r="L133" s="139" t="s">
        <v>52</v>
      </c>
      <c r="M133" s="132"/>
      <c r="N133" s="141"/>
      <c r="O133" s="141"/>
      <c r="P133" s="141"/>
      <c r="Q133" s="141"/>
      <c r="R133" s="141"/>
      <c r="S133" s="141"/>
      <c r="T133" s="141"/>
      <c r="U133" s="141"/>
      <c r="V133" s="141"/>
      <c r="W133" s="141"/>
      <c r="X133" s="141"/>
      <c r="Y133" s="141"/>
      <c r="Z133" s="141"/>
    </row>
    <row r="134" ht="12.75" customHeight="1" spans="1:26">
      <c r="A134" s="132"/>
      <c r="B134" s="140" t="s">
        <v>110</v>
      </c>
      <c r="C134" s="132" t="s">
        <v>279</v>
      </c>
      <c r="D134" s="139" t="s">
        <v>280</v>
      </c>
      <c r="E134" s="140">
        <v>23</v>
      </c>
      <c r="F134" s="132">
        <v>37</v>
      </c>
      <c r="G134" s="132">
        <v>36</v>
      </c>
      <c r="H134" s="139" t="s">
        <v>11</v>
      </c>
      <c r="I134" s="140">
        <v>46</v>
      </c>
      <c r="J134" s="132">
        <v>39</v>
      </c>
      <c r="K134" s="132">
        <v>19</v>
      </c>
      <c r="L134" s="139" t="s">
        <v>52</v>
      </c>
      <c r="M134" s="132"/>
      <c r="N134" s="141"/>
      <c r="O134" s="141"/>
      <c r="P134" s="141"/>
      <c r="Q134" s="141"/>
      <c r="R134" s="141"/>
      <c r="S134" s="141"/>
      <c r="T134" s="141"/>
      <c r="U134" s="141"/>
      <c r="V134" s="141"/>
      <c r="W134" s="141"/>
      <c r="X134" s="141"/>
      <c r="Y134" s="141"/>
      <c r="Z134" s="141"/>
    </row>
    <row r="135" ht="12.75" customHeight="1" spans="1:26">
      <c r="A135" s="132"/>
      <c r="B135" s="140" t="s">
        <v>110</v>
      </c>
      <c r="C135" s="132" t="s">
        <v>281</v>
      </c>
      <c r="D135" s="139" t="s">
        <v>282</v>
      </c>
      <c r="E135" s="140">
        <v>12</v>
      </c>
      <c r="F135" s="132">
        <v>5</v>
      </c>
      <c r="G135" s="132">
        <v>5</v>
      </c>
      <c r="H135" s="139" t="s">
        <v>11</v>
      </c>
      <c r="I135" s="140">
        <v>55</v>
      </c>
      <c r="J135" s="132">
        <v>38</v>
      </c>
      <c r="K135" s="132">
        <v>2</v>
      </c>
      <c r="L135" s="139" t="s">
        <v>52</v>
      </c>
      <c r="M135" s="132"/>
      <c r="N135" s="141"/>
      <c r="O135" s="141"/>
      <c r="P135" s="141"/>
      <c r="Q135" s="141"/>
      <c r="R135" s="141"/>
      <c r="S135" s="141"/>
      <c r="T135" s="141"/>
      <c r="U135" s="141"/>
      <c r="V135" s="141"/>
      <c r="W135" s="141"/>
      <c r="X135" s="141"/>
      <c r="Y135" s="141"/>
      <c r="Z135" s="141"/>
    </row>
    <row r="136" ht="12.75" customHeight="1" spans="1:26">
      <c r="A136" s="132"/>
      <c r="B136" s="140" t="s">
        <v>110</v>
      </c>
      <c r="C136" s="132" t="s">
        <v>283</v>
      </c>
      <c r="D136" s="139" t="s">
        <v>284</v>
      </c>
      <c r="E136" s="140">
        <v>5</v>
      </c>
      <c r="F136" s="132">
        <v>3</v>
      </c>
      <c r="G136" s="132">
        <v>36</v>
      </c>
      <c r="H136" s="139" t="s">
        <v>11</v>
      </c>
      <c r="I136" s="140">
        <v>42</v>
      </c>
      <c r="J136" s="132">
        <v>49</v>
      </c>
      <c r="K136" s="132">
        <v>25</v>
      </c>
      <c r="L136" s="139" t="s">
        <v>52</v>
      </c>
      <c r="M136" s="132"/>
      <c r="N136" s="141"/>
      <c r="O136" s="141"/>
      <c r="P136" s="141"/>
      <c r="Q136" s="141"/>
      <c r="R136" s="141"/>
      <c r="S136" s="141"/>
      <c r="T136" s="141"/>
      <c r="U136" s="141"/>
      <c r="V136" s="141"/>
      <c r="W136" s="141"/>
      <c r="X136" s="141"/>
      <c r="Y136" s="141"/>
      <c r="Z136" s="141"/>
    </row>
    <row r="137" ht="12.75" customHeight="1" spans="1:26">
      <c r="A137" s="132"/>
      <c r="B137" s="140" t="s">
        <v>110</v>
      </c>
      <c r="C137" s="132" t="s">
        <v>285</v>
      </c>
      <c r="D137" s="139" t="s">
        <v>286</v>
      </c>
      <c r="E137" s="140">
        <v>19</v>
      </c>
      <c r="F137" s="132">
        <v>45</v>
      </c>
      <c r="G137" s="132">
        <v>0</v>
      </c>
      <c r="H137" s="139" t="s">
        <v>11</v>
      </c>
      <c r="I137" s="140">
        <v>47</v>
      </c>
      <c r="J137" s="132">
        <v>57</v>
      </c>
      <c r="K137" s="132">
        <v>0</v>
      </c>
      <c r="L137" s="139" t="s">
        <v>52</v>
      </c>
      <c r="M137" s="132"/>
      <c r="N137" s="141"/>
      <c r="O137" s="141"/>
      <c r="P137" s="141"/>
      <c r="Q137" s="141"/>
      <c r="R137" s="141"/>
      <c r="S137" s="141"/>
      <c r="T137" s="141"/>
      <c r="U137" s="141"/>
      <c r="V137" s="141"/>
      <c r="W137" s="141"/>
      <c r="X137" s="141"/>
      <c r="Y137" s="141"/>
      <c r="Z137" s="141"/>
    </row>
    <row r="138" ht="12.75" customHeight="1" spans="1:26">
      <c r="A138" s="132"/>
      <c r="B138" s="140" t="s">
        <v>110</v>
      </c>
      <c r="C138" s="132" t="s">
        <v>287</v>
      </c>
      <c r="D138" s="139" t="s">
        <v>288</v>
      </c>
      <c r="E138" s="140">
        <v>18</v>
      </c>
      <c r="F138" s="132">
        <v>52</v>
      </c>
      <c r="G138" s="132">
        <v>58</v>
      </c>
      <c r="H138" s="139" t="s">
        <v>11</v>
      </c>
      <c r="I138" s="140">
        <v>48</v>
      </c>
      <c r="J138" s="132">
        <v>13</v>
      </c>
      <c r="K138" s="132">
        <v>32</v>
      </c>
      <c r="L138" s="139" t="s">
        <v>52</v>
      </c>
      <c r="M138" s="132"/>
      <c r="N138" s="141"/>
      <c r="O138" s="141"/>
      <c r="P138" s="141"/>
      <c r="Q138" s="141"/>
      <c r="R138" s="141"/>
      <c r="S138" s="141"/>
      <c r="T138" s="141"/>
      <c r="U138" s="141"/>
      <c r="V138" s="141"/>
      <c r="W138" s="141"/>
      <c r="X138" s="141"/>
      <c r="Y138" s="141"/>
      <c r="Z138" s="141"/>
    </row>
    <row r="139" ht="12.75" customHeight="1" spans="1:26">
      <c r="A139" s="132"/>
      <c r="B139" s="140" t="s">
        <v>110</v>
      </c>
      <c r="C139" s="132" t="s">
        <v>289</v>
      </c>
      <c r="D139" s="139" t="s">
        <v>290</v>
      </c>
      <c r="E139" s="140">
        <v>29</v>
      </c>
      <c r="F139" s="132">
        <v>46</v>
      </c>
      <c r="G139" s="132">
        <v>56</v>
      </c>
      <c r="H139" s="139" t="s">
        <v>11</v>
      </c>
      <c r="I139" s="140">
        <v>57</v>
      </c>
      <c r="J139" s="132">
        <v>2</v>
      </c>
      <c r="K139" s="132">
        <v>17</v>
      </c>
      <c r="L139" s="139" t="s">
        <v>52</v>
      </c>
      <c r="M139" s="132"/>
      <c r="N139" s="141"/>
      <c r="O139" s="141"/>
      <c r="P139" s="141"/>
      <c r="Q139" s="141"/>
      <c r="R139" s="141"/>
      <c r="S139" s="141"/>
      <c r="T139" s="141"/>
      <c r="U139" s="141"/>
      <c r="V139" s="141"/>
      <c r="W139" s="141"/>
      <c r="X139" s="141"/>
      <c r="Y139" s="141"/>
      <c r="Z139" s="141"/>
    </row>
    <row r="140" ht="12.75" customHeight="1" spans="1:26">
      <c r="A140" s="132"/>
      <c r="B140" s="140" t="s">
        <v>110</v>
      </c>
      <c r="C140" s="132" t="s">
        <v>291</v>
      </c>
      <c r="D140" s="139" t="s">
        <v>292</v>
      </c>
      <c r="E140" s="140">
        <v>21</v>
      </c>
      <c r="F140" s="132">
        <v>35</v>
      </c>
      <c r="G140" s="132">
        <v>24</v>
      </c>
      <c r="H140" s="139" t="s">
        <v>11</v>
      </c>
      <c r="I140" s="140">
        <v>45</v>
      </c>
      <c r="J140" s="132">
        <v>28</v>
      </c>
      <c r="K140" s="132">
        <v>24</v>
      </c>
      <c r="L140" s="139" t="s">
        <v>52</v>
      </c>
      <c r="M140" s="132"/>
      <c r="N140" s="141"/>
      <c r="O140" s="141"/>
      <c r="P140" s="141"/>
      <c r="Q140" s="141"/>
      <c r="R140" s="141"/>
      <c r="S140" s="141"/>
      <c r="T140" s="141"/>
      <c r="U140" s="141"/>
      <c r="V140" s="141"/>
      <c r="W140" s="141"/>
      <c r="X140" s="141"/>
      <c r="Y140" s="141"/>
      <c r="Z140" s="141"/>
    </row>
    <row r="141" ht="12.75" customHeight="1" spans="1:26">
      <c r="A141" s="132"/>
      <c r="B141" s="140" t="s">
        <v>110</v>
      </c>
      <c r="C141" s="132" t="s">
        <v>293</v>
      </c>
      <c r="D141" s="139" t="s">
        <v>294</v>
      </c>
      <c r="E141" s="140">
        <v>12</v>
      </c>
      <c r="F141" s="132">
        <v>38</v>
      </c>
      <c r="G141" s="132">
        <v>0</v>
      </c>
      <c r="H141" s="139" t="s">
        <v>11</v>
      </c>
      <c r="I141" s="140">
        <v>60</v>
      </c>
      <c r="J141" s="132">
        <v>8</v>
      </c>
      <c r="K141" s="132">
        <v>0</v>
      </c>
      <c r="L141" s="139" t="s">
        <v>52</v>
      </c>
      <c r="M141" s="132"/>
      <c r="N141" s="141"/>
      <c r="O141" s="141"/>
      <c r="P141" s="141"/>
      <c r="Q141" s="141"/>
      <c r="R141" s="141"/>
      <c r="S141" s="141"/>
      <c r="T141" s="141"/>
      <c r="U141" s="141"/>
      <c r="V141" s="141"/>
      <c r="W141" s="141"/>
      <c r="X141" s="141"/>
      <c r="Y141" s="141"/>
      <c r="Z141" s="141"/>
    </row>
    <row r="142" ht="12.75" customHeight="1" spans="1:26">
      <c r="A142" s="132"/>
      <c r="B142" s="140" t="s">
        <v>110</v>
      </c>
      <c r="C142" s="132" t="s">
        <v>295</v>
      </c>
      <c r="D142" s="139" t="s">
        <v>296</v>
      </c>
      <c r="E142" s="140">
        <v>20</v>
      </c>
      <c r="F142" s="132">
        <v>18</v>
      </c>
      <c r="G142" s="132">
        <v>0</v>
      </c>
      <c r="H142" s="139" t="s">
        <v>11</v>
      </c>
      <c r="I142" s="140">
        <v>40</v>
      </c>
      <c r="J142" s="132">
        <v>15</v>
      </c>
      <c r="K142" s="132">
        <v>0</v>
      </c>
      <c r="L142" s="139" t="s">
        <v>52</v>
      </c>
      <c r="M142" s="132"/>
      <c r="N142" s="141"/>
      <c r="O142" s="141"/>
      <c r="P142" s="141"/>
      <c r="Q142" s="141"/>
      <c r="R142" s="141"/>
      <c r="S142" s="141"/>
      <c r="T142" s="141"/>
      <c r="U142" s="141"/>
      <c r="V142" s="141"/>
      <c r="W142" s="141"/>
      <c r="X142" s="141"/>
      <c r="Y142" s="141"/>
      <c r="Z142" s="141"/>
    </row>
    <row r="143" ht="12.75" customHeight="1" spans="1:26">
      <c r="A143" s="132"/>
      <c r="B143" s="140" t="s">
        <v>110</v>
      </c>
      <c r="C143" s="132" t="s">
        <v>297</v>
      </c>
      <c r="D143" s="139" t="s">
        <v>298</v>
      </c>
      <c r="E143" s="140">
        <v>14</v>
      </c>
      <c r="F143" s="132">
        <v>53</v>
      </c>
      <c r="G143" s="132">
        <v>0</v>
      </c>
      <c r="H143" s="139" t="s">
        <v>11</v>
      </c>
      <c r="I143" s="140">
        <v>40</v>
      </c>
      <c r="J143" s="132">
        <v>52</v>
      </c>
      <c r="K143" s="132">
        <v>0</v>
      </c>
      <c r="L143" s="139" t="s">
        <v>52</v>
      </c>
      <c r="M143" s="132"/>
      <c r="N143" s="141"/>
      <c r="O143" s="141"/>
      <c r="P143" s="141"/>
      <c r="Q143" s="141"/>
      <c r="R143" s="141"/>
      <c r="S143" s="141"/>
      <c r="T143" s="141"/>
      <c r="U143" s="141"/>
      <c r="V143" s="141"/>
      <c r="W143" s="141"/>
      <c r="X143" s="141"/>
      <c r="Y143" s="141"/>
      <c r="Z143" s="141"/>
    </row>
    <row r="144" ht="12.75" customHeight="1" spans="1:26">
      <c r="A144" s="132"/>
      <c r="B144" s="140" t="s">
        <v>110</v>
      </c>
      <c r="C144" s="132" t="s">
        <v>299</v>
      </c>
      <c r="D144" s="139" t="s">
        <v>300</v>
      </c>
      <c r="E144" s="140">
        <v>4</v>
      </c>
      <c r="F144" s="132">
        <v>15</v>
      </c>
      <c r="G144" s="132">
        <v>20</v>
      </c>
      <c r="H144" s="132" t="s">
        <v>11</v>
      </c>
      <c r="I144" s="140">
        <v>69</v>
      </c>
      <c r="J144" s="132">
        <v>56</v>
      </c>
      <c r="K144" s="132">
        <v>9</v>
      </c>
      <c r="L144" s="139" t="s">
        <v>52</v>
      </c>
      <c r="M144" s="132"/>
      <c r="N144" s="141"/>
      <c r="O144" s="141"/>
      <c r="P144" s="141"/>
      <c r="Q144" s="141"/>
      <c r="R144" s="141"/>
      <c r="S144" s="141"/>
      <c r="T144" s="141"/>
      <c r="U144" s="141"/>
      <c r="V144" s="141"/>
      <c r="W144" s="141"/>
      <c r="X144" s="141"/>
      <c r="Y144" s="141"/>
      <c r="Z144" s="141"/>
    </row>
    <row r="145" ht="12.75" customHeight="1" spans="1:26">
      <c r="A145" s="132"/>
      <c r="B145" s="140" t="s">
        <v>110</v>
      </c>
      <c r="C145" s="132" t="s">
        <v>301</v>
      </c>
      <c r="D145" s="132" t="s">
        <v>302</v>
      </c>
      <c r="E145" s="140">
        <v>23</v>
      </c>
      <c r="F145" s="132">
        <v>13</v>
      </c>
      <c r="G145" s="132">
        <v>45</v>
      </c>
      <c r="H145" s="132" t="s">
        <v>11</v>
      </c>
      <c r="I145" s="140">
        <v>45</v>
      </c>
      <c r="J145" s="132">
        <v>51</v>
      </c>
      <c r="K145" s="132">
        <v>41</v>
      </c>
      <c r="L145" s="139" t="s">
        <v>52</v>
      </c>
      <c r="M145" s="132"/>
      <c r="N145" s="141"/>
      <c r="O145" s="141"/>
      <c r="P145" s="141"/>
      <c r="Q145" s="141"/>
      <c r="R145" s="141"/>
      <c r="S145" s="141"/>
      <c r="T145" s="141"/>
      <c r="U145" s="141"/>
      <c r="V145" s="141"/>
      <c r="W145" s="141"/>
      <c r="X145" s="141"/>
      <c r="Y145" s="141"/>
      <c r="Z145" s="141"/>
    </row>
    <row r="146" ht="12.75" customHeight="1" spans="1:26">
      <c r="A146" s="132"/>
      <c r="B146" s="140" t="s">
        <v>110</v>
      </c>
      <c r="C146" s="132" t="s">
        <v>303</v>
      </c>
      <c r="D146" s="132" t="s">
        <v>304</v>
      </c>
      <c r="E146" s="140">
        <v>17</v>
      </c>
      <c r="F146" s="132">
        <v>43</v>
      </c>
      <c r="G146" s="132">
        <v>31</v>
      </c>
      <c r="H146" s="132" t="s">
        <v>11</v>
      </c>
      <c r="I146" s="140">
        <v>48</v>
      </c>
      <c r="J146" s="132">
        <v>36</v>
      </c>
      <c r="K146" s="132">
        <v>27</v>
      </c>
      <c r="L146" s="139" t="s">
        <v>52</v>
      </c>
      <c r="M146" s="132"/>
      <c r="N146" s="141"/>
      <c r="O146" s="141"/>
      <c r="P146" s="141"/>
      <c r="Q146" s="141"/>
      <c r="R146" s="141"/>
      <c r="S146" s="141"/>
      <c r="T146" s="141"/>
      <c r="U146" s="141"/>
      <c r="V146" s="141"/>
      <c r="W146" s="141"/>
      <c r="X146" s="141"/>
      <c r="Y146" s="141"/>
      <c r="Z146" s="141"/>
    </row>
    <row r="147" ht="12.75" customHeight="1" spans="1:26">
      <c r="A147" s="132"/>
      <c r="B147" s="140" t="s">
        <v>110</v>
      </c>
      <c r="C147" s="132" t="s">
        <v>305</v>
      </c>
      <c r="D147" s="132" t="s">
        <v>306</v>
      </c>
      <c r="E147" s="140">
        <v>3</v>
      </c>
      <c r="F147" s="132">
        <v>51</v>
      </c>
      <c r="G147" s="132">
        <v>18</v>
      </c>
      <c r="H147" s="132" t="s">
        <v>11</v>
      </c>
      <c r="I147" s="140">
        <v>32</v>
      </c>
      <c r="J147" s="132">
        <v>25</v>
      </c>
      <c r="K147" s="132">
        <v>24</v>
      </c>
      <c r="L147" s="139" t="s">
        <v>52</v>
      </c>
      <c r="M147" s="132"/>
      <c r="N147" s="141"/>
      <c r="O147" s="141"/>
      <c r="P147" s="141"/>
      <c r="Q147" s="141"/>
      <c r="R147" s="141"/>
      <c r="S147" s="141"/>
      <c r="T147" s="141"/>
      <c r="U147" s="141"/>
      <c r="V147" s="141"/>
      <c r="W147" s="141"/>
      <c r="X147" s="141"/>
      <c r="Y147" s="141"/>
      <c r="Z147" s="141"/>
    </row>
    <row r="148" ht="12.75" customHeight="1" spans="1:26">
      <c r="A148" s="132"/>
      <c r="B148" s="140" t="s">
        <v>110</v>
      </c>
      <c r="C148" s="132" t="s">
        <v>307</v>
      </c>
      <c r="D148" s="132" t="s">
        <v>308</v>
      </c>
      <c r="E148" s="140">
        <v>2</v>
      </c>
      <c r="F148" s="132">
        <v>40</v>
      </c>
      <c r="G148" s="132">
        <v>23</v>
      </c>
      <c r="H148" s="132" t="s">
        <v>11</v>
      </c>
      <c r="I148" s="140">
        <v>56</v>
      </c>
      <c r="J148" s="132">
        <v>46</v>
      </c>
      <c r="K148" s="132">
        <v>38</v>
      </c>
      <c r="L148" s="139" t="s">
        <v>52</v>
      </c>
      <c r="M148" s="132"/>
      <c r="N148" s="141"/>
      <c r="O148" s="141"/>
      <c r="P148" s="141"/>
      <c r="Q148" s="141"/>
      <c r="R148" s="141"/>
      <c r="S148" s="141"/>
      <c r="T148" s="141"/>
      <c r="U148" s="141"/>
      <c r="V148" s="141"/>
      <c r="W148" s="141"/>
      <c r="X148" s="141"/>
      <c r="Y148" s="141"/>
      <c r="Z148" s="141"/>
    </row>
    <row r="149" ht="12.75" customHeight="1" spans="1:26">
      <c r="A149" s="132"/>
      <c r="B149" s="140" t="s">
        <v>110</v>
      </c>
      <c r="C149" s="132" t="s">
        <v>309</v>
      </c>
      <c r="D149" s="132" t="s">
        <v>310</v>
      </c>
      <c r="E149" s="140">
        <v>21</v>
      </c>
      <c r="F149" s="132">
        <v>14</v>
      </c>
      <c r="G149" s="132">
        <v>50</v>
      </c>
      <c r="H149" s="132" t="s">
        <v>11</v>
      </c>
      <c r="I149" s="140">
        <v>56</v>
      </c>
      <c r="J149" s="132">
        <v>27</v>
      </c>
      <c r="K149" s="132">
        <v>9</v>
      </c>
      <c r="L149" s="139" t="s">
        <v>52</v>
      </c>
      <c r="M149" s="132"/>
      <c r="N149" s="141"/>
      <c r="O149" s="141"/>
      <c r="P149" s="141"/>
      <c r="Q149" s="141"/>
      <c r="R149" s="141"/>
      <c r="S149" s="141"/>
      <c r="T149" s="141"/>
      <c r="U149" s="141"/>
      <c r="V149" s="141"/>
      <c r="W149" s="141"/>
      <c r="X149" s="141"/>
      <c r="Y149" s="141"/>
      <c r="Z149" s="141"/>
    </row>
    <row r="150" ht="12.75" customHeight="1" spans="1:26">
      <c r="A150" s="132"/>
      <c r="B150" s="140" t="s">
        <v>110</v>
      </c>
      <c r="C150" s="132" t="s">
        <v>311</v>
      </c>
      <c r="D150" s="132" t="s">
        <v>280</v>
      </c>
      <c r="E150" s="140">
        <v>23</v>
      </c>
      <c r="F150" s="132">
        <v>30</v>
      </c>
      <c r="G150" s="132">
        <v>33</v>
      </c>
      <c r="H150" s="132" t="s">
        <v>11</v>
      </c>
      <c r="I150" s="140">
        <v>46</v>
      </c>
      <c r="J150" s="132">
        <v>38</v>
      </c>
      <c r="K150" s="132">
        <v>16</v>
      </c>
      <c r="L150" s="139" t="s">
        <v>52</v>
      </c>
      <c r="M150" s="132"/>
      <c r="N150" s="141"/>
      <c r="O150" s="141"/>
      <c r="P150" s="141"/>
      <c r="Q150" s="141"/>
      <c r="R150" s="141"/>
      <c r="S150" s="141"/>
      <c r="T150" s="141"/>
      <c r="U150" s="141"/>
      <c r="V150" s="141"/>
      <c r="W150" s="141"/>
      <c r="X150" s="141"/>
      <c r="Y150" s="141"/>
      <c r="Z150" s="141"/>
    </row>
    <row r="151" ht="12.75" customHeight="1" spans="1:26">
      <c r="A151" s="132"/>
      <c r="B151" s="140" t="s">
        <v>110</v>
      </c>
      <c r="C151" s="132" t="s">
        <v>312</v>
      </c>
      <c r="D151" s="132" t="s">
        <v>313</v>
      </c>
      <c r="E151" s="140">
        <v>29</v>
      </c>
      <c r="F151" s="132">
        <v>42</v>
      </c>
      <c r="G151" s="132">
        <v>38</v>
      </c>
      <c r="H151" s="132" t="s">
        <v>11</v>
      </c>
      <c r="I151" s="140">
        <v>53</v>
      </c>
      <c r="J151" s="132">
        <v>41</v>
      </c>
      <c r="K151" s="132">
        <v>15</v>
      </c>
      <c r="L151" s="139" t="s">
        <v>52</v>
      </c>
      <c r="M151" s="132"/>
      <c r="N151" s="141"/>
      <c r="O151" s="141"/>
      <c r="P151" s="141"/>
      <c r="Q151" s="141"/>
      <c r="R151" s="141"/>
      <c r="S151" s="141"/>
      <c r="T151" s="141"/>
      <c r="U151" s="141"/>
      <c r="V151" s="141"/>
      <c r="W151" s="141"/>
      <c r="X151" s="141"/>
      <c r="Y151" s="141"/>
      <c r="Z151" s="141"/>
    </row>
    <row r="152" ht="12.75" customHeight="1" spans="1:26">
      <c r="A152" s="132"/>
      <c r="B152" s="140" t="s">
        <v>110</v>
      </c>
      <c r="C152" s="132" t="s">
        <v>314</v>
      </c>
      <c r="D152" s="132" t="s">
        <v>315</v>
      </c>
      <c r="E152" s="140">
        <v>22</v>
      </c>
      <c r="F152" s="132">
        <v>20</v>
      </c>
      <c r="G152" s="132">
        <v>35</v>
      </c>
      <c r="H152" s="132" t="s">
        <v>11</v>
      </c>
      <c r="I152" s="140">
        <v>41</v>
      </c>
      <c r="J152" s="132">
        <v>45</v>
      </c>
      <c r="K152" s="132">
        <v>58</v>
      </c>
      <c r="L152" s="139" t="s">
        <v>52</v>
      </c>
      <c r="M152" s="132"/>
      <c r="N152" s="141"/>
      <c r="O152" s="141"/>
      <c r="P152" s="141"/>
      <c r="Q152" s="141"/>
      <c r="R152" s="141"/>
      <c r="S152" s="141"/>
      <c r="T152" s="141"/>
      <c r="U152" s="141"/>
      <c r="V152" s="141"/>
      <c r="W152" s="141"/>
      <c r="X152" s="141"/>
      <c r="Y152" s="141"/>
      <c r="Z152" s="141"/>
    </row>
    <row r="153" ht="12.75" customHeight="1" spans="1:26">
      <c r="A153" s="132"/>
      <c r="B153" s="140" t="s">
        <v>110</v>
      </c>
      <c r="C153" s="132" t="s">
        <v>316</v>
      </c>
      <c r="D153" s="132" t="s">
        <v>317</v>
      </c>
      <c r="E153" s="140">
        <v>12</v>
      </c>
      <c r="F153" s="132">
        <v>28</v>
      </c>
      <c r="G153" s="132">
        <v>56</v>
      </c>
      <c r="H153" s="132" t="s">
        <v>11</v>
      </c>
      <c r="I153" s="140">
        <v>41</v>
      </c>
      <c r="J153" s="132">
        <v>16</v>
      </c>
      <c r="K153" s="132">
        <v>37</v>
      </c>
      <c r="L153" s="139" t="s">
        <v>52</v>
      </c>
      <c r="M153" s="132"/>
      <c r="N153" s="141"/>
      <c r="O153" s="141"/>
      <c r="P153" s="141"/>
      <c r="Q153" s="141"/>
      <c r="R153" s="141"/>
      <c r="S153" s="141"/>
      <c r="T153" s="141"/>
      <c r="U153" s="141"/>
      <c r="V153" s="141"/>
      <c r="W153" s="141"/>
      <c r="X153" s="141"/>
      <c r="Y153" s="141"/>
      <c r="Z153" s="141"/>
    </row>
    <row r="154" ht="12.75" customHeight="1" spans="1:26">
      <c r="A154" s="132"/>
      <c r="B154" s="140" t="s">
        <v>110</v>
      </c>
      <c r="C154" s="132" t="s">
        <v>318</v>
      </c>
      <c r="D154" s="132" t="s">
        <v>319</v>
      </c>
      <c r="E154" s="140">
        <v>4</v>
      </c>
      <c r="F154" s="132">
        <v>14</v>
      </c>
      <c r="G154" s="132">
        <v>32</v>
      </c>
      <c r="H154" s="132" t="s">
        <v>11</v>
      </c>
      <c r="I154" s="140">
        <v>56</v>
      </c>
      <c r="J154" s="132">
        <v>0</v>
      </c>
      <c r="K154" s="132">
        <v>3</v>
      </c>
      <c r="L154" s="139" t="s">
        <v>52</v>
      </c>
      <c r="M154" s="132"/>
      <c r="N154" s="141"/>
      <c r="O154" s="141"/>
      <c r="P154" s="141"/>
      <c r="Q154" s="141"/>
      <c r="R154" s="141"/>
      <c r="S154" s="141"/>
      <c r="T154" s="141"/>
      <c r="U154" s="141"/>
      <c r="V154" s="141"/>
      <c r="W154" s="141"/>
      <c r="X154" s="141"/>
      <c r="Y154" s="141"/>
      <c r="Z154" s="141"/>
    </row>
    <row r="155" ht="12.75" customHeight="1" spans="1:26">
      <c r="A155" s="132"/>
      <c r="B155" s="140" t="s">
        <v>110</v>
      </c>
      <c r="C155" s="132" t="s">
        <v>127</v>
      </c>
      <c r="D155" s="132" t="s">
        <v>128</v>
      </c>
      <c r="E155" s="140">
        <v>22</v>
      </c>
      <c r="F155" s="132">
        <v>9</v>
      </c>
      <c r="G155" s="132">
        <v>28</v>
      </c>
      <c r="H155" s="132" t="s">
        <v>11</v>
      </c>
      <c r="I155" s="140">
        <v>49</v>
      </c>
      <c r="J155" s="132">
        <v>4</v>
      </c>
      <c r="K155" s="132">
        <v>6</v>
      </c>
      <c r="L155" s="139" t="s">
        <v>52</v>
      </c>
      <c r="M155" s="132"/>
      <c r="N155" s="141"/>
      <c r="O155" s="141"/>
      <c r="P155" s="141"/>
      <c r="Q155" s="141"/>
      <c r="R155" s="141"/>
      <c r="S155" s="141"/>
      <c r="T155" s="141"/>
      <c r="U155" s="141"/>
      <c r="V155" s="141"/>
      <c r="W155" s="141"/>
      <c r="X155" s="141"/>
      <c r="Y155" s="141"/>
      <c r="Z155" s="141"/>
    </row>
    <row r="156" ht="12.75" customHeight="1" spans="1:26">
      <c r="A156" s="132"/>
      <c r="B156" s="140" t="s">
        <v>110</v>
      </c>
      <c r="C156" s="132" t="s">
        <v>320</v>
      </c>
      <c r="D156" s="132" t="s">
        <v>321</v>
      </c>
      <c r="E156" s="140">
        <v>20</v>
      </c>
      <c r="F156" s="132">
        <v>10</v>
      </c>
      <c r="G156" s="132">
        <v>55</v>
      </c>
      <c r="H156" s="132" t="s">
        <v>11</v>
      </c>
      <c r="I156" s="140">
        <v>44</v>
      </c>
      <c r="J156" s="132">
        <v>52</v>
      </c>
      <c r="K156" s="132">
        <v>12</v>
      </c>
      <c r="L156" s="139" t="s">
        <v>52</v>
      </c>
      <c r="M156" s="132"/>
      <c r="N156" s="141"/>
      <c r="O156" s="141"/>
      <c r="P156" s="141"/>
      <c r="Q156" s="141"/>
      <c r="R156" s="141"/>
      <c r="S156" s="141"/>
      <c r="T156" s="141"/>
      <c r="U156" s="141"/>
      <c r="V156" s="141"/>
      <c r="W156" s="141"/>
      <c r="X156" s="141"/>
      <c r="Y156" s="141"/>
      <c r="Z156" s="141"/>
    </row>
    <row r="157" ht="12.75" customHeight="1" spans="1:26">
      <c r="A157" s="132"/>
      <c r="B157" s="140" t="s">
        <v>110</v>
      </c>
      <c r="C157" s="132" t="s">
        <v>322</v>
      </c>
      <c r="D157" s="132" t="s">
        <v>323</v>
      </c>
      <c r="E157" s="140">
        <v>20</v>
      </c>
      <c r="F157" s="132">
        <v>45</v>
      </c>
      <c r="G157" s="132">
        <v>5</v>
      </c>
      <c r="H157" s="132" t="s">
        <v>11</v>
      </c>
      <c r="I157" s="140">
        <v>51</v>
      </c>
      <c r="J157" s="132">
        <v>40</v>
      </c>
      <c r="K157" s="132">
        <v>49</v>
      </c>
      <c r="L157" s="139" t="s">
        <v>52</v>
      </c>
      <c r="M157" s="132"/>
      <c r="N157" s="141"/>
      <c r="O157" s="141"/>
      <c r="P157" s="141"/>
      <c r="Q157" s="141"/>
      <c r="R157" s="141"/>
      <c r="S157" s="141"/>
      <c r="T157" s="141"/>
      <c r="U157" s="141"/>
      <c r="V157" s="141"/>
      <c r="W157" s="141"/>
      <c r="X157" s="141"/>
      <c r="Y157" s="141"/>
      <c r="Z157" s="141"/>
    </row>
    <row r="158" ht="12.75" customHeight="1" spans="1:26">
      <c r="A158" s="132"/>
      <c r="B158" s="140" t="s">
        <v>110</v>
      </c>
      <c r="C158" s="132" t="s">
        <v>320</v>
      </c>
      <c r="D158" s="132" t="s">
        <v>321</v>
      </c>
      <c r="E158" s="140">
        <v>20</v>
      </c>
      <c r="F158" s="132">
        <v>10</v>
      </c>
      <c r="G158" s="132">
        <v>55</v>
      </c>
      <c r="H158" s="132" t="s">
        <v>11</v>
      </c>
      <c r="I158" s="140">
        <v>44</v>
      </c>
      <c r="J158" s="132">
        <v>52</v>
      </c>
      <c r="K158" s="132">
        <v>12</v>
      </c>
      <c r="L158" s="139" t="s">
        <v>52</v>
      </c>
      <c r="M158" s="132"/>
      <c r="N158" s="141"/>
      <c r="O158" s="141"/>
      <c r="P158" s="141"/>
      <c r="Q158" s="141"/>
      <c r="R158" s="141"/>
      <c r="S158" s="141"/>
      <c r="T158" s="141"/>
      <c r="U158" s="141"/>
      <c r="V158" s="141"/>
      <c r="W158" s="141"/>
      <c r="X158" s="141"/>
      <c r="Y158" s="141"/>
      <c r="Z158" s="141"/>
    </row>
    <row r="159" ht="12.75" customHeight="1" spans="1:26">
      <c r="A159" s="132"/>
      <c r="B159" s="140" t="s">
        <v>110</v>
      </c>
      <c r="C159" s="132" t="s">
        <v>322</v>
      </c>
      <c r="D159" s="139" t="s">
        <v>323</v>
      </c>
      <c r="E159" s="140">
        <v>20</v>
      </c>
      <c r="F159" s="132">
        <v>45</v>
      </c>
      <c r="G159" s="132">
        <v>5</v>
      </c>
      <c r="H159" s="139" t="s">
        <v>11</v>
      </c>
      <c r="I159" s="140">
        <v>51</v>
      </c>
      <c r="J159" s="132">
        <v>40</v>
      </c>
      <c r="K159" s="132">
        <v>49</v>
      </c>
      <c r="L159" s="139" t="s">
        <v>52</v>
      </c>
      <c r="M159" s="132"/>
      <c r="N159" s="141"/>
      <c r="O159" s="141"/>
      <c r="P159" s="141"/>
      <c r="Q159" s="141"/>
      <c r="R159" s="141"/>
      <c r="S159" s="141"/>
      <c r="T159" s="141"/>
      <c r="U159" s="141"/>
      <c r="V159" s="141"/>
      <c r="W159" s="141"/>
      <c r="X159" s="141"/>
      <c r="Y159" s="141"/>
      <c r="Z159" s="141"/>
    </row>
    <row r="160" ht="12.75" customHeight="1" spans="1:26">
      <c r="A160" s="132"/>
      <c r="B160" s="140" t="s">
        <v>110</v>
      </c>
      <c r="C160" s="132" t="s">
        <v>324</v>
      </c>
      <c r="D160" s="139" t="s">
        <v>325</v>
      </c>
      <c r="E160" s="140">
        <v>3</v>
      </c>
      <c r="F160" s="132">
        <v>22</v>
      </c>
      <c r="G160" s="132">
        <v>59</v>
      </c>
      <c r="H160" s="139" t="s">
        <v>11</v>
      </c>
      <c r="I160" s="140">
        <v>64</v>
      </c>
      <c r="J160" s="132">
        <v>43</v>
      </c>
      <c r="K160" s="132">
        <v>27</v>
      </c>
      <c r="L160" s="139" t="s">
        <v>52</v>
      </c>
      <c r="M160" s="132"/>
      <c r="N160" s="141"/>
      <c r="O160" s="141"/>
      <c r="P160" s="141"/>
      <c r="Q160" s="141"/>
      <c r="R160" s="141"/>
      <c r="S160" s="141"/>
      <c r="T160" s="141"/>
      <c r="U160" s="141"/>
      <c r="V160" s="141"/>
      <c r="W160" s="141"/>
      <c r="X160" s="141"/>
      <c r="Y160" s="141"/>
      <c r="Z160" s="141"/>
    </row>
    <row r="161" ht="12.75" customHeight="1" spans="1:26">
      <c r="A161" s="132"/>
      <c r="B161" s="140" t="s">
        <v>110</v>
      </c>
      <c r="C161" s="132" t="s">
        <v>326</v>
      </c>
      <c r="D161" s="139" t="s">
        <v>327</v>
      </c>
      <c r="E161" s="140">
        <v>28</v>
      </c>
      <c r="F161" s="132">
        <v>40</v>
      </c>
      <c r="G161" s="132">
        <v>30</v>
      </c>
      <c r="H161" s="139" t="s">
        <v>11</v>
      </c>
      <c r="I161" s="140">
        <v>49</v>
      </c>
      <c r="J161" s="132">
        <v>3</v>
      </c>
      <c r="K161" s="132">
        <v>34</v>
      </c>
      <c r="L161" s="139" t="s">
        <v>52</v>
      </c>
      <c r="M161" s="132"/>
      <c r="N161" s="141"/>
      <c r="O161" s="141"/>
      <c r="P161" s="141"/>
      <c r="Q161" s="141"/>
      <c r="R161" s="141"/>
      <c r="S161" s="141"/>
      <c r="T161" s="141"/>
      <c r="U161" s="141"/>
      <c r="V161" s="141"/>
      <c r="W161" s="141"/>
      <c r="X161" s="141"/>
      <c r="Y161" s="141"/>
      <c r="Z161" s="141"/>
    </row>
    <row r="162" ht="12.75" customHeight="1" spans="1:26">
      <c r="A162" s="132"/>
      <c r="B162" s="140" t="s">
        <v>110</v>
      </c>
      <c r="C162" s="132" t="s">
        <v>328</v>
      </c>
      <c r="D162" s="139" t="s">
        <v>329</v>
      </c>
      <c r="E162" s="140">
        <v>15</v>
      </c>
      <c r="F162" s="132">
        <v>51</v>
      </c>
      <c r="G162" s="132">
        <v>39</v>
      </c>
      <c r="H162" s="139" t="s">
        <v>11</v>
      </c>
      <c r="I162" s="140">
        <v>52</v>
      </c>
      <c r="J162" s="132">
        <v>23</v>
      </c>
      <c r="K162" s="132">
        <v>22</v>
      </c>
      <c r="L162" s="139" t="s">
        <v>52</v>
      </c>
      <c r="M162" s="132"/>
      <c r="N162" s="141"/>
      <c r="O162" s="141"/>
      <c r="P162" s="141"/>
      <c r="Q162" s="141"/>
      <c r="R162" s="141"/>
      <c r="S162" s="141"/>
      <c r="T162" s="141"/>
      <c r="U162" s="141"/>
      <c r="V162" s="141"/>
      <c r="W162" s="141"/>
      <c r="X162" s="141"/>
      <c r="Y162" s="141"/>
      <c r="Z162" s="141"/>
    </row>
    <row r="163" ht="12.75" customHeight="1" spans="1:26">
      <c r="A163" s="132"/>
      <c r="B163" s="140" t="s">
        <v>110</v>
      </c>
      <c r="C163" s="132" t="s">
        <v>330</v>
      </c>
      <c r="D163" s="139" t="s">
        <v>331</v>
      </c>
      <c r="E163" s="140">
        <v>27</v>
      </c>
      <c r="F163" s="132">
        <v>46</v>
      </c>
      <c r="G163" s="132">
        <v>56</v>
      </c>
      <c r="H163" s="139" t="s">
        <v>11</v>
      </c>
      <c r="I163" s="140">
        <v>50</v>
      </c>
      <c r="J163" s="132">
        <v>16</v>
      </c>
      <c r="K163" s="132">
        <v>54</v>
      </c>
      <c r="L163" s="139" t="s">
        <v>52</v>
      </c>
      <c r="M163" s="132"/>
      <c r="N163" s="141"/>
      <c r="O163" s="141"/>
      <c r="P163" s="141"/>
      <c r="Q163" s="141"/>
      <c r="R163" s="141"/>
      <c r="S163" s="141"/>
      <c r="T163" s="141"/>
      <c r="U163" s="141"/>
      <c r="V163" s="141"/>
      <c r="W163" s="141"/>
      <c r="X163" s="141"/>
      <c r="Y163" s="141"/>
      <c r="Z163" s="141"/>
    </row>
    <row r="164" ht="12.75" customHeight="1" spans="1:26">
      <c r="A164" s="132"/>
      <c r="B164" s="140" t="s">
        <v>110</v>
      </c>
      <c r="C164" s="132" t="s">
        <v>332</v>
      </c>
      <c r="D164" s="139" t="s">
        <v>333</v>
      </c>
      <c r="E164" s="140">
        <v>27</v>
      </c>
      <c r="F164" s="132">
        <v>54</v>
      </c>
      <c r="G164" s="132">
        <v>32</v>
      </c>
      <c r="H164" s="139" t="s">
        <v>11</v>
      </c>
      <c r="I164" s="140">
        <v>54</v>
      </c>
      <c r="J164" s="132">
        <v>31</v>
      </c>
      <c r="K164" s="132">
        <v>20</v>
      </c>
      <c r="L164" s="139" t="s">
        <v>52</v>
      </c>
      <c r="M164" s="132"/>
      <c r="N164" s="141"/>
      <c r="O164" s="141"/>
      <c r="P164" s="141"/>
      <c r="Q164" s="141"/>
      <c r="R164" s="141"/>
      <c r="S164" s="141"/>
      <c r="T164" s="141"/>
      <c r="U164" s="141"/>
      <c r="V164" s="141"/>
      <c r="W164" s="141"/>
      <c r="X164" s="141"/>
      <c r="Y164" s="141"/>
      <c r="Z164" s="141"/>
    </row>
    <row r="165" customHeight="1" spans="1:26">
      <c r="A165" s="132"/>
      <c r="B165" s="140" t="s">
        <v>110</v>
      </c>
      <c r="C165" s="132" t="s">
        <v>334</v>
      </c>
      <c r="D165" s="139" t="s">
        <v>335</v>
      </c>
      <c r="E165" s="140">
        <v>12</v>
      </c>
      <c r="F165" s="132">
        <v>12</v>
      </c>
      <c r="G165" s="132">
        <v>11</v>
      </c>
      <c r="H165" s="139" t="s">
        <v>11</v>
      </c>
      <c r="I165" s="140">
        <v>38</v>
      </c>
      <c r="J165" s="132">
        <v>54</v>
      </c>
      <c r="K165" s="132">
        <v>24</v>
      </c>
      <c r="L165" s="139" t="s">
        <v>52</v>
      </c>
      <c r="M165" s="132"/>
      <c r="N165" s="141"/>
      <c r="O165" s="141"/>
      <c r="P165" s="141"/>
      <c r="Q165" s="141"/>
      <c r="R165" s="141"/>
      <c r="S165" s="141"/>
      <c r="T165" s="141"/>
      <c r="U165" s="141"/>
      <c r="V165" s="141"/>
      <c r="W165" s="141"/>
      <c r="X165" s="141"/>
      <c r="Y165" s="141"/>
      <c r="Z165" s="141"/>
    </row>
    <row r="166" ht="12.75" customHeight="1" spans="1:26">
      <c r="A166" s="132"/>
      <c r="B166" s="140" t="s">
        <v>110</v>
      </c>
      <c r="C166" s="132" t="s">
        <v>336</v>
      </c>
      <c r="D166" s="139" t="s">
        <v>337</v>
      </c>
      <c r="E166" s="140">
        <v>4</v>
      </c>
      <c r="F166" s="132">
        <v>5</v>
      </c>
      <c r="G166" s="132">
        <v>30</v>
      </c>
      <c r="H166" s="139" t="s">
        <v>11</v>
      </c>
      <c r="I166" s="140">
        <v>63</v>
      </c>
      <c r="J166" s="132">
        <v>8</v>
      </c>
      <c r="K166" s="132">
        <v>30</v>
      </c>
      <c r="L166" s="139" t="s">
        <v>52</v>
      </c>
      <c r="M166" s="132"/>
      <c r="N166" s="141"/>
      <c r="O166" s="141"/>
      <c r="P166" s="141"/>
      <c r="Q166" s="141"/>
      <c r="R166" s="141"/>
      <c r="S166" s="141"/>
      <c r="T166" s="141"/>
      <c r="U166" s="141"/>
      <c r="V166" s="141"/>
      <c r="W166" s="141"/>
      <c r="X166" s="141"/>
      <c r="Y166" s="141"/>
      <c r="Z166" s="141"/>
    </row>
    <row r="167" ht="12.75" customHeight="1" spans="1:26">
      <c r="A167" s="132"/>
      <c r="B167" s="140" t="s">
        <v>110</v>
      </c>
      <c r="C167" s="132" t="s">
        <v>338</v>
      </c>
      <c r="D167" s="139" t="s">
        <v>339</v>
      </c>
      <c r="E167" s="140">
        <v>4</v>
      </c>
      <c r="F167" s="132">
        <v>52</v>
      </c>
      <c r="G167" s="132">
        <v>7</v>
      </c>
      <c r="H167" s="139" t="s">
        <v>11</v>
      </c>
      <c r="I167" s="140">
        <v>66</v>
      </c>
      <c r="J167" s="132">
        <v>53</v>
      </c>
      <c r="K167" s="132">
        <v>51</v>
      </c>
      <c r="L167" s="139" t="s">
        <v>52</v>
      </c>
      <c r="M167" s="132"/>
      <c r="N167" s="141"/>
      <c r="O167" s="141"/>
      <c r="P167" s="141"/>
      <c r="Q167" s="141"/>
      <c r="R167" s="141"/>
      <c r="S167" s="141"/>
      <c r="T167" s="141"/>
      <c r="U167" s="141"/>
      <c r="V167" s="141"/>
      <c r="W167" s="141"/>
      <c r="X167" s="141"/>
      <c r="Y167" s="141"/>
      <c r="Z167" s="141"/>
    </row>
    <row r="168" ht="12.75" customHeight="1" spans="1:26">
      <c r="A168" s="132"/>
      <c r="B168" s="140" t="s">
        <v>110</v>
      </c>
      <c r="C168" s="132" t="s">
        <v>340</v>
      </c>
      <c r="D168" s="139" t="s">
        <v>341</v>
      </c>
      <c r="E168" s="140">
        <v>25</v>
      </c>
      <c r="F168" s="132">
        <v>11</v>
      </c>
      <c r="G168" s="132">
        <v>16</v>
      </c>
      <c r="H168" s="139" t="s">
        <v>11</v>
      </c>
      <c r="I168" s="140">
        <v>50</v>
      </c>
      <c r="J168" s="132">
        <v>8</v>
      </c>
      <c r="K168" s="132">
        <v>40</v>
      </c>
      <c r="L168" s="139" t="s">
        <v>52</v>
      </c>
      <c r="M168" s="132"/>
      <c r="N168" s="141"/>
      <c r="O168" s="141"/>
      <c r="P168" s="141"/>
      <c r="Q168" s="141"/>
      <c r="R168" s="141"/>
      <c r="S168" s="141"/>
      <c r="T168" s="141"/>
      <c r="U168" s="141"/>
      <c r="V168" s="141"/>
      <c r="W168" s="141"/>
      <c r="X168" s="141"/>
      <c r="Y168" s="141"/>
      <c r="Z168" s="141"/>
    </row>
    <row r="169" ht="12.75" customHeight="1" spans="1:26">
      <c r="A169" s="132"/>
      <c r="B169" s="140" t="s">
        <v>110</v>
      </c>
      <c r="C169" s="132" t="s">
        <v>342</v>
      </c>
      <c r="D169" s="139" t="s">
        <v>343</v>
      </c>
      <c r="E169" s="140">
        <v>2</v>
      </c>
      <c r="F169" s="132">
        <v>54</v>
      </c>
      <c r="G169" s="132">
        <v>24</v>
      </c>
      <c r="H169" s="139" t="s">
        <v>11</v>
      </c>
      <c r="I169" s="140">
        <v>40</v>
      </c>
      <c r="J169" s="132">
        <v>21</v>
      </c>
      <c r="K169" s="132">
        <v>30</v>
      </c>
      <c r="L169" s="139" t="s">
        <v>52</v>
      </c>
      <c r="M169" s="132"/>
      <c r="N169" s="141"/>
      <c r="O169" s="141"/>
      <c r="P169" s="141"/>
      <c r="Q169" s="141"/>
      <c r="R169" s="141"/>
      <c r="S169" s="141"/>
      <c r="T169" s="141"/>
      <c r="U169" s="141"/>
      <c r="V169" s="141"/>
      <c r="W169" s="141"/>
      <c r="X169" s="141"/>
      <c r="Y169" s="141"/>
      <c r="Z169" s="141"/>
    </row>
    <row r="170" ht="12.75" customHeight="1" spans="1:26">
      <c r="A170" s="132"/>
      <c r="B170" s="140" t="s">
        <v>110</v>
      </c>
      <c r="C170" s="132" t="s">
        <v>344</v>
      </c>
      <c r="D170" s="139" t="s">
        <v>345</v>
      </c>
      <c r="E170" s="140">
        <v>1</v>
      </c>
      <c r="F170" s="132">
        <v>15</v>
      </c>
      <c r="G170" s="132">
        <v>1</v>
      </c>
      <c r="H170" s="139" t="s">
        <v>11</v>
      </c>
      <c r="I170" s="140">
        <v>46</v>
      </c>
      <c r="J170" s="132">
        <v>1</v>
      </c>
      <c r="K170" s="132">
        <v>2</v>
      </c>
      <c r="L170" s="139" t="s">
        <v>52</v>
      </c>
      <c r="M170" s="132"/>
      <c r="N170" s="141"/>
      <c r="O170" s="141"/>
      <c r="P170" s="141"/>
      <c r="Q170" s="141"/>
      <c r="R170" s="141"/>
      <c r="S170" s="141"/>
      <c r="T170" s="141"/>
      <c r="U170" s="141"/>
      <c r="V170" s="141"/>
      <c r="W170" s="141"/>
      <c r="X170" s="141"/>
      <c r="Y170" s="141"/>
      <c r="Z170" s="141"/>
    </row>
    <row r="171" ht="12.75" customHeight="1" spans="1:26">
      <c r="A171" s="132"/>
      <c r="B171" s="140" t="s">
        <v>110</v>
      </c>
      <c r="C171" s="132" t="s">
        <v>346</v>
      </c>
      <c r="D171" s="139" t="s">
        <v>347</v>
      </c>
      <c r="E171" s="140">
        <v>28</v>
      </c>
      <c r="F171" s="132">
        <v>16</v>
      </c>
      <c r="G171" s="132">
        <v>56</v>
      </c>
      <c r="H171" s="139" t="s">
        <v>11</v>
      </c>
      <c r="I171" s="140">
        <v>54</v>
      </c>
      <c r="J171" s="132">
        <v>10</v>
      </c>
      <c r="K171" s="132">
        <v>8</v>
      </c>
      <c r="L171" s="139" t="s">
        <v>52</v>
      </c>
      <c r="M171" s="132"/>
      <c r="N171" s="141"/>
      <c r="O171" s="141"/>
      <c r="P171" s="141"/>
      <c r="Q171" s="141"/>
      <c r="R171" s="141"/>
      <c r="S171" s="141"/>
      <c r="T171" s="141"/>
      <c r="U171" s="141"/>
      <c r="V171" s="141"/>
      <c r="W171" s="141"/>
      <c r="X171" s="141"/>
      <c r="Y171" s="141"/>
      <c r="Z171" s="141"/>
    </row>
    <row r="172" ht="12.75" customHeight="1" spans="1:26">
      <c r="A172" s="132"/>
      <c r="B172" s="140" t="s">
        <v>110</v>
      </c>
      <c r="C172" s="132" t="s">
        <v>348</v>
      </c>
      <c r="D172" s="139" t="s">
        <v>263</v>
      </c>
      <c r="E172" s="140">
        <v>22</v>
      </c>
      <c r="F172" s="132">
        <v>59</v>
      </c>
      <c r="G172" s="132">
        <v>15</v>
      </c>
      <c r="H172" s="139" t="s">
        <v>11</v>
      </c>
      <c r="I172" s="140">
        <v>43</v>
      </c>
      <c r="J172" s="132">
        <v>22</v>
      </c>
      <c r="K172" s="132">
        <v>12</v>
      </c>
      <c r="L172" s="139" t="s">
        <v>52</v>
      </c>
      <c r="M172" s="132"/>
      <c r="N172" s="141"/>
      <c r="O172" s="141"/>
      <c r="P172" s="141"/>
      <c r="Q172" s="141"/>
      <c r="R172" s="141"/>
      <c r="S172" s="141"/>
      <c r="T172" s="141"/>
      <c r="U172" s="141"/>
      <c r="V172" s="141"/>
      <c r="W172" s="141"/>
      <c r="X172" s="141"/>
      <c r="Y172" s="141"/>
      <c r="Z172" s="141"/>
    </row>
    <row r="173" ht="12.75" customHeight="1" spans="1:26">
      <c r="A173" s="132"/>
      <c r="B173" s="140" t="s">
        <v>110</v>
      </c>
      <c r="C173" s="132" t="s">
        <v>349</v>
      </c>
      <c r="D173" s="139" t="s">
        <v>350</v>
      </c>
      <c r="E173" s="140">
        <v>5</v>
      </c>
      <c r="F173" s="132">
        <v>11</v>
      </c>
      <c r="G173" s="132">
        <v>45</v>
      </c>
      <c r="H173" s="139" t="s">
        <v>11</v>
      </c>
      <c r="I173" s="140">
        <v>37</v>
      </c>
      <c r="J173" s="132">
        <v>21</v>
      </c>
      <c r="K173" s="132">
        <v>41</v>
      </c>
      <c r="L173" s="139" t="s">
        <v>52</v>
      </c>
      <c r="M173" s="132"/>
      <c r="N173" s="141"/>
      <c r="O173" s="141"/>
      <c r="P173" s="141"/>
      <c r="Q173" s="141"/>
      <c r="R173" s="141"/>
      <c r="S173" s="141"/>
      <c r="T173" s="141"/>
      <c r="U173" s="141"/>
      <c r="V173" s="141"/>
      <c r="W173" s="141"/>
      <c r="X173" s="141"/>
      <c r="Y173" s="141"/>
      <c r="Z173" s="141"/>
    </row>
    <row r="174" ht="12.75" customHeight="1" spans="1:26">
      <c r="A174" s="132"/>
      <c r="B174" s="140" t="s">
        <v>110</v>
      </c>
      <c r="C174" s="132" t="s">
        <v>351</v>
      </c>
      <c r="D174" s="139" t="s">
        <v>352</v>
      </c>
      <c r="E174" s="140">
        <v>44</v>
      </c>
      <c r="F174" s="132">
        <v>34</v>
      </c>
      <c r="G174" s="132">
        <v>16</v>
      </c>
      <c r="H174" s="139" t="s">
        <v>18</v>
      </c>
      <c r="I174" s="140">
        <v>26</v>
      </c>
      <c r="J174" s="132">
        <v>5</v>
      </c>
      <c r="K174" s="132">
        <v>6</v>
      </c>
      <c r="L174" s="139" t="s">
        <v>12</v>
      </c>
      <c r="M174" s="132"/>
      <c r="N174" s="141"/>
      <c r="O174" s="141"/>
      <c r="P174" s="141"/>
      <c r="Q174" s="141"/>
      <c r="R174" s="141"/>
      <c r="S174" s="141"/>
      <c r="T174" s="141"/>
      <c r="U174" s="141"/>
      <c r="V174" s="141"/>
      <c r="W174" s="141"/>
      <c r="X174" s="141"/>
      <c r="Y174" s="141"/>
      <c r="Z174" s="141"/>
    </row>
    <row r="175" ht="12.75" customHeight="1" spans="1:26">
      <c r="A175" s="132"/>
      <c r="B175" s="140" t="s">
        <v>110</v>
      </c>
      <c r="C175" s="132" t="s">
        <v>353</v>
      </c>
      <c r="D175" s="139" t="s">
        <v>354</v>
      </c>
      <c r="E175" s="140">
        <v>48</v>
      </c>
      <c r="F175" s="132">
        <v>14</v>
      </c>
      <c r="G175" s="132">
        <v>7</v>
      </c>
      <c r="H175" s="139" t="s">
        <v>18</v>
      </c>
      <c r="I175" s="140">
        <v>14</v>
      </c>
      <c r="J175" s="132">
        <v>11</v>
      </c>
      <c r="K175" s="132">
        <v>17</v>
      </c>
      <c r="L175" s="139" t="s">
        <v>12</v>
      </c>
      <c r="M175" s="132"/>
      <c r="N175" s="141"/>
      <c r="O175" s="141"/>
      <c r="P175" s="141"/>
      <c r="Q175" s="141"/>
      <c r="R175" s="141"/>
      <c r="S175" s="141"/>
      <c r="T175" s="141"/>
      <c r="U175" s="141"/>
      <c r="V175" s="141"/>
      <c r="W175" s="141"/>
      <c r="X175" s="141"/>
      <c r="Y175" s="141"/>
      <c r="Z175" s="141"/>
    </row>
    <row r="176" ht="12.75" customHeight="1" spans="1:26">
      <c r="A176" s="132"/>
      <c r="B176" s="140" t="s">
        <v>110</v>
      </c>
      <c r="C176" s="132" t="s">
        <v>355</v>
      </c>
      <c r="D176" s="139" t="s">
        <v>356</v>
      </c>
      <c r="E176" s="140">
        <v>7</v>
      </c>
      <c r="F176" s="132">
        <v>31</v>
      </c>
      <c r="G176" s="132">
        <v>31</v>
      </c>
      <c r="H176" s="139" t="s">
        <v>11</v>
      </c>
      <c r="I176" s="140">
        <v>46</v>
      </c>
      <c r="J176" s="132">
        <v>3</v>
      </c>
      <c r="K176" s="132">
        <v>12</v>
      </c>
      <c r="L176" s="139" t="s">
        <v>52</v>
      </c>
      <c r="M176" s="132"/>
      <c r="N176" s="141"/>
      <c r="O176" s="141"/>
      <c r="P176" s="141"/>
      <c r="Q176" s="141"/>
      <c r="R176" s="141"/>
      <c r="S176" s="141"/>
      <c r="T176" s="141"/>
      <c r="U176" s="141"/>
      <c r="V176" s="141"/>
      <c r="W176" s="141"/>
      <c r="X176" s="141"/>
      <c r="Y176" s="141"/>
      <c r="Z176" s="141"/>
    </row>
    <row r="177" ht="12.75" customHeight="1" spans="1:26">
      <c r="A177" s="132"/>
      <c r="B177" s="140" t="s">
        <v>357</v>
      </c>
      <c r="C177" s="132" t="s">
        <v>358</v>
      </c>
      <c r="D177" s="139" t="s">
        <v>359</v>
      </c>
      <c r="E177" s="140">
        <v>42</v>
      </c>
      <c r="F177" s="132">
        <v>41</v>
      </c>
      <c r="G177" s="132">
        <v>48</v>
      </c>
      <c r="H177" s="139" t="s">
        <v>18</v>
      </c>
      <c r="I177" s="140">
        <v>23</v>
      </c>
      <c r="J177" s="132">
        <v>24</v>
      </c>
      <c r="K177" s="132">
        <v>41</v>
      </c>
      <c r="L177" s="139" t="s">
        <v>12</v>
      </c>
      <c r="M177" s="132"/>
      <c r="N177" s="141"/>
      <c r="O177" s="141"/>
      <c r="P177" s="141"/>
      <c r="Q177" s="141"/>
      <c r="R177" s="141"/>
      <c r="S177" s="141"/>
      <c r="T177" s="141"/>
      <c r="U177" s="141"/>
      <c r="V177" s="141"/>
      <c r="W177" s="141"/>
      <c r="X177" s="141"/>
      <c r="Y177" s="141"/>
      <c r="Z177" s="141"/>
    </row>
    <row r="178" ht="12.75" customHeight="1" spans="1:26">
      <c r="A178" s="132"/>
      <c r="B178" s="140" t="s">
        <v>360</v>
      </c>
      <c r="C178" s="132" t="s">
        <v>361</v>
      </c>
      <c r="D178" s="139" t="s">
        <v>362</v>
      </c>
      <c r="E178" s="140">
        <v>14</v>
      </c>
      <c r="F178" s="132">
        <v>56</v>
      </c>
      <c r="G178" s="132">
        <v>28</v>
      </c>
      <c r="H178" s="139" t="s">
        <v>18</v>
      </c>
      <c r="I178" s="140">
        <v>23</v>
      </c>
      <c r="J178" s="132">
        <v>29</v>
      </c>
      <c r="K178" s="132">
        <v>5</v>
      </c>
      <c r="L178" s="139" t="s">
        <v>52</v>
      </c>
      <c r="M178" s="132"/>
      <c r="N178" s="141"/>
      <c r="O178" s="141"/>
      <c r="P178" s="141"/>
      <c r="Q178" s="141"/>
      <c r="R178" s="141"/>
      <c r="S178" s="141"/>
      <c r="T178" s="141"/>
      <c r="U178" s="141"/>
      <c r="V178" s="141"/>
      <c r="W178" s="141"/>
      <c r="X178" s="141"/>
      <c r="Y178" s="141"/>
      <c r="Z178" s="141"/>
    </row>
    <row r="179" ht="12.75" customHeight="1" spans="1:26">
      <c r="A179" s="132"/>
      <c r="B179" s="140" t="s">
        <v>363</v>
      </c>
      <c r="C179" s="132" t="s">
        <v>364</v>
      </c>
      <c r="D179" s="139" t="s">
        <v>365</v>
      </c>
      <c r="E179" s="140">
        <v>43</v>
      </c>
      <c r="F179" s="132">
        <v>1</v>
      </c>
      <c r="G179" s="132">
        <v>58</v>
      </c>
      <c r="H179" s="139" t="s">
        <v>18</v>
      </c>
      <c r="I179" s="140">
        <v>81</v>
      </c>
      <c r="J179" s="132">
        <v>9</v>
      </c>
      <c r="K179" s="132">
        <v>4</v>
      </c>
      <c r="L179" s="139" t="s">
        <v>52</v>
      </c>
      <c r="M179" s="132"/>
      <c r="N179" s="141"/>
      <c r="O179" s="141"/>
      <c r="P179" s="141"/>
      <c r="Q179" s="141"/>
      <c r="R179" s="141"/>
      <c r="S179" s="141"/>
      <c r="T179" s="141"/>
      <c r="U179" s="141"/>
      <c r="V179" s="141"/>
      <c r="W179" s="141"/>
      <c r="X179" s="141"/>
      <c r="Y179" s="141"/>
      <c r="Z179" s="141"/>
    </row>
    <row r="180" ht="12.75" customHeight="1" spans="1:26">
      <c r="A180" s="132"/>
      <c r="B180" s="140" t="s">
        <v>363</v>
      </c>
      <c r="C180" s="132" t="s">
        <v>366</v>
      </c>
      <c r="D180" s="139" t="s">
        <v>367</v>
      </c>
      <c r="E180" s="140">
        <v>45</v>
      </c>
      <c r="F180" s="132">
        <v>28</v>
      </c>
      <c r="G180" s="132">
        <v>14</v>
      </c>
      <c r="H180" s="139" t="s">
        <v>18</v>
      </c>
      <c r="I180" s="140">
        <v>73</v>
      </c>
      <c r="J180" s="132">
        <v>44</v>
      </c>
      <c r="K180" s="132">
        <v>27</v>
      </c>
      <c r="L180" s="139" t="s">
        <v>52</v>
      </c>
      <c r="M180" s="132"/>
      <c r="N180" s="141"/>
      <c r="O180" s="141"/>
      <c r="P180" s="141"/>
      <c r="Q180" s="141"/>
      <c r="R180" s="141"/>
      <c r="S180" s="141"/>
      <c r="T180" s="141"/>
      <c r="U180" s="141"/>
      <c r="V180" s="141"/>
      <c r="W180" s="141"/>
      <c r="X180" s="141"/>
      <c r="Y180" s="141"/>
      <c r="Z180" s="141"/>
    </row>
    <row r="181" ht="12.75" customHeight="1" spans="1:26">
      <c r="A181" s="132"/>
      <c r="B181" s="140" t="s">
        <v>363</v>
      </c>
      <c r="C181" s="132" t="s">
        <v>368</v>
      </c>
      <c r="D181" s="139" t="s">
        <v>369</v>
      </c>
      <c r="E181" s="140">
        <v>45</v>
      </c>
      <c r="F181" s="132">
        <v>19</v>
      </c>
      <c r="G181" s="132">
        <v>21</v>
      </c>
      <c r="H181" s="139" t="s">
        <v>18</v>
      </c>
      <c r="I181" s="140">
        <v>75</v>
      </c>
      <c r="J181" s="132">
        <v>40</v>
      </c>
      <c r="K181" s="132">
        <v>9</v>
      </c>
      <c r="L181" s="139" t="s">
        <v>52</v>
      </c>
      <c r="M181" s="132"/>
      <c r="N181" s="141"/>
      <c r="O181" s="141"/>
      <c r="P181" s="141"/>
      <c r="Q181" s="141"/>
      <c r="R181" s="141"/>
      <c r="S181" s="141"/>
      <c r="T181" s="141"/>
      <c r="U181" s="141"/>
      <c r="V181" s="141"/>
      <c r="W181" s="141"/>
      <c r="X181" s="141"/>
      <c r="Y181" s="141"/>
      <c r="Z181" s="141"/>
    </row>
    <row r="182" ht="12.75" customHeight="1" spans="1:26">
      <c r="A182" s="132"/>
      <c r="B182" s="140" t="s">
        <v>363</v>
      </c>
      <c r="C182" s="132" t="s">
        <v>370</v>
      </c>
      <c r="D182" s="139" t="s">
        <v>371</v>
      </c>
      <c r="E182" s="140">
        <v>46</v>
      </c>
      <c r="F182" s="132">
        <v>47</v>
      </c>
      <c r="G182" s="132">
        <v>28</v>
      </c>
      <c r="H182" s="139" t="s">
        <v>18</v>
      </c>
      <c r="I182" s="140">
        <v>71</v>
      </c>
      <c r="J182" s="132">
        <v>23</v>
      </c>
      <c r="K182" s="132">
        <v>36</v>
      </c>
      <c r="L182" s="139" t="s">
        <v>52</v>
      </c>
      <c r="M182" s="132"/>
      <c r="N182" s="141"/>
      <c r="O182" s="141"/>
      <c r="P182" s="141"/>
      <c r="Q182" s="141"/>
      <c r="R182" s="141"/>
      <c r="S182" s="141"/>
      <c r="T182" s="141"/>
      <c r="U182" s="141"/>
      <c r="V182" s="141"/>
      <c r="W182" s="141"/>
      <c r="X182" s="141"/>
      <c r="Y182" s="141"/>
      <c r="Z182" s="141"/>
    </row>
    <row r="183" ht="12.75" customHeight="1" spans="1:26">
      <c r="A183" s="132"/>
      <c r="B183" s="140" t="s">
        <v>363</v>
      </c>
      <c r="C183" s="132" t="s">
        <v>372</v>
      </c>
      <c r="D183" s="139" t="s">
        <v>373</v>
      </c>
      <c r="E183" s="140">
        <v>49</v>
      </c>
      <c r="F183" s="132">
        <v>11</v>
      </c>
      <c r="G183" s="132">
        <v>38</v>
      </c>
      <c r="H183" s="139" t="s">
        <v>18</v>
      </c>
      <c r="I183" s="140">
        <v>123</v>
      </c>
      <c r="J183" s="132">
        <v>11</v>
      </c>
      <c r="K183" s="132">
        <v>4</v>
      </c>
      <c r="L183" s="139" t="s">
        <v>52</v>
      </c>
      <c r="M183" s="132"/>
      <c r="N183" s="141"/>
      <c r="O183" s="141"/>
      <c r="P183" s="141"/>
      <c r="Q183" s="141"/>
      <c r="R183" s="141"/>
      <c r="S183" s="141"/>
      <c r="T183" s="141"/>
      <c r="U183" s="141"/>
      <c r="V183" s="141"/>
      <c r="W183" s="141"/>
      <c r="X183" s="141"/>
      <c r="Y183" s="141"/>
      <c r="Z183" s="141"/>
    </row>
    <row r="184" ht="12.75" customHeight="1" spans="1:26">
      <c r="A184" s="132"/>
      <c r="B184" s="140" t="s">
        <v>363</v>
      </c>
      <c r="C184" s="132" t="s">
        <v>374</v>
      </c>
      <c r="D184" s="139" t="s">
        <v>375</v>
      </c>
      <c r="E184" s="140">
        <v>43</v>
      </c>
      <c r="F184" s="132">
        <v>40</v>
      </c>
      <c r="G184" s="132">
        <v>38</v>
      </c>
      <c r="H184" s="139" t="s">
        <v>18</v>
      </c>
      <c r="I184" s="140">
        <v>79</v>
      </c>
      <c r="J184" s="132">
        <v>37</v>
      </c>
      <c r="K184" s="132">
        <v>50</v>
      </c>
      <c r="L184" s="139" t="s">
        <v>52</v>
      </c>
      <c r="M184" s="132"/>
      <c r="N184" s="141"/>
      <c r="O184" s="141"/>
      <c r="P184" s="141"/>
      <c r="Q184" s="141"/>
      <c r="R184" s="141"/>
      <c r="S184" s="141"/>
      <c r="T184" s="141"/>
      <c r="U184" s="141"/>
      <c r="V184" s="141"/>
      <c r="W184" s="141"/>
      <c r="X184" s="141"/>
      <c r="Y184" s="141"/>
      <c r="Z184" s="141"/>
    </row>
    <row r="185" ht="12.75" customHeight="1" spans="1:26">
      <c r="A185" s="132"/>
      <c r="B185" s="140" t="s">
        <v>363</v>
      </c>
      <c r="C185" s="132" t="s">
        <v>376</v>
      </c>
      <c r="D185" s="139" t="s">
        <v>377</v>
      </c>
      <c r="E185" s="140">
        <v>53</v>
      </c>
      <c r="F185" s="132">
        <v>18</v>
      </c>
      <c r="G185" s="132">
        <v>35</v>
      </c>
      <c r="H185" s="139" t="s">
        <v>18</v>
      </c>
      <c r="I185" s="140">
        <v>113</v>
      </c>
      <c r="J185" s="132">
        <v>34</v>
      </c>
      <c r="K185" s="132">
        <v>48</v>
      </c>
      <c r="L185" s="139" t="s">
        <v>52</v>
      </c>
      <c r="M185" s="132"/>
      <c r="N185" s="141"/>
      <c r="O185" s="141"/>
      <c r="P185" s="141"/>
      <c r="Q185" s="141"/>
      <c r="R185" s="141"/>
      <c r="S185" s="141"/>
      <c r="T185" s="141"/>
      <c r="U185" s="141"/>
      <c r="V185" s="141"/>
      <c r="W185" s="141"/>
      <c r="X185" s="141"/>
      <c r="Y185" s="141"/>
      <c r="Z185" s="141"/>
    </row>
    <row r="186" ht="12.75" customHeight="1" spans="1:26">
      <c r="A186" s="132"/>
      <c r="B186" s="140" t="s">
        <v>363</v>
      </c>
      <c r="C186" s="132" t="s">
        <v>378</v>
      </c>
      <c r="D186" s="139" t="s">
        <v>379</v>
      </c>
      <c r="E186" s="140">
        <v>51</v>
      </c>
      <c r="F186" s="132">
        <v>6</v>
      </c>
      <c r="G186" s="132">
        <v>50</v>
      </c>
      <c r="H186" s="139" t="s">
        <v>18</v>
      </c>
      <c r="I186" s="140">
        <v>114</v>
      </c>
      <c r="J186" s="132">
        <v>1</v>
      </c>
      <c r="K186" s="132">
        <v>12</v>
      </c>
      <c r="L186" s="139" t="s">
        <v>52</v>
      </c>
      <c r="M186" s="132"/>
      <c r="N186" s="141"/>
      <c r="O186" s="141"/>
      <c r="P186" s="141"/>
      <c r="Q186" s="141"/>
      <c r="R186" s="141"/>
      <c r="S186" s="141"/>
      <c r="T186" s="141"/>
      <c r="U186" s="141"/>
      <c r="V186" s="141"/>
      <c r="W186" s="141"/>
      <c r="X186" s="141"/>
      <c r="Y186" s="141"/>
      <c r="Z186" s="141"/>
    </row>
    <row r="187" ht="12.75" customHeight="1" spans="1:26">
      <c r="A187" s="132"/>
      <c r="B187" s="140" t="s">
        <v>363</v>
      </c>
      <c r="C187" s="132" t="s">
        <v>380</v>
      </c>
      <c r="D187" s="139" t="s">
        <v>381</v>
      </c>
      <c r="E187" s="140">
        <v>44</v>
      </c>
      <c r="F187" s="132">
        <v>52</v>
      </c>
      <c r="G187" s="132">
        <v>52</v>
      </c>
      <c r="H187" s="139" t="s">
        <v>18</v>
      </c>
      <c r="I187" s="140">
        <v>63</v>
      </c>
      <c r="J187" s="132">
        <v>30</v>
      </c>
      <c r="K187" s="132">
        <v>31</v>
      </c>
      <c r="L187" s="139" t="s">
        <v>52</v>
      </c>
      <c r="M187" s="132"/>
      <c r="N187" s="141"/>
      <c r="O187" s="141"/>
      <c r="P187" s="141"/>
      <c r="Q187" s="141"/>
      <c r="R187" s="141"/>
      <c r="S187" s="141"/>
      <c r="T187" s="141"/>
      <c r="U187" s="141"/>
      <c r="V187" s="141"/>
      <c r="W187" s="141"/>
      <c r="X187" s="141"/>
      <c r="Y187" s="141"/>
      <c r="Z187" s="141"/>
    </row>
    <row r="188" ht="12.75" customHeight="1" spans="1:26">
      <c r="A188" s="132"/>
      <c r="B188" s="140" t="s">
        <v>363</v>
      </c>
      <c r="C188" s="132" t="s">
        <v>382</v>
      </c>
      <c r="D188" s="139" t="s">
        <v>383</v>
      </c>
      <c r="E188" s="140">
        <v>48</v>
      </c>
      <c r="F188" s="132">
        <v>34</v>
      </c>
      <c r="G188" s="132">
        <v>14</v>
      </c>
      <c r="H188" s="132" t="s">
        <v>18</v>
      </c>
      <c r="I188" s="140">
        <v>81</v>
      </c>
      <c r="J188" s="132">
        <v>22</v>
      </c>
      <c r="K188" s="132">
        <v>36</v>
      </c>
      <c r="L188" s="139" t="s">
        <v>52</v>
      </c>
      <c r="M188" s="132"/>
      <c r="N188" s="141"/>
      <c r="O188" s="141"/>
      <c r="P188" s="141"/>
      <c r="Q188" s="141"/>
      <c r="R188" s="141"/>
      <c r="S188" s="141"/>
      <c r="T188" s="141"/>
      <c r="U188" s="141"/>
      <c r="V188" s="141"/>
      <c r="W188" s="141"/>
      <c r="X188" s="141"/>
      <c r="Y188" s="141"/>
      <c r="Z188" s="141"/>
    </row>
    <row r="189" ht="12.75" customHeight="1" spans="1:26">
      <c r="A189" s="132"/>
      <c r="B189" s="140" t="s">
        <v>363</v>
      </c>
      <c r="C189" s="132" t="s">
        <v>384</v>
      </c>
      <c r="D189" s="132" t="s">
        <v>385</v>
      </c>
      <c r="E189" s="140">
        <v>48</v>
      </c>
      <c r="F189" s="132">
        <v>38</v>
      </c>
      <c r="G189" s="132">
        <v>50</v>
      </c>
      <c r="H189" s="132" t="s">
        <v>18</v>
      </c>
      <c r="I189" s="140">
        <v>123</v>
      </c>
      <c r="J189" s="132">
        <v>25</v>
      </c>
      <c r="K189" s="132">
        <v>33</v>
      </c>
      <c r="L189" s="139" t="s">
        <v>52</v>
      </c>
      <c r="M189" s="132"/>
      <c r="N189" s="141"/>
      <c r="O189" s="141"/>
      <c r="P189" s="141"/>
      <c r="Q189" s="141"/>
      <c r="R189" s="141"/>
      <c r="S189" s="141"/>
      <c r="T189" s="141"/>
      <c r="U189" s="141"/>
      <c r="V189" s="141"/>
      <c r="W189" s="141"/>
      <c r="X189" s="141"/>
      <c r="Y189" s="141"/>
      <c r="Z189" s="141"/>
    </row>
    <row r="190" ht="12.75" customHeight="1" spans="1:26">
      <c r="A190" s="132"/>
      <c r="B190" s="140" t="s">
        <v>386</v>
      </c>
      <c r="C190" s="132" t="s">
        <v>387</v>
      </c>
      <c r="D190" s="132" t="s">
        <v>388</v>
      </c>
      <c r="E190" s="140">
        <v>25</v>
      </c>
      <c r="F190" s="132">
        <v>15</v>
      </c>
      <c r="G190" s="132">
        <v>40</v>
      </c>
      <c r="H190" s="132" t="s">
        <v>18</v>
      </c>
      <c r="I190" s="140">
        <v>51</v>
      </c>
      <c r="J190" s="132">
        <v>33</v>
      </c>
      <c r="K190" s="132">
        <v>54</v>
      </c>
      <c r="L190" s="139" t="s">
        <v>12</v>
      </c>
      <c r="M190" s="132"/>
      <c r="N190" s="141"/>
      <c r="O190" s="141"/>
      <c r="P190" s="141"/>
      <c r="Q190" s="141"/>
      <c r="R190" s="141"/>
      <c r="S190" s="141"/>
      <c r="T190" s="141"/>
      <c r="U190" s="141"/>
      <c r="V190" s="141"/>
      <c r="W190" s="141"/>
      <c r="X190" s="141"/>
      <c r="Y190" s="141"/>
      <c r="Z190" s="141"/>
    </row>
    <row r="191" ht="12.75" customHeight="1" spans="1:26">
      <c r="A191" s="132"/>
      <c r="B191" s="140" t="s">
        <v>389</v>
      </c>
      <c r="C191" s="132" t="s">
        <v>390</v>
      </c>
      <c r="D191" s="132" t="s">
        <v>391</v>
      </c>
      <c r="E191" s="140">
        <v>18</v>
      </c>
      <c r="F191" s="132">
        <v>20</v>
      </c>
      <c r="G191" s="132">
        <v>55</v>
      </c>
      <c r="H191" s="132" t="s">
        <v>11</v>
      </c>
      <c r="I191" s="140">
        <v>70</v>
      </c>
      <c r="J191" s="132">
        <v>20</v>
      </c>
      <c r="K191" s="132">
        <v>19</v>
      </c>
      <c r="L191" s="139" t="s">
        <v>52</v>
      </c>
      <c r="M191" s="132"/>
      <c r="N191" s="141"/>
      <c r="O191" s="141"/>
      <c r="P191" s="141"/>
      <c r="Q191" s="141"/>
      <c r="R191" s="141"/>
      <c r="S191" s="141"/>
      <c r="T191" s="141"/>
      <c r="U191" s="141"/>
      <c r="V191" s="141"/>
      <c r="W191" s="141"/>
      <c r="X191" s="141"/>
      <c r="Y191" s="141"/>
      <c r="Z191" s="141"/>
    </row>
    <row r="192" ht="12.75" customHeight="1" spans="1:26">
      <c r="A192" s="132"/>
      <c r="B192" s="140" t="s">
        <v>389</v>
      </c>
      <c r="C192" s="132" t="s">
        <v>392</v>
      </c>
      <c r="D192" s="139" t="s">
        <v>393</v>
      </c>
      <c r="E192" s="140">
        <v>33</v>
      </c>
      <c r="F192" s="132">
        <v>23</v>
      </c>
      <c r="G192" s="132">
        <v>35</v>
      </c>
      <c r="H192" s="139" t="s">
        <v>11</v>
      </c>
      <c r="I192" s="140">
        <v>70</v>
      </c>
      <c r="J192" s="132">
        <v>47</v>
      </c>
      <c r="K192" s="132">
        <v>9</v>
      </c>
      <c r="L192" s="139" t="s">
        <v>52</v>
      </c>
      <c r="M192" s="132"/>
      <c r="N192" s="141"/>
      <c r="O192" s="141"/>
      <c r="P192" s="141"/>
      <c r="Q192" s="141"/>
      <c r="R192" s="141"/>
      <c r="S192" s="141"/>
      <c r="T192" s="141"/>
      <c r="U192" s="141"/>
      <c r="V192" s="141"/>
      <c r="W192" s="141"/>
      <c r="X192" s="141"/>
      <c r="Y192" s="141"/>
      <c r="Z192" s="141"/>
    </row>
    <row r="193" ht="12.75" customHeight="1" spans="1:26">
      <c r="A193" s="132"/>
      <c r="B193" s="140" t="s">
        <v>389</v>
      </c>
      <c r="C193" s="132" t="s">
        <v>394</v>
      </c>
      <c r="D193" s="139" t="s">
        <v>395</v>
      </c>
      <c r="E193" s="140">
        <v>23</v>
      </c>
      <c r="F193" s="132">
        <v>26</v>
      </c>
      <c r="G193" s="132">
        <v>40</v>
      </c>
      <c r="H193" s="139" t="s">
        <v>11</v>
      </c>
      <c r="I193" s="140">
        <v>70</v>
      </c>
      <c r="J193" s="132">
        <v>26</v>
      </c>
      <c r="K193" s="132">
        <v>42</v>
      </c>
      <c r="L193" s="139" t="s">
        <v>52</v>
      </c>
      <c r="M193" s="132"/>
      <c r="N193" s="141"/>
      <c r="O193" s="141"/>
      <c r="P193" s="141"/>
      <c r="Q193" s="141"/>
      <c r="R193" s="141"/>
      <c r="S193" s="141"/>
      <c r="T193" s="141"/>
      <c r="U193" s="141"/>
      <c r="V193" s="141"/>
      <c r="W193" s="141"/>
      <c r="X193" s="141"/>
      <c r="Y193" s="141"/>
      <c r="Z193" s="141"/>
    </row>
    <row r="194" ht="12.75" customHeight="1" spans="1:26">
      <c r="A194" s="132"/>
      <c r="B194" s="140" t="s">
        <v>389</v>
      </c>
      <c r="C194" s="132" t="s">
        <v>396</v>
      </c>
      <c r="D194" s="139" t="s">
        <v>397</v>
      </c>
      <c r="E194" s="140">
        <v>22</v>
      </c>
      <c r="F194" s="132">
        <v>29</v>
      </c>
      <c r="G194" s="132">
        <v>54</v>
      </c>
      <c r="H194" s="139" t="s">
        <v>11</v>
      </c>
      <c r="I194" s="140">
        <v>68</v>
      </c>
      <c r="J194" s="132">
        <v>54</v>
      </c>
      <c r="K194" s="132">
        <v>13</v>
      </c>
      <c r="L194" s="139" t="s">
        <v>52</v>
      </c>
      <c r="M194" s="132"/>
      <c r="N194" s="141"/>
      <c r="O194" s="141"/>
      <c r="P194" s="141"/>
      <c r="Q194" s="141"/>
      <c r="R194" s="141"/>
      <c r="S194" s="141"/>
      <c r="T194" s="141"/>
      <c r="U194" s="141"/>
      <c r="V194" s="141"/>
      <c r="W194" s="141"/>
      <c r="X194" s="141"/>
      <c r="Y194" s="141"/>
      <c r="Z194" s="141"/>
    </row>
    <row r="195" ht="12.75" customHeight="1" spans="1:26">
      <c r="A195" s="132"/>
      <c r="B195" s="140" t="s">
        <v>389</v>
      </c>
      <c r="C195" s="132" t="s">
        <v>398</v>
      </c>
      <c r="D195" s="139" t="s">
        <v>399</v>
      </c>
      <c r="E195" s="140">
        <v>27</v>
      </c>
      <c r="F195" s="132">
        <v>15</v>
      </c>
      <c r="G195" s="132">
        <v>40</v>
      </c>
      <c r="H195" s="139" t="s">
        <v>11</v>
      </c>
      <c r="I195" s="140">
        <v>70</v>
      </c>
      <c r="J195" s="132">
        <v>46</v>
      </c>
      <c r="K195" s="132">
        <v>45</v>
      </c>
      <c r="L195" s="139" t="s">
        <v>52</v>
      </c>
      <c r="M195" s="132"/>
      <c r="N195" s="141"/>
      <c r="O195" s="141"/>
      <c r="P195" s="141"/>
      <c r="Q195" s="141"/>
      <c r="R195" s="141"/>
      <c r="S195" s="141"/>
      <c r="T195" s="141"/>
      <c r="U195" s="141"/>
      <c r="V195" s="141"/>
      <c r="W195" s="141"/>
      <c r="X195" s="141"/>
      <c r="Y195" s="141"/>
      <c r="Z195" s="141"/>
    </row>
    <row r="196" ht="12.75" customHeight="1" spans="1:26">
      <c r="A196" s="132"/>
      <c r="B196" s="140" t="s">
        <v>389</v>
      </c>
      <c r="C196" s="132" t="s">
        <v>400</v>
      </c>
      <c r="D196" s="139" t="s">
        <v>401</v>
      </c>
      <c r="E196" s="140">
        <v>29</v>
      </c>
      <c r="F196" s="132">
        <v>54</v>
      </c>
      <c r="G196" s="132">
        <v>59</v>
      </c>
      <c r="H196" s="139" t="s">
        <v>11</v>
      </c>
      <c r="I196" s="140">
        <v>71</v>
      </c>
      <c r="J196" s="132">
        <v>11</v>
      </c>
      <c r="K196" s="132">
        <v>58</v>
      </c>
      <c r="L196" s="139" t="s">
        <v>52</v>
      </c>
      <c r="M196" s="132"/>
      <c r="N196" s="141"/>
      <c r="O196" s="141"/>
      <c r="P196" s="141"/>
      <c r="Q196" s="141"/>
      <c r="R196" s="141"/>
      <c r="S196" s="141"/>
      <c r="T196" s="141"/>
      <c r="U196" s="141"/>
      <c r="V196" s="141"/>
      <c r="W196" s="141"/>
      <c r="X196" s="141"/>
      <c r="Y196" s="141"/>
      <c r="Z196" s="141"/>
    </row>
    <row r="197" ht="12.75" customHeight="1" spans="1:26">
      <c r="A197" s="132"/>
      <c r="B197" s="140" t="s">
        <v>402</v>
      </c>
      <c r="C197" s="132" t="s">
        <v>403</v>
      </c>
      <c r="D197" s="139" t="s">
        <v>404</v>
      </c>
      <c r="E197" s="140">
        <v>23</v>
      </c>
      <c r="F197" s="132">
        <v>23</v>
      </c>
      <c r="G197" s="132">
        <v>33</v>
      </c>
      <c r="H197" s="139" t="s">
        <v>18</v>
      </c>
      <c r="I197" s="140">
        <v>113</v>
      </c>
      <c r="J197" s="132">
        <v>17</v>
      </c>
      <c r="K197" s="132">
        <v>56</v>
      </c>
      <c r="L197" s="139" t="s">
        <v>12</v>
      </c>
      <c r="M197" s="132"/>
      <c r="N197" s="141"/>
      <c r="O197" s="141"/>
      <c r="P197" s="141"/>
      <c r="Q197" s="141"/>
      <c r="R197" s="141"/>
      <c r="S197" s="141"/>
      <c r="T197" s="141"/>
      <c r="U197" s="141"/>
      <c r="V197" s="141"/>
      <c r="W197" s="141"/>
      <c r="X197" s="141"/>
      <c r="Y197" s="141"/>
      <c r="Z197" s="141"/>
    </row>
    <row r="198" ht="12.75" customHeight="1" spans="1:26">
      <c r="A198" s="132"/>
      <c r="B198" s="140" t="s">
        <v>402</v>
      </c>
      <c r="C198" s="132" t="s">
        <v>405</v>
      </c>
      <c r="D198" s="139" t="s">
        <v>406</v>
      </c>
      <c r="E198" s="140">
        <v>22</v>
      </c>
      <c r="F198" s="132">
        <v>18</v>
      </c>
      <c r="G198" s="132">
        <v>32</v>
      </c>
      <c r="H198" s="139" t="s">
        <v>18</v>
      </c>
      <c r="I198" s="140">
        <v>113</v>
      </c>
      <c r="J198" s="132">
        <v>54</v>
      </c>
      <c r="K198" s="132">
        <v>53</v>
      </c>
      <c r="L198" s="139" t="s">
        <v>12</v>
      </c>
      <c r="M198" s="132"/>
      <c r="N198" s="141"/>
      <c r="O198" s="141"/>
      <c r="P198" s="141"/>
      <c r="Q198" s="141"/>
      <c r="R198" s="141"/>
      <c r="S198" s="141"/>
      <c r="T198" s="141"/>
      <c r="U198" s="141"/>
      <c r="V198" s="141"/>
      <c r="W198" s="141"/>
      <c r="X198" s="141"/>
      <c r="Y198" s="141"/>
      <c r="Z198" s="141"/>
    </row>
    <row r="199" ht="12.75" customHeight="1" spans="1:26">
      <c r="A199" s="132"/>
      <c r="B199" s="140" t="s">
        <v>402</v>
      </c>
      <c r="C199" s="132" t="s">
        <v>407</v>
      </c>
      <c r="D199" s="139" t="s">
        <v>408</v>
      </c>
      <c r="E199" s="140">
        <v>40</v>
      </c>
      <c r="F199" s="132">
        <v>3</v>
      </c>
      <c r="G199" s="132">
        <v>48</v>
      </c>
      <c r="H199" s="139" t="s">
        <v>18</v>
      </c>
      <c r="I199" s="140">
        <v>116</v>
      </c>
      <c r="J199" s="132">
        <v>35</v>
      </c>
      <c r="K199" s="132">
        <v>4</v>
      </c>
      <c r="L199" s="139" t="s">
        <v>12</v>
      </c>
      <c r="M199" s="132"/>
      <c r="N199" s="141"/>
      <c r="O199" s="141"/>
      <c r="P199" s="141"/>
      <c r="Q199" s="141"/>
      <c r="R199" s="141"/>
      <c r="S199" s="141"/>
      <c r="T199" s="141"/>
      <c r="U199" s="141"/>
      <c r="V199" s="141"/>
      <c r="W199" s="141"/>
      <c r="X199" s="141"/>
      <c r="Y199" s="141"/>
      <c r="Z199" s="141"/>
    </row>
    <row r="200" ht="12.75" customHeight="1" spans="1:26">
      <c r="A200" s="132"/>
      <c r="B200" s="140" t="s">
        <v>402</v>
      </c>
      <c r="C200" s="132" t="s">
        <v>409</v>
      </c>
      <c r="D200" s="132" t="s">
        <v>410</v>
      </c>
      <c r="E200" s="140">
        <v>31</v>
      </c>
      <c r="F200" s="132">
        <v>11</v>
      </c>
      <c r="G200" s="132">
        <v>52</v>
      </c>
      <c r="H200" s="132" t="s">
        <v>18</v>
      </c>
      <c r="I200" s="140">
        <v>121</v>
      </c>
      <c r="J200" s="132">
        <v>20</v>
      </c>
      <c r="K200" s="132">
        <v>11</v>
      </c>
      <c r="L200" s="139" t="s">
        <v>12</v>
      </c>
      <c r="M200" s="132"/>
      <c r="N200" s="141"/>
      <c r="O200" s="141"/>
      <c r="P200" s="141"/>
      <c r="Q200" s="141"/>
      <c r="R200" s="141"/>
      <c r="S200" s="141"/>
      <c r="T200" s="141"/>
      <c r="U200" s="141"/>
      <c r="V200" s="141"/>
      <c r="W200" s="141"/>
      <c r="X200" s="141"/>
      <c r="Y200" s="141"/>
      <c r="Z200" s="141"/>
    </row>
    <row r="201" ht="12.75" customHeight="1" spans="1:26">
      <c r="A201" s="132"/>
      <c r="B201" s="140" t="s">
        <v>402</v>
      </c>
      <c r="C201" s="132" t="s">
        <v>411</v>
      </c>
      <c r="D201" s="132" t="s">
        <v>412</v>
      </c>
      <c r="E201" s="140">
        <v>31</v>
      </c>
      <c r="F201" s="132">
        <v>8</v>
      </c>
      <c r="G201" s="132">
        <v>36</v>
      </c>
      <c r="H201" s="132" t="s">
        <v>18</v>
      </c>
      <c r="I201" s="140">
        <v>121</v>
      </c>
      <c r="J201" s="132">
        <v>48</v>
      </c>
      <c r="K201" s="132">
        <v>19</v>
      </c>
      <c r="L201" s="139" t="s">
        <v>12</v>
      </c>
      <c r="M201" s="132"/>
      <c r="N201" s="141"/>
      <c r="O201" s="141"/>
      <c r="P201" s="141"/>
      <c r="Q201" s="141"/>
      <c r="R201" s="141"/>
      <c r="S201" s="141"/>
      <c r="T201" s="141"/>
      <c r="U201" s="141"/>
      <c r="V201" s="141"/>
      <c r="W201" s="141"/>
      <c r="X201" s="141"/>
      <c r="Y201" s="141"/>
      <c r="Z201" s="141"/>
    </row>
    <row r="202" ht="12.75" customHeight="1" spans="1:26">
      <c r="A202" s="132"/>
      <c r="B202" s="140" t="s">
        <v>402</v>
      </c>
      <c r="C202" s="132" t="s">
        <v>413</v>
      </c>
      <c r="D202" s="132" t="s">
        <v>414</v>
      </c>
      <c r="E202" s="140">
        <v>24</v>
      </c>
      <c r="F202" s="132">
        <v>32</v>
      </c>
      <c r="G202" s="132">
        <v>38</v>
      </c>
      <c r="H202" s="132" t="s">
        <v>18</v>
      </c>
      <c r="I202" s="140">
        <v>18</v>
      </c>
      <c r="J202" s="132">
        <v>7</v>
      </c>
      <c r="K202" s="132">
        <v>41</v>
      </c>
      <c r="L202" s="139" t="s">
        <v>12</v>
      </c>
      <c r="M202" s="132"/>
      <c r="N202" s="141"/>
      <c r="O202" s="141"/>
      <c r="P202" s="141"/>
      <c r="Q202" s="141"/>
      <c r="R202" s="141"/>
      <c r="S202" s="141"/>
      <c r="T202" s="141"/>
      <c r="U202" s="141"/>
      <c r="V202" s="141"/>
      <c r="W202" s="141"/>
      <c r="X202" s="141"/>
      <c r="Y202" s="141"/>
      <c r="Z202" s="141"/>
    </row>
    <row r="203" ht="12.75" customHeight="1" spans="1:26">
      <c r="A203" s="132"/>
      <c r="B203" s="140" t="s">
        <v>402</v>
      </c>
      <c r="C203" s="132" t="s">
        <v>415</v>
      </c>
      <c r="D203" s="139" t="s">
        <v>416</v>
      </c>
      <c r="E203" s="140">
        <v>41</v>
      </c>
      <c r="F203" s="132">
        <v>32</v>
      </c>
      <c r="G203" s="132">
        <v>17</v>
      </c>
      <c r="H203" s="139" t="s">
        <v>18</v>
      </c>
      <c r="I203" s="140">
        <v>120</v>
      </c>
      <c r="J203" s="132">
        <v>26</v>
      </c>
      <c r="K203" s="132">
        <v>6</v>
      </c>
      <c r="L203" s="139" t="s">
        <v>12</v>
      </c>
      <c r="M203" s="132"/>
      <c r="N203" s="141"/>
      <c r="O203" s="141"/>
      <c r="P203" s="141"/>
      <c r="Q203" s="141"/>
      <c r="R203" s="141"/>
      <c r="S203" s="141"/>
      <c r="T203" s="141"/>
      <c r="U203" s="141"/>
      <c r="V203" s="141"/>
      <c r="W203" s="141"/>
      <c r="X203" s="141"/>
      <c r="Y203" s="141"/>
      <c r="Z203" s="141"/>
    </row>
    <row r="204" ht="12.75" customHeight="1" spans="1:26">
      <c r="A204" s="132"/>
      <c r="B204" s="140" t="s">
        <v>402</v>
      </c>
      <c r="C204" s="132" t="s">
        <v>417</v>
      </c>
      <c r="D204" s="139" t="s">
        <v>418</v>
      </c>
      <c r="E204" s="140">
        <v>24</v>
      </c>
      <c r="F204" s="132">
        <v>48</v>
      </c>
      <c r="G204" s="132">
        <v>0</v>
      </c>
      <c r="H204" s="139" t="s">
        <v>18</v>
      </c>
      <c r="I204" s="140">
        <v>118</v>
      </c>
      <c r="J204" s="132">
        <v>35</v>
      </c>
      <c r="K204" s="132">
        <v>24</v>
      </c>
      <c r="L204" s="139" t="s">
        <v>12</v>
      </c>
      <c r="M204" s="132"/>
      <c r="N204" s="141"/>
      <c r="O204" s="141"/>
      <c r="P204" s="141"/>
      <c r="Q204" s="141"/>
      <c r="R204" s="141"/>
      <c r="S204" s="141"/>
      <c r="T204" s="141"/>
      <c r="U204" s="141"/>
      <c r="V204" s="141"/>
      <c r="W204" s="141"/>
      <c r="X204" s="141"/>
      <c r="Y204" s="141"/>
      <c r="Z204" s="141"/>
    </row>
    <row r="205" ht="12.75" customHeight="1" spans="1:26">
      <c r="A205" s="132"/>
      <c r="B205" s="140" t="s">
        <v>402</v>
      </c>
      <c r="C205" s="132" t="s">
        <v>419</v>
      </c>
      <c r="D205" s="139" t="s">
        <v>420</v>
      </c>
      <c r="E205" s="140">
        <v>36</v>
      </c>
      <c r="F205" s="132">
        <v>15</v>
      </c>
      <c r="G205" s="132">
        <v>54</v>
      </c>
      <c r="H205" s="139" t="s">
        <v>18</v>
      </c>
      <c r="I205" s="140">
        <v>120</v>
      </c>
      <c r="J205" s="132">
        <v>22</v>
      </c>
      <c r="K205" s="132">
        <v>24</v>
      </c>
      <c r="L205" s="139" t="s">
        <v>12</v>
      </c>
      <c r="M205" s="132"/>
      <c r="N205" s="141"/>
      <c r="O205" s="141"/>
      <c r="P205" s="141"/>
      <c r="Q205" s="141"/>
      <c r="R205" s="141"/>
      <c r="S205" s="141"/>
      <c r="T205" s="141"/>
      <c r="U205" s="141"/>
      <c r="V205" s="141"/>
      <c r="W205" s="141"/>
      <c r="X205" s="141"/>
      <c r="Y205" s="141"/>
      <c r="Z205" s="141"/>
    </row>
    <row r="206" ht="12.75" customHeight="1" spans="1:26">
      <c r="A206" s="132"/>
      <c r="B206" s="140" t="s">
        <v>402</v>
      </c>
      <c r="C206" s="132" t="s">
        <v>421</v>
      </c>
      <c r="D206" s="139" t="s">
        <v>422</v>
      </c>
      <c r="E206" s="140">
        <v>22</v>
      </c>
      <c r="F206" s="132">
        <v>38</v>
      </c>
      <c r="G206" s="132">
        <v>18</v>
      </c>
      <c r="H206" s="139" t="s">
        <v>18</v>
      </c>
      <c r="I206" s="140">
        <v>113</v>
      </c>
      <c r="J206" s="132">
        <v>48</v>
      </c>
      <c r="K206" s="132">
        <v>42</v>
      </c>
      <c r="L206" s="139" t="s">
        <v>12</v>
      </c>
      <c r="M206" s="132"/>
      <c r="N206" s="141"/>
      <c r="O206" s="141"/>
      <c r="P206" s="141"/>
      <c r="Q206" s="141"/>
      <c r="R206" s="141"/>
      <c r="S206" s="141"/>
      <c r="T206" s="141"/>
      <c r="U206" s="141"/>
      <c r="V206" s="141"/>
      <c r="W206" s="141"/>
      <c r="X206" s="141"/>
      <c r="Y206" s="141"/>
      <c r="Z206" s="141"/>
    </row>
    <row r="207" ht="12.75" customHeight="1" spans="1:26">
      <c r="A207" s="132"/>
      <c r="B207" s="140" t="s">
        <v>423</v>
      </c>
      <c r="C207" s="132" t="s">
        <v>424</v>
      </c>
      <c r="D207" s="139" t="s">
        <v>425</v>
      </c>
      <c r="E207" s="140">
        <v>35</v>
      </c>
      <c r="F207" s="132">
        <v>9</v>
      </c>
      <c r="G207" s="132">
        <v>0</v>
      </c>
      <c r="H207" s="139" t="s">
        <v>18</v>
      </c>
      <c r="I207" s="140">
        <v>33</v>
      </c>
      <c r="J207" s="132">
        <v>30</v>
      </c>
      <c r="K207" s="132">
        <v>0</v>
      </c>
      <c r="L207" s="139" t="s">
        <v>12</v>
      </c>
      <c r="M207" s="132"/>
      <c r="N207" s="141"/>
      <c r="O207" s="141"/>
      <c r="P207" s="141"/>
      <c r="Q207" s="141"/>
      <c r="R207" s="141"/>
      <c r="S207" s="141"/>
      <c r="T207" s="141"/>
      <c r="U207" s="141"/>
      <c r="V207" s="141"/>
      <c r="W207" s="141"/>
      <c r="X207" s="141"/>
      <c r="Y207" s="141"/>
      <c r="Z207" s="141"/>
    </row>
    <row r="208" ht="12.75" customHeight="1" spans="1:26">
      <c r="A208" s="132"/>
      <c r="B208" s="140" t="s">
        <v>426</v>
      </c>
      <c r="C208" s="132" t="s">
        <v>427</v>
      </c>
      <c r="D208" s="139" t="s">
        <v>428</v>
      </c>
      <c r="E208" s="140">
        <v>4</v>
      </c>
      <c r="F208" s="132">
        <v>42</v>
      </c>
      <c r="G208" s="132">
        <v>11</v>
      </c>
      <c r="H208" s="139" t="s">
        <v>18</v>
      </c>
      <c r="I208" s="140">
        <v>74</v>
      </c>
      <c r="J208" s="132">
        <v>8</v>
      </c>
      <c r="K208" s="132">
        <v>18</v>
      </c>
      <c r="L208" s="139" t="s">
        <v>52</v>
      </c>
      <c r="M208" s="132"/>
      <c r="N208" s="141"/>
      <c r="O208" s="141"/>
      <c r="P208" s="141"/>
      <c r="Q208" s="141"/>
      <c r="R208" s="141"/>
      <c r="S208" s="141"/>
      <c r="T208" s="141"/>
      <c r="U208" s="141"/>
      <c r="V208" s="141"/>
      <c r="W208" s="141"/>
      <c r="X208" s="141"/>
      <c r="Y208" s="141"/>
      <c r="Z208" s="141"/>
    </row>
    <row r="209" ht="12.75" customHeight="1" spans="1:26">
      <c r="A209" s="132"/>
      <c r="B209" s="140" t="s">
        <v>426</v>
      </c>
      <c r="C209" s="132" t="s">
        <v>429</v>
      </c>
      <c r="D209" s="139" t="s">
        <v>430</v>
      </c>
      <c r="E209" s="140">
        <v>4</v>
      </c>
      <c r="F209" s="132">
        <v>40</v>
      </c>
      <c r="G209" s="132">
        <v>0</v>
      </c>
      <c r="H209" s="139" t="s">
        <v>18</v>
      </c>
      <c r="I209" s="140">
        <v>72</v>
      </c>
      <c r="J209" s="132">
        <v>0</v>
      </c>
      <c r="K209" s="132">
        <v>0</v>
      </c>
      <c r="L209" s="139" t="s">
        <v>52</v>
      </c>
      <c r="M209" s="132"/>
      <c r="N209" s="141"/>
      <c r="O209" s="141"/>
      <c r="P209" s="141"/>
      <c r="Q209" s="141"/>
      <c r="R209" s="141"/>
      <c r="S209" s="141"/>
      <c r="T209" s="141"/>
      <c r="U209" s="141"/>
      <c r="V209" s="141"/>
      <c r="W209" s="141"/>
      <c r="X209" s="141"/>
      <c r="Y209" s="141"/>
      <c r="Z209" s="141"/>
    </row>
    <row r="210" ht="12.75" customHeight="1" spans="1:26">
      <c r="A210" s="132"/>
      <c r="B210" s="140" t="s">
        <v>426</v>
      </c>
      <c r="C210" s="132" t="s">
        <v>431</v>
      </c>
      <c r="D210" s="139" t="s">
        <v>432</v>
      </c>
      <c r="E210" s="140">
        <v>6</v>
      </c>
      <c r="F210" s="132">
        <v>10</v>
      </c>
      <c r="G210" s="132">
        <v>2</v>
      </c>
      <c r="H210" s="139" t="s">
        <v>18</v>
      </c>
      <c r="I210" s="140">
        <v>75</v>
      </c>
      <c r="J210" s="132">
        <v>25</v>
      </c>
      <c r="K210" s="132">
        <v>23</v>
      </c>
      <c r="L210" s="139" t="s">
        <v>52</v>
      </c>
      <c r="M210" s="132"/>
      <c r="N210" s="141"/>
      <c r="O210" s="141"/>
      <c r="P210" s="141"/>
      <c r="Q210" s="141"/>
      <c r="R210" s="141"/>
      <c r="S210" s="141"/>
      <c r="T210" s="141"/>
      <c r="U210" s="141"/>
      <c r="V210" s="141"/>
      <c r="W210" s="141"/>
      <c r="X210" s="141"/>
      <c r="Y210" s="141"/>
      <c r="Z210" s="141"/>
    </row>
    <row r="211" ht="12.75" customHeight="1" spans="1:26">
      <c r="A211" s="132"/>
      <c r="B211" s="140" t="s">
        <v>426</v>
      </c>
      <c r="C211" s="132" t="s">
        <v>433</v>
      </c>
      <c r="D211" s="139" t="s">
        <v>434</v>
      </c>
      <c r="E211" s="140">
        <v>6</v>
      </c>
      <c r="F211" s="132">
        <v>13</v>
      </c>
      <c r="G211" s="132">
        <v>0</v>
      </c>
      <c r="H211" s="139" t="s">
        <v>18</v>
      </c>
      <c r="I211" s="140">
        <v>75</v>
      </c>
      <c r="J211" s="132">
        <v>35</v>
      </c>
      <c r="K211" s="132">
        <v>0</v>
      </c>
      <c r="L211" s="139" t="s">
        <v>52</v>
      </c>
      <c r="M211" s="132"/>
      <c r="N211" s="141"/>
      <c r="O211" s="141"/>
      <c r="P211" s="141"/>
      <c r="Q211" s="141"/>
      <c r="R211" s="141"/>
      <c r="S211" s="141"/>
      <c r="T211" s="141"/>
      <c r="U211" s="141"/>
      <c r="V211" s="141"/>
      <c r="W211" s="141"/>
      <c r="X211" s="141"/>
      <c r="Y211" s="141"/>
      <c r="Z211" s="141"/>
    </row>
    <row r="212" ht="12.75" customHeight="1" spans="1:26">
      <c r="A212" s="132"/>
      <c r="B212" s="140" t="s">
        <v>426</v>
      </c>
      <c r="C212" s="132" t="s">
        <v>435</v>
      </c>
      <c r="D212" s="139" t="s">
        <v>436</v>
      </c>
      <c r="E212" s="140">
        <v>3</v>
      </c>
      <c r="F212" s="132">
        <v>32</v>
      </c>
      <c r="G212" s="132">
        <v>36</v>
      </c>
      <c r="H212" s="139" t="s">
        <v>18</v>
      </c>
      <c r="I212" s="140">
        <v>76</v>
      </c>
      <c r="J212" s="132">
        <v>22</v>
      </c>
      <c r="K212" s="132">
        <v>54</v>
      </c>
      <c r="L212" s="139" t="s">
        <v>52</v>
      </c>
      <c r="M212" s="132"/>
      <c r="N212" s="141"/>
      <c r="O212" s="141"/>
      <c r="P212" s="141"/>
      <c r="Q212" s="141"/>
      <c r="R212" s="141"/>
      <c r="S212" s="141"/>
      <c r="T212" s="141"/>
      <c r="U212" s="141"/>
      <c r="V212" s="141"/>
      <c r="W212" s="141"/>
      <c r="X212" s="141"/>
      <c r="Y212" s="141"/>
      <c r="Z212" s="141"/>
    </row>
    <row r="213" ht="12.75" customHeight="1" spans="1:26">
      <c r="A213" s="132"/>
      <c r="B213" s="140" t="s">
        <v>426</v>
      </c>
      <c r="C213" s="132" t="s">
        <v>437</v>
      </c>
      <c r="D213" s="139" t="s">
        <v>438</v>
      </c>
      <c r="E213" s="140">
        <v>10</v>
      </c>
      <c r="F213" s="132">
        <v>26</v>
      </c>
      <c r="G213" s="132">
        <v>33</v>
      </c>
      <c r="H213" s="139" t="s">
        <v>18</v>
      </c>
      <c r="I213" s="140">
        <v>75</v>
      </c>
      <c r="J213" s="132">
        <v>30</v>
      </c>
      <c r="K213" s="132">
        <v>47</v>
      </c>
      <c r="L213" s="139" t="s">
        <v>52</v>
      </c>
      <c r="M213" s="132"/>
      <c r="N213" s="141"/>
      <c r="O213" s="141"/>
      <c r="P213" s="141"/>
      <c r="Q213" s="141"/>
      <c r="R213" s="141"/>
      <c r="S213" s="141"/>
      <c r="T213" s="141"/>
      <c r="U213" s="141"/>
      <c r="V213" s="141"/>
      <c r="W213" s="141"/>
      <c r="X213" s="141"/>
      <c r="Y213" s="141"/>
      <c r="Z213" s="141"/>
    </row>
    <row r="214" ht="12.75" customHeight="1" spans="1:26">
      <c r="A214" s="132"/>
      <c r="B214" s="140" t="s">
        <v>426</v>
      </c>
      <c r="C214" s="132" t="s">
        <v>439</v>
      </c>
      <c r="D214" s="139" t="s">
        <v>440</v>
      </c>
      <c r="E214" s="140">
        <v>2</v>
      </c>
      <c r="F214" s="132">
        <v>27</v>
      </c>
      <c r="G214" s="132">
        <v>16</v>
      </c>
      <c r="H214" s="139" t="s">
        <v>18</v>
      </c>
      <c r="I214" s="140">
        <v>76</v>
      </c>
      <c r="J214" s="132">
        <v>36</v>
      </c>
      <c r="K214" s="132">
        <v>33</v>
      </c>
      <c r="L214" s="139" t="s">
        <v>52</v>
      </c>
      <c r="M214" s="132"/>
      <c r="N214" s="141"/>
      <c r="O214" s="141"/>
      <c r="P214" s="141"/>
      <c r="Q214" s="141"/>
      <c r="R214" s="141"/>
      <c r="S214" s="141"/>
      <c r="T214" s="141"/>
      <c r="U214" s="141"/>
      <c r="V214" s="141"/>
      <c r="W214" s="141"/>
      <c r="X214" s="141"/>
      <c r="Y214" s="141"/>
      <c r="Z214" s="141"/>
    </row>
    <row r="215" ht="12.75" customHeight="1" spans="1:26">
      <c r="A215" s="132"/>
      <c r="B215" s="140" t="s">
        <v>441</v>
      </c>
      <c r="C215" s="132" t="s">
        <v>442</v>
      </c>
      <c r="D215" s="139" t="s">
        <v>443</v>
      </c>
      <c r="E215" s="140">
        <v>37</v>
      </c>
      <c r="F215" s="132">
        <v>28</v>
      </c>
      <c r="G215" s="132">
        <v>9</v>
      </c>
      <c r="H215" s="139" t="s">
        <v>18</v>
      </c>
      <c r="I215" s="140">
        <v>126</v>
      </c>
      <c r="J215" s="132">
        <v>27</v>
      </c>
      <c r="K215" s="132">
        <v>2</v>
      </c>
      <c r="L215" s="139" t="s">
        <v>12</v>
      </c>
      <c r="M215" s="132"/>
      <c r="N215" s="141"/>
      <c r="O215" s="141"/>
      <c r="P215" s="141"/>
      <c r="Q215" s="141"/>
      <c r="R215" s="141"/>
      <c r="S215" s="141"/>
      <c r="T215" s="141"/>
      <c r="U215" s="141"/>
      <c r="V215" s="141"/>
      <c r="W215" s="141"/>
      <c r="X215" s="141"/>
      <c r="Y215" s="141"/>
      <c r="Z215" s="141"/>
    </row>
    <row r="216" ht="12.75" customHeight="1" spans="1:26">
      <c r="A216" s="132"/>
      <c r="B216" s="140" t="s">
        <v>444</v>
      </c>
      <c r="C216" s="132" t="s">
        <v>445</v>
      </c>
      <c r="D216" s="139" t="s">
        <v>446</v>
      </c>
      <c r="E216" s="140">
        <v>9</v>
      </c>
      <c r="F216" s="132">
        <v>59</v>
      </c>
      <c r="G216" s="132">
        <v>38</v>
      </c>
      <c r="H216" s="139" t="s">
        <v>18</v>
      </c>
      <c r="I216" s="140">
        <v>84</v>
      </c>
      <c r="J216" s="132">
        <v>12</v>
      </c>
      <c r="K216" s="132">
        <v>32</v>
      </c>
      <c r="L216" s="139" t="s">
        <v>52</v>
      </c>
      <c r="M216" s="132"/>
      <c r="N216" s="141"/>
      <c r="O216" s="141"/>
      <c r="P216" s="141"/>
      <c r="Q216" s="141"/>
      <c r="R216" s="141"/>
      <c r="S216" s="141"/>
      <c r="T216" s="141"/>
      <c r="U216" s="141"/>
      <c r="V216" s="141"/>
      <c r="W216" s="141"/>
      <c r="X216" s="141"/>
      <c r="Y216" s="141"/>
      <c r="Z216" s="141"/>
    </row>
    <row r="217" ht="12.75" customHeight="1" spans="1:26">
      <c r="A217" s="132"/>
      <c r="B217" s="140" t="s">
        <v>447</v>
      </c>
      <c r="C217" s="132" t="s">
        <v>448</v>
      </c>
      <c r="D217" s="139" t="s">
        <v>449</v>
      </c>
      <c r="E217" s="140">
        <v>42</v>
      </c>
      <c r="F217" s="132">
        <v>33</v>
      </c>
      <c r="G217" s="132">
        <v>41</v>
      </c>
      <c r="H217" s="139" t="s">
        <v>18</v>
      </c>
      <c r="I217" s="140">
        <v>18</v>
      </c>
      <c r="J217" s="132">
        <v>16</v>
      </c>
      <c r="K217" s="132">
        <v>6</v>
      </c>
      <c r="L217" s="139" t="s">
        <v>12</v>
      </c>
      <c r="M217" s="132"/>
      <c r="N217" s="141"/>
      <c r="O217" s="141"/>
      <c r="P217" s="141"/>
      <c r="Q217" s="141"/>
      <c r="R217" s="141"/>
      <c r="S217" s="141"/>
      <c r="T217" s="141"/>
      <c r="U217" s="141"/>
      <c r="V217" s="141"/>
      <c r="W217" s="141"/>
      <c r="X217" s="141"/>
      <c r="Y217" s="141"/>
      <c r="Z217" s="141"/>
    </row>
    <row r="218" ht="12.75" customHeight="1" spans="1:26">
      <c r="A218" s="132"/>
      <c r="B218" s="140" t="s">
        <v>447</v>
      </c>
      <c r="C218" s="132" t="s">
        <v>450</v>
      </c>
      <c r="D218" s="139" t="s">
        <v>451</v>
      </c>
      <c r="E218" s="140">
        <v>45</v>
      </c>
      <c r="F218" s="132">
        <v>44</v>
      </c>
      <c r="G218" s="132">
        <v>35</v>
      </c>
      <c r="H218" s="139" t="s">
        <v>18</v>
      </c>
      <c r="I218" s="140">
        <v>16</v>
      </c>
      <c r="J218" s="132">
        <v>4</v>
      </c>
      <c r="K218" s="132">
        <v>8</v>
      </c>
      <c r="L218" s="139" t="s">
        <v>12</v>
      </c>
      <c r="M218" s="132"/>
      <c r="N218" s="141"/>
      <c r="O218" s="141"/>
      <c r="P218" s="141"/>
      <c r="Q218" s="141"/>
      <c r="R218" s="141"/>
      <c r="S218" s="141"/>
      <c r="T218" s="141"/>
      <c r="U218" s="141"/>
      <c r="V218" s="141"/>
      <c r="W218" s="141"/>
      <c r="X218" s="141"/>
      <c r="Y218" s="141"/>
      <c r="Z218" s="141"/>
    </row>
    <row r="219" ht="12.75" customHeight="1" spans="1:26">
      <c r="A219" s="132"/>
      <c r="B219" s="140" t="s">
        <v>452</v>
      </c>
      <c r="C219" s="132" t="s">
        <v>453</v>
      </c>
      <c r="D219" s="139" t="s">
        <v>454</v>
      </c>
      <c r="E219" s="140">
        <v>22</v>
      </c>
      <c r="F219" s="132">
        <v>59</v>
      </c>
      <c r="G219" s="132">
        <v>21</v>
      </c>
      <c r="H219" s="139" t="s">
        <v>18</v>
      </c>
      <c r="I219" s="140">
        <v>82</v>
      </c>
      <c r="J219" s="132">
        <v>24</v>
      </c>
      <c r="K219" s="132">
        <v>33</v>
      </c>
      <c r="L219" s="139" t="s">
        <v>52</v>
      </c>
      <c r="M219" s="132"/>
      <c r="N219" s="141"/>
      <c r="O219" s="141"/>
      <c r="P219" s="141"/>
      <c r="Q219" s="141"/>
      <c r="R219" s="141"/>
      <c r="S219" s="141"/>
      <c r="T219" s="141"/>
      <c r="U219" s="141"/>
      <c r="V219" s="141"/>
      <c r="W219" s="141"/>
      <c r="X219" s="141"/>
      <c r="Y219" s="141"/>
      <c r="Z219" s="141"/>
    </row>
    <row r="220" ht="12.75" customHeight="1" spans="1:26">
      <c r="A220" s="132"/>
      <c r="B220" s="140" t="s">
        <v>455</v>
      </c>
      <c r="C220" s="132" t="s">
        <v>456</v>
      </c>
      <c r="D220" s="139" t="s">
        <v>457</v>
      </c>
      <c r="E220" s="140">
        <v>55</v>
      </c>
      <c r="F220" s="132">
        <v>37</v>
      </c>
      <c r="G220" s="132">
        <v>5</v>
      </c>
      <c r="H220" s="139" t="s">
        <v>18</v>
      </c>
      <c r="I220" s="140">
        <v>12</v>
      </c>
      <c r="J220" s="132">
        <v>39</v>
      </c>
      <c r="K220" s="132">
        <v>21</v>
      </c>
      <c r="L220" s="139" t="s">
        <v>12</v>
      </c>
      <c r="M220" s="132"/>
      <c r="N220" s="141"/>
      <c r="O220" s="141"/>
      <c r="P220" s="141"/>
      <c r="Q220" s="141"/>
      <c r="R220" s="141"/>
      <c r="S220" s="141"/>
      <c r="T220" s="141"/>
      <c r="U220" s="141"/>
      <c r="V220" s="141"/>
      <c r="W220" s="141"/>
      <c r="X220" s="141"/>
      <c r="Y220" s="141"/>
      <c r="Z220" s="141"/>
    </row>
    <row r="221" ht="12.75" customHeight="1" spans="1:26">
      <c r="A221" s="132"/>
      <c r="B221" s="140" t="s">
        <v>455</v>
      </c>
      <c r="C221" s="132" t="s">
        <v>458</v>
      </c>
      <c r="D221" s="139" t="s">
        <v>459</v>
      </c>
      <c r="E221" s="140">
        <v>56</v>
      </c>
      <c r="F221" s="132">
        <v>18</v>
      </c>
      <c r="G221" s="132">
        <v>0</v>
      </c>
      <c r="H221" s="139" t="s">
        <v>18</v>
      </c>
      <c r="I221" s="140">
        <v>10</v>
      </c>
      <c r="J221" s="132">
        <v>37</v>
      </c>
      <c r="K221" s="132">
        <v>8</v>
      </c>
      <c r="L221" s="139" t="s">
        <v>12</v>
      </c>
      <c r="M221" s="132"/>
      <c r="N221" s="141"/>
      <c r="O221" s="141"/>
      <c r="P221" s="141"/>
      <c r="Q221" s="141"/>
      <c r="R221" s="141"/>
      <c r="S221" s="141"/>
      <c r="T221" s="141"/>
      <c r="U221" s="141"/>
      <c r="V221" s="141"/>
      <c r="W221" s="141"/>
      <c r="X221" s="141"/>
      <c r="Y221" s="141"/>
      <c r="Z221" s="141"/>
    </row>
    <row r="222" ht="12.75" customHeight="1" spans="1:26">
      <c r="A222" s="132"/>
      <c r="B222" s="140" t="s">
        <v>455</v>
      </c>
      <c r="C222" s="132" t="s">
        <v>460</v>
      </c>
      <c r="D222" s="139" t="s">
        <v>461</v>
      </c>
      <c r="E222" s="140">
        <v>57</v>
      </c>
      <c r="F222" s="132">
        <v>5</v>
      </c>
      <c r="G222" s="132">
        <v>34</v>
      </c>
      <c r="H222" s="139" t="s">
        <v>18</v>
      </c>
      <c r="I222" s="140">
        <v>9</v>
      </c>
      <c r="J222" s="132">
        <v>50</v>
      </c>
      <c r="K222" s="132">
        <v>57</v>
      </c>
      <c r="L222" s="139" t="s">
        <v>12</v>
      </c>
      <c r="M222" s="132"/>
      <c r="N222" s="141"/>
      <c r="O222" s="141"/>
      <c r="P222" s="141"/>
      <c r="Q222" s="141"/>
      <c r="R222" s="141"/>
      <c r="S222" s="141"/>
      <c r="T222" s="141"/>
      <c r="U222" s="141"/>
      <c r="V222" s="141"/>
      <c r="W222" s="141"/>
      <c r="X222" s="141"/>
      <c r="Y222" s="141"/>
      <c r="Z222" s="141"/>
    </row>
    <row r="223" ht="12.75" customHeight="1" spans="1:26">
      <c r="A223" s="132"/>
      <c r="B223" s="140" t="s">
        <v>462</v>
      </c>
      <c r="C223" s="132" t="s">
        <v>463</v>
      </c>
      <c r="D223" s="139" t="s">
        <v>464</v>
      </c>
      <c r="E223" s="140">
        <v>30</v>
      </c>
      <c r="F223" s="132">
        <v>7</v>
      </c>
      <c r="G223" s="132">
        <v>19</v>
      </c>
      <c r="H223" s="139" t="s">
        <v>18</v>
      </c>
      <c r="I223" s="140">
        <v>31</v>
      </c>
      <c r="J223" s="132">
        <v>24</v>
      </c>
      <c r="K223" s="132">
        <v>20</v>
      </c>
      <c r="L223" s="139" t="s">
        <v>12</v>
      </c>
      <c r="M223" s="132"/>
      <c r="N223" s="141"/>
      <c r="O223" s="141"/>
      <c r="P223" s="141"/>
      <c r="Q223" s="141"/>
      <c r="R223" s="141"/>
      <c r="S223" s="141"/>
      <c r="T223" s="141"/>
      <c r="U223" s="141"/>
      <c r="V223" s="141"/>
      <c r="W223" s="141"/>
      <c r="X223" s="141"/>
      <c r="Y223" s="141"/>
      <c r="Z223" s="141"/>
    </row>
    <row r="224" ht="12.75" customHeight="1" spans="1:26">
      <c r="A224" s="132"/>
      <c r="B224" s="140" t="s">
        <v>462</v>
      </c>
      <c r="C224" s="132" t="s">
        <v>465</v>
      </c>
      <c r="D224" s="139" t="s">
        <v>466</v>
      </c>
      <c r="E224" s="140">
        <v>27</v>
      </c>
      <c r="F224" s="132">
        <v>58</v>
      </c>
      <c r="G224" s="132">
        <v>43</v>
      </c>
      <c r="H224" s="139" t="s">
        <v>18</v>
      </c>
      <c r="I224" s="140">
        <v>34</v>
      </c>
      <c r="J224" s="132">
        <v>23</v>
      </c>
      <c r="K224" s="132">
        <v>36</v>
      </c>
      <c r="L224" s="139" t="s">
        <v>12</v>
      </c>
      <c r="M224" s="132"/>
      <c r="N224" s="141"/>
      <c r="O224" s="141"/>
      <c r="P224" s="141"/>
      <c r="Q224" s="141"/>
      <c r="R224" s="141"/>
      <c r="S224" s="141"/>
      <c r="T224" s="141"/>
      <c r="U224" s="141"/>
      <c r="V224" s="141"/>
      <c r="W224" s="141"/>
      <c r="X224" s="141"/>
      <c r="Y224" s="141"/>
      <c r="Z224" s="141"/>
    </row>
    <row r="225" ht="12.75" customHeight="1" spans="1:26">
      <c r="A225" s="132"/>
      <c r="B225" s="140" t="s">
        <v>467</v>
      </c>
      <c r="C225" s="132" t="s">
        <v>468</v>
      </c>
      <c r="D225" s="139" t="s">
        <v>469</v>
      </c>
      <c r="E225" s="140">
        <v>25</v>
      </c>
      <c r="F225" s="132">
        <v>15</v>
      </c>
      <c r="G225" s="132">
        <v>10</v>
      </c>
      <c r="H225" s="139" t="s">
        <v>18</v>
      </c>
      <c r="I225" s="140">
        <v>55</v>
      </c>
      <c r="J225" s="132">
        <v>21</v>
      </c>
      <c r="K225" s="132">
        <v>52</v>
      </c>
      <c r="L225" s="139" t="s">
        <v>12</v>
      </c>
      <c r="M225" s="132"/>
      <c r="N225" s="141"/>
      <c r="O225" s="141"/>
      <c r="P225" s="141"/>
      <c r="Q225" s="141"/>
      <c r="R225" s="141"/>
      <c r="S225" s="141"/>
      <c r="T225" s="141"/>
      <c r="U225" s="141"/>
      <c r="V225" s="141"/>
      <c r="W225" s="141"/>
      <c r="X225" s="141"/>
      <c r="Y225" s="141"/>
      <c r="Z225" s="141"/>
    </row>
    <row r="226" ht="12.75" customHeight="1" spans="1:26">
      <c r="A226" s="132"/>
      <c r="B226" s="140" t="s">
        <v>467</v>
      </c>
      <c r="C226" s="132" t="s">
        <v>470</v>
      </c>
      <c r="D226" s="139" t="s">
        <v>471</v>
      </c>
      <c r="E226" s="140">
        <v>25</v>
      </c>
      <c r="F226" s="132">
        <v>25</v>
      </c>
      <c r="G226" s="132">
        <v>59</v>
      </c>
      <c r="H226" s="139" t="s">
        <v>18</v>
      </c>
      <c r="I226" s="140">
        <v>54</v>
      </c>
      <c r="J226" s="132">
        <v>39</v>
      </c>
      <c r="K226" s="132">
        <v>4</v>
      </c>
      <c r="L226" s="139" t="s">
        <v>12</v>
      </c>
      <c r="M226" s="132"/>
      <c r="N226" s="141"/>
      <c r="O226" s="141"/>
      <c r="P226" s="141"/>
      <c r="Q226" s="141"/>
      <c r="R226" s="141"/>
      <c r="S226" s="141"/>
      <c r="T226" s="141"/>
      <c r="U226" s="141"/>
      <c r="V226" s="141"/>
      <c r="W226" s="141"/>
      <c r="X226" s="141"/>
      <c r="Y226" s="141"/>
      <c r="Z226" s="141"/>
    </row>
    <row r="227" ht="12.75" customHeight="1" spans="1:26">
      <c r="A227" s="132"/>
      <c r="B227" s="140" t="s">
        <v>472</v>
      </c>
      <c r="C227" s="132" t="s">
        <v>473</v>
      </c>
      <c r="D227" s="139" t="s">
        <v>474</v>
      </c>
      <c r="E227" s="140">
        <v>0</v>
      </c>
      <c r="F227" s="132">
        <v>8</v>
      </c>
      <c r="G227" s="132">
        <v>28</v>
      </c>
      <c r="H227" s="139" t="s">
        <v>11</v>
      </c>
      <c r="I227" s="140">
        <v>78</v>
      </c>
      <c r="J227" s="132">
        <v>29</v>
      </c>
      <c r="K227" s="132">
        <v>18</v>
      </c>
      <c r="L227" s="139" t="s">
        <v>52</v>
      </c>
      <c r="M227" s="132"/>
      <c r="N227" s="141"/>
      <c r="O227" s="141"/>
      <c r="P227" s="141"/>
      <c r="Q227" s="141"/>
      <c r="R227" s="141"/>
      <c r="S227" s="141"/>
      <c r="T227" s="141"/>
      <c r="U227" s="141"/>
      <c r="V227" s="141"/>
      <c r="W227" s="141"/>
      <c r="X227" s="141"/>
      <c r="Y227" s="141"/>
      <c r="Z227" s="141"/>
    </row>
    <row r="228" ht="12.75" customHeight="1" spans="1:26">
      <c r="A228" s="132"/>
      <c r="B228" s="140" t="s">
        <v>472</v>
      </c>
      <c r="C228" s="132" t="s">
        <v>475</v>
      </c>
      <c r="D228" s="139" t="s">
        <v>476</v>
      </c>
      <c r="E228" s="140">
        <v>2</v>
      </c>
      <c r="F228" s="132">
        <v>9</v>
      </c>
      <c r="G228" s="132">
        <v>29</v>
      </c>
      <c r="H228" s="139" t="s">
        <v>11</v>
      </c>
      <c r="I228" s="140">
        <v>79</v>
      </c>
      <c r="J228" s="132">
        <v>53</v>
      </c>
      <c r="K228" s="132">
        <v>2</v>
      </c>
      <c r="L228" s="139" t="s">
        <v>52</v>
      </c>
      <c r="M228" s="132"/>
      <c r="N228" s="141"/>
      <c r="O228" s="141"/>
      <c r="P228" s="141"/>
      <c r="Q228" s="141"/>
      <c r="R228" s="141"/>
      <c r="S228" s="141"/>
      <c r="T228" s="141"/>
      <c r="U228" s="141"/>
      <c r="V228" s="141"/>
      <c r="W228" s="141"/>
      <c r="X228" s="141"/>
      <c r="Y228" s="141"/>
      <c r="Z228" s="141"/>
    </row>
    <row r="229" ht="12.75" customHeight="1" spans="1:26">
      <c r="A229" s="132"/>
      <c r="B229" s="140" t="s">
        <v>477</v>
      </c>
      <c r="C229" s="132" t="s">
        <v>478</v>
      </c>
      <c r="D229" s="139" t="s">
        <v>479</v>
      </c>
      <c r="E229" s="140">
        <v>55</v>
      </c>
      <c r="F229" s="132">
        <v>57</v>
      </c>
      <c r="G229" s="132">
        <v>0</v>
      </c>
      <c r="H229" s="139" t="s">
        <v>18</v>
      </c>
      <c r="I229" s="140">
        <v>3</v>
      </c>
      <c r="J229" s="132">
        <v>22</v>
      </c>
      <c r="K229" s="132">
        <v>21</v>
      </c>
      <c r="L229" s="139" t="s">
        <v>52</v>
      </c>
      <c r="M229" s="132"/>
      <c r="N229" s="141"/>
      <c r="O229" s="141"/>
      <c r="P229" s="141"/>
      <c r="Q229" s="141"/>
      <c r="R229" s="141"/>
      <c r="S229" s="141"/>
      <c r="T229" s="141"/>
      <c r="U229" s="141"/>
      <c r="V229" s="141"/>
      <c r="W229" s="141"/>
      <c r="X229" s="141"/>
      <c r="Y229" s="141"/>
      <c r="Z229" s="141"/>
    </row>
    <row r="230" ht="12.75" customHeight="1" spans="1:26">
      <c r="A230" s="132"/>
      <c r="B230" s="140" t="s">
        <v>480</v>
      </c>
      <c r="C230" s="132" t="s">
        <v>481</v>
      </c>
      <c r="D230" s="139" t="s">
        <v>482</v>
      </c>
      <c r="E230" s="140">
        <v>46</v>
      </c>
      <c r="F230" s="132">
        <v>13</v>
      </c>
      <c r="G230" s="132">
        <v>28</v>
      </c>
      <c r="H230" s="139" t="s">
        <v>18</v>
      </c>
      <c r="I230" s="140">
        <v>14</v>
      </c>
      <c r="J230" s="132">
        <v>27</v>
      </c>
      <c r="K230" s="132">
        <v>22</v>
      </c>
      <c r="L230" s="139" t="s">
        <v>12</v>
      </c>
      <c r="M230" s="132"/>
      <c r="N230" s="141"/>
      <c r="O230" s="141"/>
      <c r="P230" s="141"/>
      <c r="Q230" s="141"/>
      <c r="R230" s="141"/>
      <c r="S230" s="141"/>
      <c r="T230" s="141"/>
      <c r="U230" s="141"/>
      <c r="V230" s="141"/>
      <c r="W230" s="141"/>
      <c r="X230" s="141"/>
      <c r="Y230" s="141"/>
      <c r="Z230" s="141"/>
    </row>
    <row r="231" ht="12.75" customHeight="1" spans="1:26">
      <c r="A231" s="132"/>
      <c r="B231" s="140" t="s">
        <v>483</v>
      </c>
      <c r="C231" s="132" t="s">
        <v>484</v>
      </c>
      <c r="D231" s="139" t="s">
        <v>485</v>
      </c>
      <c r="E231" s="140">
        <v>41</v>
      </c>
      <c r="F231" s="132">
        <v>17</v>
      </c>
      <c r="G231" s="132">
        <v>49</v>
      </c>
      <c r="H231" s="139" t="s">
        <v>18</v>
      </c>
      <c r="I231" s="140">
        <v>2</v>
      </c>
      <c r="J231" s="132">
        <v>4</v>
      </c>
      <c r="K231" s="132">
        <v>42</v>
      </c>
      <c r="L231" s="139" t="s">
        <v>12</v>
      </c>
      <c r="M231" s="132"/>
      <c r="N231" s="141"/>
      <c r="O231" s="141"/>
      <c r="P231" s="141"/>
      <c r="Q231" s="141"/>
      <c r="R231" s="141"/>
      <c r="S231" s="141"/>
      <c r="T231" s="141"/>
      <c r="U231" s="141"/>
      <c r="V231" s="141"/>
      <c r="W231" s="141"/>
      <c r="X231" s="141"/>
      <c r="Y231" s="141"/>
      <c r="Z231" s="141"/>
    </row>
    <row r="232" ht="12.75" customHeight="1" spans="1:26">
      <c r="A232" s="132"/>
      <c r="B232" s="140" t="s">
        <v>483</v>
      </c>
      <c r="C232" s="132" t="s">
        <v>486</v>
      </c>
      <c r="D232" s="139" t="s">
        <v>487</v>
      </c>
      <c r="E232" s="140">
        <v>40</v>
      </c>
      <c r="F232" s="132">
        <v>29</v>
      </c>
      <c r="G232" s="132">
        <v>37</v>
      </c>
      <c r="H232" s="139" t="s">
        <v>18</v>
      </c>
      <c r="I232" s="140">
        <v>3</v>
      </c>
      <c r="J232" s="132">
        <v>34</v>
      </c>
      <c r="K232" s="132">
        <v>0</v>
      </c>
      <c r="L232" s="139" t="s">
        <v>52</v>
      </c>
      <c r="M232" s="132"/>
      <c r="N232" s="141"/>
      <c r="O232" s="141"/>
      <c r="P232" s="141"/>
      <c r="Q232" s="141"/>
      <c r="R232" s="141"/>
      <c r="S232" s="141"/>
      <c r="T232" s="141"/>
      <c r="U232" s="141"/>
      <c r="V232" s="141"/>
      <c r="W232" s="141"/>
      <c r="X232" s="141"/>
      <c r="Y232" s="141"/>
      <c r="Z232" s="141"/>
    </row>
    <row r="233" ht="12.75" customHeight="1" spans="1:26">
      <c r="A233" s="132"/>
      <c r="B233" s="140" t="s">
        <v>483</v>
      </c>
      <c r="C233" s="132" t="s">
        <v>488</v>
      </c>
      <c r="D233" s="139" t="s">
        <v>487</v>
      </c>
      <c r="E233" s="140">
        <v>40</v>
      </c>
      <c r="F233" s="132">
        <v>29</v>
      </c>
      <c r="G233" s="132">
        <v>48</v>
      </c>
      <c r="H233" s="139" t="s">
        <v>18</v>
      </c>
      <c r="I233" s="140">
        <v>3</v>
      </c>
      <c r="J233" s="132">
        <v>26</v>
      </c>
      <c r="K233" s="132">
        <v>45</v>
      </c>
      <c r="L233" s="139" t="s">
        <v>12</v>
      </c>
      <c r="M233" s="132"/>
      <c r="N233" s="141"/>
      <c r="O233" s="141"/>
      <c r="P233" s="141"/>
      <c r="Q233" s="141"/>
      <c r="R233" s="141"/>
      <c r="S233" s="141"/>
      <c r="T233" s="141"/>
      <c r="U233" s="141"/>
      <c r="V233" s="141"/>
      <c r="W233" s="141"/>
      <c r="X233" s="141"/>
      <c r="Y233" s="141"/>
      <c r="Z233" s="141"/>
    </row>
    <row r="234" ht="12.75" customHeight="1" spans="1:26">
      <c r="A234" s="132"/>
      <c r="B234" s="140" t="s">
        <v>483</v>
      </c>
      <c r="C234" s="132" t="s">
        <v>489</v>
      </c>
      <c r="D234" s="139" t="s">
        <v>490</v>
      </c>
      <c r="E234" s="140">
        <v>42</v>
      </c>
      <c r="F234" s="132">
        <v>50</v>
      </c>
      <c r="G234" s="132">
        <v>0</v>
      </c>
      <c r="H234" s="139" t="s">
        <v>18</v>
      </c>
      <c r="I234" s="140">
        <v>8</v>
      </c>
      <c r="J234" s="132">
        <v>33</v>
      </c>
      <c r="K234" s="132">
        <v>0</v>
      </c>
      <c r="L234" s="139" t="s">
        <v>52</v>
      </c>
      <c r="M234" s="132"/>
      <c r="N234" s="141"/>
      <c r="O234" s="141"/>
      <c r="P234" s="141"/>
      <c r="Q234" s="141"/>
      <c r="R234" s="141"/>
      <c r="S234" s="141"/>
      <c r="T234" s="141"/>
      <c r="U234" s="141"/>
      <c r="V234" s="141"/>
      <c r="W234" s="141"/>
      <c r="X234" s="141"/>
      <c r="Y234" s="141"/>
      <c r="Z234" s="141"/>
    </row>
    <row r="235" ht="12.75" customHeight="1" spans="1:26">
      <c r="A235" s="132"/>
      <c r="B235" s="140" t="s">
        <v>483</v>
      </c>
      <c r="C235" s="132" t="s">
        <v>491</v>
      </c>
      <c r="D235" s="139" t="s">
        <v>492</v>
      </c>
      <c r="E235" s="140">
        <v>37</v>
      </c>
      <c r="F235" s="132">
        <v>25</v>
      </c>
      <c r="G235" s="132">
        <v>5</v>
      </c>
      <c r="H235" s="139" t="s">
        <v>18</v>
      </c>
      <c r="I235" s="140">
        <v>5</v>
      </c>
      <c r="J235" s="132">
        <v>53</v>
      </c>
      <c r="K235" s="132">
        <v>35</v>
      </c>
      <c r="L235" s="139" t="s">
        <v>52</v>
      </c>
      <c r="M235" s="132"/>
      <c r="N235" s="141"/>
      <c r="O235" s="141"/>
      <c r="P235" s="141"/>
      <c r="Q235" s="141"/>
      <c r="R235" s="141"/>
      <c r="S235" s="141"/>
      <c r="T235" s="141"/>
      <c r="U235" s="141"/>
      <c r="V235" s="141"/>
      <c r="W235" s="141"/>
      <c r="X235" s="141"/>
      <c r="Y235" s="141"/>
      <c r="Z235" s="141"/>
    </row>
    <row r="236" ht="12.75" customHeight="1" spans="1:26">
      <c r="A236" s="132"/>
      <c r="B236" s="140" t="s">
        <v>483</v>
      </c>
      <c r="C236" s="132" t="s">
        <v>493</v>
      </c>
      <c r="D236" s="139" t="s">
        <v>494</v>
      </c>
      <c r="E236" s="140">
        <v>39</v>
      </c>
      <c r="F236" s="132">
        <v>29</v>
      </c>
      <c r="G236" s="132">
        <v>22</v>
      </c>
      <c r="H236" s="139" t="s">
        <v>18</v>
      </c>
      <c r="I236" s="140">
        <v>0</v>
      </c>
      <c r="J236" s="132">
        <v>28</v>
      </c>
      <c r="K236" s="132">
        <v>54</v>
      </c>
      <c r="L236" s="139" t="s">
        <v>52</v>
      </c>
      <c r="M236" s="132"/>
      <c r="N236" s="141"/>
      <c r="O236" s="141"/>
      <c r="P236" s="141"/>
      <c r="Q236" s="141"/>
      <c r="R236" s="141"/>
      <c r="S236" s="141"/>
      <c r="T236" s="141"/>
      <c r="U236" s="141"/>
      <c r="V236" s="141"/>
      <c r="W236" s="141"/>
      <c r="X236" s="141"/>
      <c r="Y236" s="141"/>
      <c r="Z236" s="141"/>
    </row>
    <row r="237" ht="12.75" customHeight="1" spans="1:26">
      <c r="A237" s="132"/>
      <c r="B237" s="140" t="s">
        <v>483</v>
      </c>
      <c r="C237" s="132" t="s">
        <v>495</v>
      </c>
      <c r="D237" s="139" t="s">
        <v>496</v>
      </c>
      <c r="E237" s="140">
        <v>43</v>
      </c>
      <c r="F237" s="132">
        <v>25</v>
      </c>
      <c r="G237" s="132">
        <v>37</v>
      </c>
      <c r="H237" s="139" t="s">
        <v>18</v>
      </c>
      <c r="I237" s="140">
        <v>3</v>
      </c>
      <c r="J237" s="132">
        <v>49</v>
      </c>
      <c r="K237" s="132">
        <v>12</v>
      </c>
      <c r="L237" s="139" t="s">
        <v>52</v>
      </c>
      <c r="M237" s="132"/>
      <c r="N237" s="141"/>
      <c r="O237" s="141"/>
      <c r="P237" s="141"/>
      <c r="Q237" s="141"/>
      <c r="R237" s="141"/>
      <c r="S237" s="141"/>
      <c r="T237" s="141"/>
      <c r="U237" s="141"/>
      <c r="V237" s="141"/>
      <c r="W237" s="141"/>
      <c r="X237" s="141"/>
      <c r="Y237" s="141"/>
      <c r="Z237" s="141"/>
    </row>
    <row r="238" ht="12.75" customHeight="1" spans="1:26">
      <c r="A238" s="132"/>
      <c r="B238" s="140" t="s">
        <v>483</v>
      </c>
      <c r="C238" s="132" t="s">
        <v>497</v>
      </c>
      <c r="D238" s="139" t="s">
        <v>498</v>
      </c>
      <c r="E238" s="140">
        <v>42</v>
      </c>
      <c r="F238" s="132">
        <v>13</v>
      </c>
      <c r="G238" s="132">
        <v>45</v>
      </c>
      <c r="H238" s="139" t="s">
        <v>18</v>
      </c>
      <c r="I238" s="140">
        <v>8</v>
      </c>
      <c r="J238" s="132">
        <v>37</v>
      </c>
      <c r="K238" s="132">
        <v>39</v>
      </c>
      <c r="L238" s="139" t="s">
        <v>52</v>
      </c>
      <c r="M238" s="132"/>
      <c r="N238" s="141"/>
      <c r="O238" s="141"/>
      <c r="P238" s="141"/>
      <c r="Q238" s="141"/>
      <c r="R238" s="141"/>
      <c r="S238" s="141"/>
      <c r="T238" s="141"/>
      <c r="U238" s="141"/>
      <c r="V238" s="141"/>
      <c r="W238" s="141"/>
      <c r="X238" s="141"/>
      <c r="Y238" s="141"/>
      <c r="Z238" s="141"/>
    </row>
    <row r="239" ht="12.75" customHeight="1" spans="1:26">
      <c r="A239" s="132"/>
      <c r="B239" s="140" t="s">
        <v>499</v>
      </c>
      <c r="C239" s="132" t="s">
        <v>500</v>
      </c>
      <c r="D239" s="139" t="s">
        <v>501</v>
      </c>
      <c r="E239" s="140">
        <v>40</v>
      </c>
      <c r="F239" s="132">
        <v>54</v>
      </c>
      <c r="G239" s="132">
        <v>58</v>
      </c>
      <c r="H239" s="139" t="s">
        <v>18</v>
      </c>
      <c r="I239" s="140">
        <v>81</v>
      </c>
      <c r="J239" s="132">
        <v>26</v>
      </c>
      <c r="K239" s="132">
        <v>32</v>
      </c>
      <c r="L239" s="139" t="s">
        <v>52</v>
      </c>
      <c r="M239" s="132"/>
      <c r="N239" s="141"/>
      <c r="O239" s="141"/>
      <c r="P239" s="141"/>
      <c r="Q239" s="141"/>
      <c r="R239" s="141"/>
      <c r="S239" s="141"/>
      <c r="T239" s="141"/>
      <c r="U239" s="141"/>
      <c r="V239" s="141"/>
      <c r="W239" s="141"/>
      <c r="X239" s="141"/>
      <c r="Y239" s="141"/>
      <c r="Z239" s="141"/>
    </row>
    <row r="240" ht="12.75" customHeight="1" spans="1:26">
      <c r="A240" s="132"/>
      <c r="B240" s="140" t="s">
        <v>499</v>
      </c>
      <c r="C240" s="132" t="s">
        <v>502</v>
      </c>
      <c r="D240" s="139" t="s">
        <v>503</v>
      </c>
      <c r="E240" s="140">
        <v>33</v>
      </c>
      <c r="F240" s="132">
        <v>48</v>
      </c>
      <c r="G240" s="132">
        <v>45</v>
      </c>
      <c r="H240" s="139" t="s">
        <v>18</v>
      </c>
      <c r="I240" s="140">
        <v>117</v>
      </c>
      <c r="J240" s="132">
        <v>55</v>
      </c>
      <c r="K240" s="132">
        <v>8</v>
      </c>
      <c r="L240" s="139" t="s">
        <v>52</v>
      </c>
      <c r="M240" s="132"/>
      <c r="N240" s="141"/>
      <c r="O240" s="141"/>
      <c r="P240" s="141"/>
      <c r="Q240" s="141"/>
      <c r="R240" s="141"/>
      <c r="S240" s="141"/>
      <c r="T240" s="141"/>
      <c r="U240" s="141"/>
      <c r="V240" s="141"/>
      <c r="W240" s="141"/>
      <c r="X240" s="141"/>
      <c r="Y240" s="141"/>
      <c r="Z240" s="141"/>
    </row>
    <row r="241" ht="12.75" customHeight="1" spans="1:26">
      <c r="A241" s="132"/>
      <c r="B241" s="140" t="s">
        <v>499</v>
      </c>
      <c r="C241" s="132" t="s">
        <v>504</v>
      </c>
      <c r="D241" s="139" t="s">
        <v>505</v>
      </c>
      <c r="E241" s="140">
        <v>33</v>
      </c>
      <c r="F241" s="132">
        <v>38</v>
      </c>
      <c r="G241" s="132">
        <v>12</v>
      </c>
      <c r="H241" s="139" t="s">
        <v>18</v>
      </c>
      <c r="I241" s="140">
        <v>84</v>
      </c>
      <c r="J241" s="132">
        <v>25</v>
      </c>
      <c r="K241" s="132">
        <v>41</v>
      </c>
      <c r="L241" s="139" t="s">
        <v>52</v>
      </c>
      <c r="M241" s="132"/>
      <c r="N241" s="141"/>
      <c r="O241" s="141"/>
      <c r="P241" s="141"/>
      <c r="Q241" s="141"/>
      <c r="R241" s="141"/>
      <c r="S241" s="141"/>
      <c r="T241" s="141"/>
      <c r="U241" s="141"/>
      <c r="V241" s="141"/>
      <c r="W241" s="141"/>
      <c r="X241" s="141"/>
      <c r="Y241" s="141"/>
      <c r="Z241" s="141"/>
    </row>
    <row r="242" ht="12.75" customHeight="1" spans="1:26">
      <c r="A242" s="132"/>
      <c r="B242" s="140" t="s">
        <v>499</v>
      </c>
      <c r="C242" s="132" t="s">
        <v>506</v>
      </c>
      <c r="D242" s="139" t="s">
        <v>507</v>
      </c>
      <c r="E242" s="140">
        <v>39</v>
      </c>
      <c r="F242" s="132">
        <v>10</v>
      </c>
      <c r="G242" s="132">
        <v>31</v>
      </c>
      <c r="H242" s="139" t="s">
        <v>18</v>
      </c>
      <c r="I242" s="140">
        <v>76</v>
      </c>
      <c r="J242" s="132">
        <v>40</v>
      </c>
      <c r="K242" s="132">
        <v>6</v>
      </c>
      <c r="L242" s="139" t="s">
        <v>52</v>
      </c>
      <c r="M242" s="132"/>
      <c r="N242" s="141"/>
      <c r="O242" s="141"/>
      <c r="P242" s="141"/>
      <c r="Q242" s="141"/>
      <c r="R242" s="141"/>
      <c r="S242" s="141"/>
      <c r="T242" s="141"/>
      <c r="U242" s="141"/>
      <c r="V242" s="141"/>
      <c r="W242" s="141"/>
      <c r="X242" s="141"/>
      <c r="Y242" s="141"/>
      <c r="Z242" s="141"/>
    </row>
    <row r="243" ht="12.75" customHeight="1" spans="1:26">
      <c r="A243" s="132"/>
      <c r="B243" s="140" t="s">
        <v>499</v>
      </c>
      <c r="C243" s="132" t="s">
        <v>508</v>
      </c>
      <c r="D243" s="139" t="s">
        <v>509</v>
      </c>
      <c r="E243" s="140">
        <v>42</v>
      </c>
      <c r="F243" s="132">
        <v>21</v>
      </c>
      <c r="G243" s="132">
        <v>47</v>
      </c>
      <c r="H243" s="139" t="s">
        <v>18</v>
      </c>
      <c r="I243" s="140">
        <v>71</v>
      </c>
      <c r="J243" s="132">
        <v>0</v>
      </c>
      <c r="K243" s="132">
        <v>23</v>
      </c>
      <c r="L243" s="139" t="s">
        <v>52</v>
      </c>
      <c r="M243" s="132"/>
      <c r="N243" s="141"/>
      <c r="O243" s="141"/>
      <c r="P243" s="141"/>
      <c r="Q243" s="141"/>
      <c r="R243" s="141"/>
      <c r="S243" s="141"/>
      <c r="T243" s="141"/>
      <c r="U243" s="141"/>
      <c r="V243" s="141"/>
      <c r="W243" s="141"/>
      <c r="X243" s="141"/>
      <c r="Y243" s="141"/>
      <c r="Z243" s="141"/>
    </row>
    <row r="244" ht="12.75" customHeight="1" spans="1:26">
      <c r="A244" s="132"/>
      <c r="B244" s="140" t="s">
        <v>499</v>
      </c>
      <c r="C244" s="132" t="s">
        <v>510</v>
      </c>
      <c r="D244" s="139" t="s">
        <v>511</v>
      </c>
      <c r="E244" s="140">
        <v>41</v>
      </c>
      <c r="F244" s="132">
        <v>47</v>
      </c>
      <c r="G244" s="132">
        <v>9</v>
      </c>
      <c r="H244" s="139" t="s">
        <v>18</v>
      </c>
      <c r="I244" s="140">
        <v>87</v>
      </c>
      <c r="J244" s="132">
        <v>45</v>
      </c>
      <c r="K244" s="132">
        <v>9</v>
      </c>
      <c r="L244" s="139" t="s">
        <v>52</v>
      </c>
      <c r="M244" s="132"/>
      <c r="N244" s="141"/>
      <c r="O244" s="141"/>
      <c r="P244" s="141"/>
      <c r="Q244" s="141"/>
      <c r="R244" s="141"/>
      <c r="S244" s="141"/>
      <c r="T244" s="141"/>
      <c r="U244" s="141"/>
      <c r="V244" s="141"/>
      <c r="W244" s="141"/>
      <c r="X244" s="141"/>
      <c r="Y244" s="141"/>
      <c r="Z244" s="141"/>
    </row>
    <row r="245" ht="12.75" customHeight="1" spans="1:26">
      <c r="A245" s="132"/>
      <c r="B245" s="140" t="s">
        <v>499</v>
      </c>
      <c r="C245" s="132" t="s">
        <v>512</v>
      </c>
      <c r="D245" s="139" t="s">
        <v>511</v>
      </c>
      <c r="E245" s="140">
        <v>41</v>
      </c>
      <c r="F245" s="132">
        <v>58</v>
      </c>
      <c r="G245" s="132">
        <v>43</v>
      </c>
      <c r="H245" s="139" t="s">
        <v>18</v>
      </c>
      <c r="I245" s="140">
        <v>87</v>
      </c>
      <c r="J245" s="132">
        <v>54</v>
      </c>
      <c r="K245" s="132">
        <v>17</v>
      </c>
      <c r="L245" s="139" t="s">
        <v>52</v>
      </c>
      <c r="M245" s="132"/>
      <c r="N245" s="141"/>
      <c r="O245" s="141"/>
      <c r="P245" s="141"/>
      <c r="Q245" s="141"/>
      <c r="R245" s="141"/>
      <c r="S245" s="141"/>
      <c r="T245" s="141"/>
      <c r="U245" s="141"/>
      <c r="V245" s="141"/>
      <c r="W245" s="141"/>
      <c r="X245" s="141"/>
      <c r="Y245" s="141"/>
      <c r="Z245" s="141"/>
    </row>
    <row r="246" ht="12.75" customHeight="1" spans="1:26">
      <c r="A246" s="132"/>
      <c r="B246" s="140" t="s">
        <v>499</v>
      </c>
      <c r="C246" s="132" t="s">
        <v>513</v>
      </c>
      <c r="D246" s="139" t="s">
        <v>511</v>
      </c>
      <c r="E246" s="140">
        <v>41</v>
      </c>
      <c r="F246" s="132">
        <v>52</v>
      </c>
      <c r="G246" s="132">
        <v>59</v>
      </c>
      <c r="H246" s="139" t="s">
        <v>18</v>
      </c>
      <c r="I246" s="140">
        <v>87</v>
      </c>
      <c r="J246" s="132">
        <v>38</v>
      </c>
      <c r="K246" s="132">
        <v>0</v>
      </c>
      <c r="L246" s="139" t="s">
        <v>52</v>
      </c>
      <c r="M246" s="132"/>
      <c r="N246" s="141"/>
      <c r="O246" s="141"/>
      <c r="P246" s="141"/>
      <c r="Q246" s="141"/>
      <c r="R246" s="141"/>
      <c r="S246" s="141"/>
      <c r="T246" s="141"/>
      <c r="U246" s="141"/>
      <c r="V246" s="141"/>
      <c r="W246" s="141"/>
      <c r="X246" s="141"/>
      <c r="Y246" s="141"/>
      <c r="Z246" s="141"/>
    </row>
    <row r="247" ht="12.75" customHeight="1" spans="1:26">
      <c r="A247" s="132"/>
      <c r="B247" s="140" t="s">
        <v>499</v>
      </c>
      <c r="C247" s="132" t="s">
        <v>514</v>
      </c>
      <c r="D247" s="139" t="s">
        <v>515</v>
      </c>
      <c r="E247" s="140">
        <v>39</v>
      </c>
      <c r="F247" s="132">
        <v>2</v>
      </c>
      <c r="G247" s="132">
        <v>56</v>
      </c>
      <c r="H247" s="139" t="s">
        <v>18</v>
      </c>
      <c r="I247" s="140">
        <v>84</v>
      </c>
      <c r="J247" s="132">
        <v>40</v>
      </c>
      <c r="K247" s="132">
        <v>4</v>
      </c>
      <c r="L247" s="139" t="s">
        <v>52</v>
      </c>
      <c r="M247" s="132"/>
      <c r="N247" s="141"/>
      <c r="O247" s="141"/>
      <c r="P247" s="141"/>
      <c r="Q247" s="141"/>
      <c r="R247" s="141"/>
      <c r="S247" s="141"/>
      <c r="T247" s="141"/>
      <c r="U247" s="141"/>
      <c r="V247" s="141"/>
      <c r="W247" s="141"/>
      <c r="X247" s="141"/>
      <c r="Y247" s="141"/>
      <c r="Z247" s="141"/>
    </row>
    <row r="248" ht="12.75" customHeight="1" spans="1:26">
      <c r="A248" s="132"/>
      <c r="B248" s="140" t="s">
        <v>499</v>
      </c>
      <c r="C248" s="132" t="s">
        <v>516</v>
      </c>
      <c r="D248" s="139" t="s">
        <v>517</v>
      </c>
      <c r="E248" s="140">
        <v>32</v>
      </c>
      <c r="F248" s="132">
        <v>53</v>
      </c>
      <c r="G248" s="132">
        <v>49</v>
      </c>
      <c r="H248" s="139" t="s">
        <v>18</v>
      </c>
      <c r="I248" s="140">
        <v>97</v>
      </c>
      <c r="J248" s="132">
        <v>2</v>
      </c>
      <c r="K248" s="132">
        <v>17</v>
      </c>
      <c r="L248" s="139" t="s">
        <v>52</v>
      </c>
      <c r="M248" s="132"/>
      <c r="N248" s="141"/>
      <c r="O248" s="141"/>
      <c r="P248" s="141"/>
      <c r="Q248" s="141"/>
      <c r="R248" s="141"/>
      <c r="S248" s="141"/>
      <c r="T248" s="141"/>
      <c r="U248" s="141"/>
      <c r="V248" s="141"/>
      <c r="W248" s="141"/>
      <c r="X248" s="141"/>
      <c r="Y248" s="141"/>
      <c r="Z248" s="141"/>
    </row>
    <row r="249" ht="12.75" customHeight="1" spans="1:26">
      <c r="A249" s="132"/>
      <c r="B249" s="140" t="s">
        <v>499</v>
      </c>
      <c r="C249" s="132" t="s">
        <v>518</v>
      </c>
      <c r="D249" s="139" t="s">
        <v>517</v>
      </c>
      <c r="E249" s="140">
        <v>32</v>
      </c>
      <c r="F249" s="132">
        <v>50</v>
      </c>
      <c r="G249" s="132">
        <v>50</v>
      </c>
      <c r="H249" s="139" t="s">
        <v>18</v>
      </c>
      <c r="I249" s="140">
        <v>96</v>
      </c>
      <c r="J249" s="132">
        <v>51</v>
      </c>
      <c r="K249" s="132">
        <v>6</v>
      </c>
      <c r="L249" s="139" t="s">
        <v>52</v>
      </c>
      <c r="M249" s="132"/>
      <c r="N249" s="141"/>
      <c r="O249" s="141"/>
      <c r="P249" s="141"/>
      <c r="Q249" s="141"/>
      <c r="R249" s="141"/>
      <c r="S249" s="141"/>
      <c r="T249" s="141"/>
      <c r="U249" s="141"/>
      <c r="V249" s="141"/>
      <c r="W249" s="141"/>
      <c r="X249" s="141"/>
      <c r="Y249" s="141"/>
      <c r="Z249" s="141"/>
    </row>
    <row r="250" ht="12.75" customHeight="1" spans="1:26">
      <c r="A250" s="132"/>
      <c r="B250" s="140" t="s">
        <v>499</v>
      </c>
      <c r="C250" s="132" t="s">
        <v>519</v>
      </c>
      <c r="D250" s="139" t="s">
        <v>520</v>
      </c>
      <c r="E250" s="140">
        <v>39</v>
      </c>
      <c r="F250" s="132">
        <v>51</v>
      </c>
      <c r="G250" s="132">
        <v>42</v>
      </c>
      <c r="H250" s="139" t="s">
        <v>18</v>
      </c>
      <c r="I250" s="140">
        <v>104</v>
      </c>
      <c r="J250" s="132">
        <v>40</v>
      </c>
      <c r="K250" s="132">
        <v>23</v>
      </c>
      <c r="L250" s="139" t="s">
        <v>52</v>
      </c>
      <c r="M250" s="132"/>
      <c r="N250" s="141"/>
      <c r="O250" s="141"/>
      <c r="P250" s="141"/>
      <c r="Q250" s="141"/>
      <c r="R250" s="141"/>
      <c r="S250" s="141"/>
      <c r="T250" s="141"/>
      <c r="U250" s="141"/>
      <c r="V250" s="141"/>
      <c r="W250" s="141"/>
      <c r="X250" s="141"/>
      <c r="Y250" s="141"/>
      <c r="Z250" s="141"/>
    </row>
    <row r="251" ht="12.75" customHeight="1" spans="1:26">
      <c r="A251" s="132"/>
      <c r="B251" s="140" t="s">
        <v>499</v>
      </c>
      <c r="C251" s="132" t="s">
        <v>521</v>
      </c>
      <c r="D251" s="139" t="s">
        <v>522</v>
      </c>
      <c r="E251" s="140">
        <v>41</v>
      </c>
      <c r="F251" s="132">
        <v>32</v>
      </c>
      <c r="G251" s="132">
        <v>2</v>
      </c>
      <c r="H251" s="139" t="s">
        <v>18</v>
      </c>
      <c r="I251" s="140">
        <v>93</v>
      </c>
      <c r="J251" s="132">
        <v>39</v>
      </c>
      <c r="K251" s="132">
        <v>47</v>
      </c>
      <c r="L251" s="139" t="s">
        <v>52</v>
      </c>
      <c r="M251" s="132"/>
      <c r="N251" s="141"/>
      <c r="O251" s="141"/>
      <c r="P251" s="141"/>
      <c r="Q251" s="141"/>
      <c r="R251" s="141"/>
      <c r="S251" s="141"/>
      <c r="T251" s="141"/>
      <c r="U251" s="141"/>
      <c r="V251" s="141"/>
      <c r="W251" s="141"/>
      <c r="X251" s="141"/>
      <c r="Y251" s="141"/>
      <c r="Z251" s="141"/>
    </row>
    <row r="252" ht="12.75" customHeight="1" spans="1:26">
      <c r="A252" s="132"/>
      <c r="B252" s="140" t="s">
        <v>499</v>
      </c>
      <c r="C252" s="132" t="s">
        <v>523</v>
      </c>
      <c r="D252" s="139" t="s">
        <v>524</v>
      </c>
      <c r="E252" s="140">
        <v>42</v>
      </c>
      <c r="F252" s="132">
        <v>12</v>
      </c>
      <c r="G252" s="132">
        <v>45</v>
      </c>
      <c r="H252" s="139" t="s">
        <v>18</v>
      </c>
      <c r="I252" s="140">
        <v>83</v>
      </c>
      <c r="J252" s="132">
        <v>21</v>
      </c>
      <c r="K252" s="132">
        <v>12</v>
      </c>
      <c r="L252" s="139" t="s">
        <v>52</v>
      </c>
      <c r="M252" s="132"/>
      <c r="N252" s="141"/>
      <c r="O252" s="141"/>
      <c r="P252" s="141"/>
      <c r="Q252" s="141"/>
      <c r="R252" s="141"/>
      <c r="S252" s="141"/>
      <c r="T252" s="141"/>
      <c r="U252" s="141"/>
      <c r="V252" s="141"/>
      <c r="W252" s="141"/>
      <c r="X252" s="141"/>
      <c r="Y252" s="141"/>
      <c r="Z252" s="141"/>
    </row>
    <row r="253" ht="12.75" customHeight="1" spans="1:26">
      <c r="A253" s="132"/>
      <c r="B253" s="140" t="s">
        <v>499</v>
      </c>
      <c r="C253" s="132" t="s">
        <v>525</v>
      </c>
      <c r="D253" s="139" t="s">
        <v>526</v>
      </c>
      <c r="E253" s="140">
        <v>31</v>
      </c>
      <c r="F253" s="132">
        <v>48</v>
      </c>
      <c r="G253" s="132">
        <v>26</v>
      </c>
      <c r="H253" s="139" t="s">
        <v>18</v>
      </c>
      <c r="I253" s="140">
        <v>106</v>
      </c>
      <c r="J253" s="132">
        <v>23</v>
      </c>
      <c r="K253" s="132">
        <v>35</v>
      </c>
      <c r="L253" s="139" t="s">
        <v>52</v>
      </c>
      <c r="M253" s="132"/>
      <c r="N253" s="141"/>
      <c r="O253" s="141"/>
      <c r="P253" s="141"/>
      <c r="Q253" s="141"/>
      <c r="R253" s="141"/>
      <c r="S253" s="141"/>
      <c r="T253" s="141"/>
      <c r="U253" s="141"/>
      <c r="V253" s="141"/>
      <c r="W253" s="141"/>
      <c r="X253" s="141"/>
      <c r="Y253" s="141"/>
      <c r="Z253" s="141"/>
    </row>
    <row r="254" ht="12.75" customHeight="1" spans="1:26">
      <c r="A254" s="132"/>
      <c r="B254" s="140" t="s">
        <v>499</v>
      </c>
      <c r="C254" s="132" t="s">
        <v>527</v>
      </c>
      <c r="D254" s="139" t="s">
        <v>528</v>
      </c>
      <c r="E254" s="140">
        <v>38</v>
      </c>
      <c r="F254" s="132">
        <v>53</v>
      </c>
      <c r="G254" s="132">
        <v>0</v>
      </c>
      <c r="H254" s="139" t="s">
        <v>18</v>
      </c>
      <c r="I254" s="140">
        <v>89</v>
      </c>
      <c r="J254" s="132">
        <v>25</v>
      </c>
      <c r="K254" s="132">
        <v>0</v>
      </c>
      <c r="L254" s="139" t="s">
        <v>52</v>
      </c>
      <c r="M254" s="132"/>
      <c r="N254" s="141"/>
      <c r="O254" s="141"/>
      <c r="P254" s="141"/>
      <c r="Q254" s="141"/>
      <c r="R254" s="141"/>
      <c r="S254" s="141"/>
      <c r="T254" s="141"/>
      <c r="U254" s="141"/>
      <c r="V254" s="141"/>
      <c r="W254" s="141"/>
      <c r="X254" s="141"/>
      <c r="Y254" s="141"/>
      <c r="Z254" s="141"/>
    </row>
    <row r="255" ht="12.75" customHeight="1" spans="1:26">
      <c r="A255" s="132"/>
      <c r="B255" s="140" t="s">
        <v>499</v>
      </c>
      <c r="C255" s="132" t="s">
        <v>529</v>
      </c>
      <c r="D255" s="139" t="s">
        <v>530</v>
      </c>
      <c r="E255" s="140">
        <v>40</v>
      </c>
      <c r="F255" s="132">
        <v>11</v>
      </c>
      <c r="G255" s="132">
        <v>37</v>
      </c>
      <c r="H255" s="139" t="s">
        <v>18</v>
      </c>
      <c r="I255" s="140">
        <v>76</v>
      </c>
      <c r="J255" s="132">
        <v>45</v>
      </c>
      <c r="K255" s="132">
        <v>48</v>
      </c>
      <c r="L255" s="139" t="s">
        <v>52</v>
      </c>
      <c r="M255" s="132"/>
      <c r="N255" s="141"/>
      <c r="O255" s="141"/>
      <c r="P255" s="141"/>
      <c r="Q255" s="141"/>
      <c r="R255" s="141"/>
      <c r="S255" s="141"/>
      <c r="T255" s="141"/>
      <c r="U255" s="141"/>
      <c r="V255" s="141"/>
      <c r="W255" s="141"/>
      <c r="X255" s="141"/>
      <c r="Y255" s="141"/>
      <c r="Z255" s="141"/>
    </row>
    <row r="256" ht="12.75" customHeight="1" spans="1:26">
      <c r="A256" s="132"/>
      <c r="B256" s="140" t="s">
        <v>499</v>
      </c>
      <c r="C256" s="132" t="s">
        <v>531</v>
      </c>
      <c r="D256" s="139" t="s">
        <v>532</v>
      </c>
      <c r="E256" s="140">
        <v>29</v>
      </c>
      <c r="F256" s="132">
        <v>59</v>
      </c>
      <c r="G256" s="132">
        <v>4</v>
      </c>
      <c r="H256" s="139" t="s">
        <v>18</v>
      </c>
      <c r="I256" s="140">
        <v>95</v>
      </c>
      <c r="J256" s="132">
        <v>20</v>
      </c>
      <c r="K256" s="132">
        <v>29</v>
      </c>
      <c r="L256" s="139" t="s">
        <v>52</v>
      </c>
      <c r="M256" s="132"/>
      <c r="N256" s="141"/>
      <c r="O256" s="141"/>
      <c r="P256" s="141"/>
      <c r="Q256" s="141"/>
      <c r="R256" s="141"/>
      <c r="S256" s="141"/>
      <c r="T256" s="141"/>
      <c r="U256" s="141"/>
      <c r="V256" s="141"/>
      <c r="W256" s="141"/>
      <c r="X256" s="141"/>
      <c r="Y256" s="141"/>
      <c r="Z256" s="141"/>
    </row>
    <row r="257" ht="12.75" customHeight="1" spans="1:26">
      <c r="A257" s="132"/>
      <c r="B257" s="140" t="s">
        <v>499</v>
      </c>
      <c r="C257" s="132" t="s">
        <v>533</v>
      </c>
      <c r="D257" s="139" t="s">
        <v>532</v>
      </c>
      <c r="E257" s="140">
        <v>29</v>
      </c>
      <c r="F257" s="132">
        <v>38</v>
      </c>
      <c r="G257" s="132">
        <v>44</v>
      </c>
      <c r="H257" s="139" t="s">
        <v>18</v>
      </c>
      <c r="I257" s="140">
        <v>95</v>
      </c>
      <c r="J257" s="132">
        <v>16</v>
      </c>
      <c r="K257" s="132">
        <v>44</v>
      </c>
      <c r="L257" s="139" t="s">
        <v>52</v>
      </c>
      <c r="M257" s="132"/>
      <c r="N257" s="141"/>
      <c r="O257" s="141"/>
      <c r="P257" s="141"/>
      <c r="Q257" s="141"/>
      <c r="R257" s="141"/>
      <c r="S257" s="141"/>
      <c r="T257" s="141"/>
      <c r="U257" s="141"/>
      <c r="V257" s="141"/>
      <c r="W257" s="141"/>
      <c r="X257" s="141"/>
      <c r="Y257" s="141"/>
      <c r="Z257" s="141"/>
    </row>
    <row r="258" ht="12.75" customHeight="1" spans="1:26">
      <c r="A258" s="132"/>
      <c r="B258" s="140" t="s">
        <v>499</v>
      </c>
      <c r="C258" s="132" t="s">
        <v>534</v>
      </c>
      <c r="D258" s="139" t="s">
        <v>535</v>
      </c>
      <c r="E258" s="140">
        <v>39</v>
      </c>
      <c r="F258" s="132">
        <v>43</v>
      </c>
      <c r="G258" s="132">
        <v>2</v>
      </c>
      <c r="H258" s="139" t="s">
        <v>18</v>
      </c>
      <c r="I258" s="140">
        <v>86</v>
      </c>
      <c r="J258" s="132">
        <v>17</v>
      </c>
      <c r="K258" s="132">
        <v>41</v>
      </c>
      <c r="L258" s="139" t="s">
        <v>52</v>
      </c>
      <c r="M258" s="132"/>
      <c r="N258" s="141"/>
      <c r="O258" s="141"/>
      <c r="P258" s="141"/>
      <c r="Q258" s="141"/>
      <c r="R258" s="141"/>
      <c r="S258" s="141"/>
      <c r="T258" s="141"/>
      <c r="U258" s="141"/>
      <c r="V258" s="141"/>
      <c r="W258" s="141"/>
      <c r="X258" s="141"/>
      <c r="Y258" s="141"/>
      <c r="Z258" s="141"/>
    </row>
    <row r="259" ht="12.75" customHeight="1" spans="1:26">
      <c r="A259" s="132"/>
      <c r="B259" s="140" t="s">
        <v>499</v>
      </c>
      <c r="C259" s="132" t="s">
        <v>536</v>
      </c>
      <c r="D259" s="139" t="s">
        <v>537</v>
      </c>
      <c r="E259" s="140">
        <v>36</v>
      </c>
      <c r="F259" s="132">
        <v>4</v>
      </c>
      <c r="G259" s="132">
        <v>48</v>
      </c>
      <c r="H259" s="139" t="s">
        <v>18</v>
      </c>
      <c r="I259" s="140">
        <v>115</v>
      </c>
      <c r="J259" s="132">
        <v>9</v>
      </c>
      <c r="K259" s="132">
        <v>8</v>
      </c>
      <c r="L259" s="139" t="s">
        <v>52</v>
      </c>
      <c r="M259" s="132"/>
      <c r="N259" s="141"/>
      <c r="O259" s="141"/>
      <c r="P259" s="141"/>
      <c r="Q259" s="141"/>
      <c r="R259" s="141"/>
      <c r="S259" s="141"/>
      <c r="T259" s="141"/>
      <c r="U259" s="141"/>
      <c r="V259" s="141"/>
      <c r="W259" s="141"/>
      <c r="X259" s="141"/>
      <c r="Y259" s="141"/>
      <c r="Z259" s="141"/>
    </row>
    <row r="260" ht="12.75" customHeight="1" spans="1:26">
      <c r="A260" s="132"/>
      <c r="B260" s="140" t="s">
        <v>499</v>
      </c>
      <c r="C260" s="132" t="s">
        <v>538</v>
      </c>
      <c r="D260" s="139" t="s">
        <v>539</v>
      </c>
      <c r="E260" s="140">
        <v>33</v>
      </c>
      <c r="F260" s="132">
        <v>56</v>
      </c>
      <c r="G260" s="132">
        <v>33</v>
      </c>
      <c r="H260" s="139" t="s">
        <v>18</v>
      </c>
      <c r="I260" s="140">
        <v>118</v>
      </c>
      <c r="J260" s="132">
        <v>24</v>
      </c>
      <c r="K260" s="132">
        <v>26</v>
      </c>
      <c r="L260" s="139" t="s">
        <v>52</v>
      </c>
      <c r="M260" s="132"/>
      <c r="N260" s="141"/>
      <c r="O260" s="141"/>
      <c r="P260" s="141"/>
      <c r="Q260" s="141"/>
      <c r="R260" s="141"/>
      <c r="S260" s="141"/>
      <c r="T260" s="141"/>
      <c r="U260" s="141"/>
      <c r="V260" s="141"/>
      <c r="W260" s="141"/>
      <c r="X260" s="141"/>
      <c r="Y260" s="141"/>
      <c r="Z260" s="141"/>
    </row>
    <row r="261" ht="12.75" customHeight="1" spans="1:26">
      <c r="A261" s="132"/>
      <c r="B261" s="140" t="s">
        <v>499</v>
      </c>
      <c r="C261" s="132" t="s">
        <v>540</v>
      </c>
      <c r="D261" s="139" t="s">
        <v>541</v>
      </c>
      <c r="E261" s="140">
        <v>25</v>
      </c>
      <c r="F261" s="132">
        <v>47</v>
      </c>
      <c r="G261" s="132">
        <v>43</v>
      </c>
      <c r="H261" s="132" t="s">
        <v>18</v>
      </c>
      <c r="I261" s="140">
        <v>80</v>
      </c>
      <c r="J261" s="132">
        <v>17</v>
      </c>
      <c r="K261" s="132">
        <v>24</v>
      </c>
      <c r="L261" s="139" t="s">
        <v>52</v>
      </c>
      <c r="M261" s="132"/>
      <c r="N261" s="141"/>
      <c r="O261" s="141"/>
      <c r="P261" s="141"/>
      <c r="Q261" s="141"/>
      <c r="R261" s="141"/>
      <c r="S261" s="141"/>
      <c r="T261" s="141"/>
      <c r="U261" s="141"/>
      <c r="V261" s="141"/>
      <c r="W261" s="141"/>
      <c r="X261" s="141"/>
      <c r="Y261" s="141"/>
      <c r="Z261" s="141"/>
    </row>
    <row r="262" ht="12.75" customHeight="1" spans="1:26">
      <c r="A262" s="132"/>
      <c r="B262" s="140" t="s">
        <v>499</v>
      </c>
      <c r="C262" s="132" t="s">
        <v>542</v>
      </c>
      <c r="D262" s="132" t="s">
        <v>543</v>
      </c>
      <c r="E262" s="140">
        <v>41</v>
      </c>
      <c r="F262" s="132">
        <v>5</v>
      </c>
      <c r="G262" s="132">
        <v>0</v>
      </c>
      <c r="H262" s="132" t="s">
        <v>18</v>
      </c>
      <c r="I262" s="140">
        <v>71</v>
      </c>
      <c r="J262" s="132">
        <v>55</v>
      </c>
      <c r="K262" s="132">
        <v>0</v>
      </c>
      <c r="L262" s="139" t="s">
        <v>52</v>
      </c>
      <c r="M262" s="132"/>
      <c r="N262" s="141"/>
      <c r="O262" s="141"/>
      <c r="P262" s="141"/>
      <c r="Q262" s="141"/>
      <c r="R262" s="141"/>
      <c r="S262" s="141"/>
      <c r="T262" s="141"/>
      <c r="U262" s="141"/>
      <c r="V262" s="141"/>
      <c r="W262" s="141"/>
      <c r="X262" s="141"/>
      <c r="Y262" s="141"/>
      <c r="Z262" s="141"/>
    </row>
    <row r="263" ht="12.75" customHeight="1" spans="1:26">
      <c r="A263" s="132"/>
      <c r="B263" s="140" t="s">
        <v>499</v>
      </c>
      <c r="C263" s="132" t="s">
        <v>544</v>
      </c>
      <c r="D263" s="132" t="s">
        <v>545</v>
      </c>
      <c r="E263" s="140">
        <v>40</v>
      </c>
      <c r="F263" s="132">
        <v>38</v>
      </c>
      <c r="G263" s="132">
        <v>23</v>
      </c>
      <c r="H263" s="132" t="s">
        <v>18</v>
      </c>
      <c r="I263" s="140">
        <v>73</v>
      </c>
      <c r="J263" s="132">
        <v>46</v>
      </c>
      <c r="K263" s="132">
        <v>44</v>
      </c>
      <c r="L263" s="139" t="s">
        <v>52</v>
      </c>
      <c r="M263" s="132"/>
      <c r="N263" s="141"/>
      <c r="O263" s="141"/>
      <c r="P263" s="141"/>
      <c r="Q263" s="141"/>
      <c r="R263" s="141"/>
      <c r="S263" s="141"/>
      <c r="T263" s="141"/>
      <c r="U263" s="141"/>
      <c r="V263" s="141"/>
      <c r="W263" s="141"/>
      <c r="X263" s="141"/>
      <c r="Y263" s="141"/>
      <c r="Z263" s="141"/>
    </row>
    <row r="264" ht="12.75" customHeight="1" spans="1:26">
      <c r="A264" s="132"/>
      <c r="B264" s="140" t="s">
        <v>499</v>
      </c>
      <c r="C264" s="132" t="s">
        <v>546</v>
      </c>
      <c r="D264" s="132" t="s">
        <v>545</v>
      </c>
      <c r="E264" s="140">
        <v>40</v>
      </c>
      <c r="F264" s="132">
        <v>46</v>
      </c>
      <c r="G264" s="132">
        <v>38</v>
      </c>
      <c r="H264" s="132" t="s">
        <v>18</v>
      </c>
      <c r="I264" s="140">
        <v>73</v>
      </c>
      <c r="J264" s="132">
        <v>52</v>
      </c>
      <c r="K264" s="132">
        <v>21</v>
      </c>
      <c r="L264" s="139" t="s">
        <v>52</v>
      </c>
      <c r="M264" s="132"/>
      <c r="N264" s="141"/>
      <c r="O264" s="141"/>
      <c r="P264" s="141"/>
      <c r="Q264" s="141"/>
      <c r="R264" s="141"/>
      <c r="S264" s="141"/>
      <c r="T264" s="141"/>
      <c r="U264" s="141"/>
      <c r="V264" s="141"/>
      <c r="W264" s="141"/>
      <c r="X264" s="141"/>
      <c r="Y264" s="141"/>
      <c r="Z264" s="141"/>
    </row>
    <row r="265" ht="12.75" customHeight="1" spans="1:26">
      <c r="A265" s="132"/>
      <c r="B265" s="140" t="s">
        <v>499</v>
      </c>
      <c r="C265" s="132" t="s">
        <v>547</v>
      </c>
      <c r="D265" s="132" t="s">
        <v>548</v>
      </c>
      <c r="E265" s="140">
        <v>40</v>
      </c>
      <c r="F265" s="132">
        <v>41</v>
      </c>
      <c r="G265" s="132">
        <v>33</v>
      </c>
      <c r="H265" s="132" t="s">
        <v>18</v>
      </c>
      <c r="I265" s="140">
        <v>74</v>
      </c>
      <c r="J265" s="132">
        <v>10</v>
      </c>
      <c r="K265" s="132">
        <v>7</v>
      </c>
      <c r="L265" s="139" t="s">
        <v>52</v>
      </c>
      <c r="M265" s="132"/>
      <c r="N265" s="141"/>
      <c r="O265" s="141"/>
      <c r="P265" s="141"/>
      <c r="Q265" s="141"/>
      <c r="R265" s="141"/>
      <c r="S265" s="141"/>
      <c r="T265" s="141"/>
      <c r="U265" s="141"/>
      <c r="V265" s="141"/>
      <c r="W265" s="141"/>
      <c r="X265" s="141"/>
      <c r="Y265" s="141"/>
      <c r="Z265" s="141"/>
    </row>
    <row r="266" ht="12.75" customHeight="1" spans="1:26">
      <c r="A266" s="132"/>
      <c r="B266" s="140" t="s">
        <v>499</v>
      </c>
      <c r="C266" s="132" t="s">
        <v>549</v>
      </c>
      <c r="D266" s="132" t="s">
        <v>550</v>
      </c>
      <c r="E266" s="140">
        <v>28</v>
      </c>
      <c r="F266" s="132">
        <v>25</v>
      </c>
      <c r="G266" s="132">
        <v>46</v>
      </c>
      <c r="H266" s="132" t="s">
        <v>18</v>
      </c>
      <c r="I266" s="140">
        <v>81</v>
      </c>
      <c r="J266" s="132">
        <v>18</v>
      </c>
      <c r="K266" s="132">
        <v>32</v>
      </c>
      <c r="L266" s="139" t="s">
        <v>52</v>
      </c>
      <c r="M266" s="132"/>
      <c r="N266" s="141"/>
      <c r="O266" s="141"/>
      <c r="P266" s="141"/>
      <c r="Q266" s="141"/>
      <c r="R266" s="141"/>
      <c r="S266" s="141"/>
      <c r="T266" s="141"/>
      <c r="U266" s="141"/>
      <c r="V266" s="141"/>
      <c r="W266" s="141"/>
      <c r="X266" s="141"/>
      <c r="Y266" s="141"/>
      <c r="Z266" s="141"/>
    </row>
    <row r="267" ht="12.75" customHeight="1" spans="1:26">
      <c r="A267" s="132"/>
      <c r="B267" s="140" t="s">
        <v>499</v>
      </c>
      <c r="C267" s="132" t="s">
        <v>551</v>
      </c>
      <c r="D267" s="132" t="s">
        <v>552</v>
      </c>
      <c r="E267" s="140">
        <v>39</v>
      </c>
      <c r="F267" s="132">
        <v>52</v>
      </c>
      <c r="G267" s="132">
        <v>19</v>
      </c>
      <c r="H267" s="132" t="s">
        <v>18</v>
      </c>
      <c r="I267" s="140">
        <v>75</v>
      </c>
      <c r="J267" s="132">
        <v>14</v>
      </c>
      <c r="K267" s="132">
        <v>28</v>
      </c>
      <c r="L267" s="139" t="s">
        <v>52</v>
      </c>
      <c r="M267" s="132"/>
      <c r="N267" s="141"/>
      <c r="O267" s="141"/>
      <c r="P267" s="141"/>
      <c r="Q267" s="141"/>
      <c r="R267" s="141"/>
      <c r="S267" s="141"/>
      <c r="T267" s="141"/>
      <c r="U267" s="141"/>
      <c r="V267" s="141"/>
      <c r="W267" s="141"/>
      <c r="X267" s="141"/>
      <c r="Y267" s="141"/>
      <c r="Z267" s="141"/>
    </row>
    <row r="268" ht="12.75" customHeight="1" spans="1:26">
      <c r="A268" s="132"/>
      <c r="B268" s="140" t="s">
        <v>499</v>
      </c>
      <c r="C268" s="132" t="s">
        <v>553</v>
      </c>
      <c r="D268" s="132" t="s">
        <v>554</v>
      </c>
      <c r="E268" s="140">
        <v>33</v>
      </c>
      <c r="F268" s="132">
        <v>26</v>
      </c>
      <c r="G268" s="132">
        <v>3</v>
      </c>
      <c r="H268" s="132" t="s">
        <v>18</v>
      </c>
      <c r="I268" s="140">
        <v>112</v>
      </c>
      <c r="J268" s="132">
        <v>0</v>
      </c>
      <c r="K268" s="132">
        <v>42</v>
      </c>
      <c r="L268" s="139" t="s">
        <v>52</v>
      </c>
      <c r="M268" s="132"/>
      <c r="N268" s="141"/>
      <c r="O268" s="141"/>
      <c r="P268" s="141"/>
      <c r="Q268" s="141"/>
      <c r="R268" s="141"/>
      <c r="S268" s="141"/>
      <c r="T268" s="141"/>
      <c r="U268" s="141"/>
      <c r="V268" s="141"/>
      <c r="W268" s="141"/>
      <c r="X268" s="141"/>
      <c r="Y268" s="141"/>
      <c r="Z268" s="141"/>
    </row>
    <row r="269" ht="12.75" customHeight="1" spans="1:26">
      <c r="A269" s="132"/>
      <c r="B269" s="140" t="s">
        <v>499</v>
      </c>
      <c r="C269" s="132" t="s">
        <v>555</v>
      </c>
      <c r="D269" s="132" t="s">
        <v>556</v>
      </c>
      <c r="E269" s="140">
        <v>40</v>
      </c>
      <c r="F269" s="132">
        <v>29</v>
      </c>
      <c r="G269" s="132">
        <v>29</v>
      </c>
      <c r="H269" s="132" t="s">
        <v>18</v>
      </c>
      <c r="I269" s="140">
        <v>80</v>
      </c>
      <c r="J269" s="132">
        <v>13</v>
      </c>
      <c r="K269" s="132">
        <v>58</v>
      </c>
      <c r="L269" s="139" t="s">
        <v>52</v>
      </c>
      <c r="M269" s="132"/>
      <c r="N269" s="141"/>
      <c r="O269" s="141"/>
      <c r="P269" s="141"/>
      <c r="Q269" s="141"/>
      <c r="R269" s="141"/>
      <c r="S269" s="141"/>
      <c r="T269" s="141"/>
      <c r="U269" s="141"/>
      <c r="V269" s="141"/>
      <c r="W269" s="141"/>
      <c r="X269" s="141"/>
      <c r="Y269" s="141"/>
      <c r="Z269" s="141"/>
    </row>
    <row r="270" ht="12.75" customHeight="1" spans="1:26">
      <c r="A270" s="132"/>
      <c r="B270" s="140" t="s">
        <v>499</v>
      </c>
      <c r="C270" s="132" t="s">
        <v>557</v>
      </c>
      <c r="D270" s="132" t="s">
        <v>558</v>
      </c>
      <c r="E270" s="140">
        <v>41</v>
      </c>
      <c r="F270" s="132">
        <v>43</v>
      </c>
      <c r="G270" s="132">
        <v>26</v>
      </c>
      <c r="H270" s="132" t="s">
        <v>18</v>
      </c>
      <c r="I270" s="140">
        <v>71</v>
      </c>
      <c r="J270" s="132">
        <v>25</v>
      </c>
      <c r="K270" s="132">
        <v>42</v>
      </c>
      <c r="L270" s="139" t="s">
        <v>52</v>
      </c>
      <c r="M270" s="132"/>
      <c r="N270" s="141"/>
      <c r="O270" s="141"/>
      <c r="P270" s="141"/>
      <c r="Q270" s="141"/>
      <c r="R270" s="141"/>
      <c r="S270" s="141"/>
      <c r="T270" s="141"/>
      <c r="U270" s="141"/>
      <c r="V270" s="141"/>
      <c r="W270" s="141"/>
      <c r="X270" s="141"/>
      <c r="Y270" s="141"/>
      <c r="Z270" s="141"/>
    </row>
    <row r="271" ht="12.75" customHeight="1" spans="1:26">
      <c r="A271" s="132"/>
      <c r="B271" s="140" t="s">
        <v>499</v>
      </c>
      <c r="C271" s="132" t="s">
        <v>559</v>
      </c>
      <c r="D271" s="132" t="s">
        <v>560</v>
      </c>
      <c r="E271" s="140">
        <v>37</v>
      </c>
      <c r="F271" s="132">
        <v>37</v>
      </c>
      <c r="G271" s="132">
        <v>9</v>
      </c>
      <c r="H271" s="132" t="s">
        <v>18</v>
      </c>
      <c r="I271" s="140">
        <v>122</v>
      </c>
      <c r="J271" s="132">
        <v>22</v>
      </c>
      <c r="K271" s="132">
        <v>31</v>
      </c>
      <c r="L271" s="139" t="s">
        <v>52</v>
      </c>
      <c r="M271" s="132"/>
      <c r="N271" s="141"/>
      <c r="O271" s="141"/>
      <c r="P271" s="141"/>
      <c r="Q271" s="141"/>
      <c r="R271" s="141"/>
      <c r="S271" s="141"/>
      <c r="T271" s="141"/>
      <c r="U271" s="141"/>
      <c r="V271" s="141"/>
      <c r="W271" s="141"/>
      <c r="X271" s="141"/>
      <c r="Y271" s="141"/>
      <c r="Z271" s="141"/>
    </row>
    <row r="272" ht="12.75" customHeight="1" spans="1:26">
      <c r="A272" s="132"/>
      <c r="B272" s="140" t="s">
        <v>499</v>
      </c>
      <c r="C272" s="132" t="s">
        <v>561</v>
      </c>
      <c r="D272" s="139" t="s">
        <v>562</v>
      </c>
      <c r="E272" s="140">
        <v>43</v>
      </c>
      <c r="F272" s="132">
        <v>6</v>
      </c>
      <c r="G272" s="132">
        <v>40</v>
      </c>
      <c r="H272" s="132" t="s">
        <v>18</v>
      </c>
      <c r="I272" s="140">
        <v>76</v>
      </c>
      <c r="J272" s="132">
        <v>6</v>
      </c>
      <c r="K272" s="132">
        <v>23</v>
      </c>
      <c r="L272" s="139" t="s">
        <v>52</v>
      </c>
      <c r="M272" s="132"/>
      <c r="N272" s="141"/>
      <c r="O272" s="141"/>
      <c r="P272" s="141"/>
      <c r="Q272" s="141"/>
      <c r="R272" s="141"/>
      <c r="S272" s="141"/>
      <c r="T272" s="141"/>
      <c r="U272" s="141"/>
      <c r="V272" s="141"/>
      <c r="W272" s="141"/>
      <c r="X272" s="141"/>
      <c r="Y272" s="141"/>
      <c r="Z272" s="141"/>
    </row>
    <row r="273" ht="12.75" customHeight="1" spans="1:26">
      <c r="A273" s="132"/>
      <c r="B273" s="140" t="s">
        <v>499</v>
      </c>
      <c r="C273" s="132" t="s">
        <v>563</v>
      </c>
      <c r="D273" s="139" t="s">
        <v>564</v>
      </c>
      <c r="E273" s="140">
        <v>32</v>
      </c>
      <c r="F273" s="132">
        <v>6</v>
      </c>
      <c r="G273" s="132">
        <v>58</v>
      </c>
      <c r="H273" s="139" t="s">
        <v>18</v>
      </c>
      <c r="I273" s="140">
        <v>110</v>
      </c>
      <c r="J273" s="132">
        <v>56</v>
      </c>
      <c r="K273" s="132">
        <v>28</v>
      </c>
      <c r="L273" s="139" t="s">
        <v>52</v>
      </c>
      <c r="M273" s="132"/>
      <c r="N273" s="141"/>
      <c r="O273" s="141"/>
      <c r="P273" s="141"/>
      <c r="Q273" s="141"/>
      <c r="R273" s="141"/>
      <c r="S273" s="141"/>
      <c r="T273" s="141"/>
      <c r="U273" s="141"/>
      <c r="V273" s="141"/>
      <c r="W273" s="141"/>
      <c r="X273" s="141"/>
      <c r="Y273" s="141"/>
      <c r="Z273" s="141"/>
    </row>
    <row r="274" ht="12.75" customHeight="1" spans="1:26">
      <c r="A274" s="132"/>
      <c r="B274" s="140" t="s">
        <v>499</v>
      </c>
      <c r="C274" s="132" t="s">
        <v>565</v>
      </c>
      <c r="D274" s="139" t="s">
        <v>566</v>
      </c>
      <c r="E274" s="140">
        <v>38</v>
      </c>
      <c r="F274" s="132">
        <v>56</v>
      </c>
      <c r="G274" s="132">
        <v>51</v>
      </c>
      <c r="H274" s="139" t="s">
        <v>18</v>
      </c>
      <c r="I274" s="140">
        <v>77</v>
      </c>
      <c r="J274" s="132">
        <v>27</v>
      </c>
      <c r="K274" s="132">
        <v>36</v>
      </c>
      <c r="L274" s="139" t="s">
        <v>52</v>
      </c>
      <c r="M274" s="132"/>
      <c r="N274" s="141"/>
      <c r="O274" s="141"/>
      <c r="P274" s="141"/>
      <c r="Q274" s="141"/>
      <c r="R274" s="141"/>
      <c r="S274" s="141"/>
      <c r="T274" s="141"/>
      <c r="U274" s="141"/>
      <c r="V274" s="141"/>
      <c r="W274" s="141"/>
      <c r="X274" s="141"/>
      <c r="Y274" s="141"/>
      <c r="Z274" s="141"/>
    </row>
    <row r="275" ht="12.75" customHeight="1" spans="1:26">
      <c r="A275" s="132"/>
      <c r="B275" s="140" t="s">
        <v>499</v>
      </c>
      <c r="C275" s="132" t="s">
        <v>567</v>
      </c>
      <c r="D275" s="139" t="s">
        <v>568</v>
      </c>
      <c r="E275" s="140">
        <v>38</v>
      </c>
      <c r="F275" s="132">
        <v>51</v>
      </c>
      <c r="G275" s="132">
        <v>7</v>
      </c>
      <c r="H275" s="139" t="s">
        <v>18</v>
      </c>
      <c r="I275" s="140">
        <v>77</v>
      </c>
      <c r="J275" s="132">
        <v>2</v>
      </c>
      <c r="K275" s="132">
        <v>16</v>
      </c>
      <c r="L275" s="139" t="s">
        <v>52</v>
      </c>
      <c r="M275" s="132"/>
      <c r="N275" s="141"/>
      <c r="O275" s="141"/>
      <c r="P275" s="141"/>
      <c r="Q275" s="141"/>
      <c r="R275" s="141"/>
      <c r="S275" s="141"/>
      <c r="T275" s="141"/>
      <c r="U275" s="141"/>
      <c r="V275" s="141"/>
      <c r="W275" s="141"/>
      <c r="X275" s="141"/>
      <c r="Y275" s="141"/>
      <c r="Z275" s="141"/>
    </row>
    <row r="276" ht="12.75" customHeight="1" spans="1:26">
      <c r="A276" s="132"/>
      <c r="B276" s="140" t="s">
        <v>499</v>
      </c>
      <c r="C276" s="132" t="s">
        <v>569</v>
      </c>
      <c r="D276" s="139" t="s">
        <v>570</v>
      </c>
      <c r="E276" s="140">
        <v>30</v>
      </c>
      <c r="F276" s="132">
        <v>11</v>
      </c>
      <c r="G276" s="132">
        <v>40</v>
      </c>
      <c r="H276" s="139" t="s">
        <v>18</v>
      </c>
      <c r="I276" s="140">
        <v>97</v>
      </c>
      <c r="J276" s="132">
        <v>40</v>
      </c>
      <c r="K276" s="132">
        <v>12</v>
      </c>
      <c r="L276" s="139" t="s">
        <v>52</v>
      </c>
      <c r="M276" s="132"/>
      <c r="N276" s="141"/>
      <c r="O276" s="141"/>
      <c r="P276" s="141"/>
      <c r="Q276" s="141"/>
      <c r="R276" s="141"/>
      <c r="S276" s="141"/>
      <c r="T276" s="141"/>
      <c r="U276" s="141"/>
      <c r="V276" s="141"/>
      <c r="W276" s="141"/>
      <c r="X276" s="141"/>
      <c r="Y276" s="141"/>
      <c r="Z276" s="141"/>
    </row>
    <row r="277" ht="12.75" customHeight="1" spans="1:26">
      <c r="A277" s="132"/>
      <c r="B277" s="140" t="s">
        <v>499</v>
      </c>
      <c r="C277" s="132" t="s">
        <v>571</v>
      </c>
      <c r="D277" s="139" t="s">
        <v>572</v>
      </c>
      <c r="E277" s="140">
        <v>47</v>
      </c>
      <c r="F277" s="132">
        <v>42</v>
      </c>
      <c r="G277" s="132">
        <v>25</v>
      </c>
      <c r="H277" s="139" t="s">
        <v>18</v>
      </c>
      <c r="I277" s="140">
        <v>104</v>
      </c>
      <c r="J277" s="132">
        <v>11</v>
      </c>
      <c r="K277" s="132">
        <v>35</v>
      </c>
      <c r="L277" s="139" t="s">
        <v>52</v>
      </c>
      <c r="M277" s="132"/>
      <c r="N277" s="141"/>
      <c r="O277" s="141"/>
      <c r="P277" s="141"/>
      <c r="Q277" s="141"/>
      <c r="R277" s="141"/>
      <c r="S277" s="141"/>
      <c r="T277" s="141"/>
      <c r="U277" s="141"/>
      <c r="V277" s="141"/>
      <c r="W277" s="141"/>
      <c r="X277" s="141"/>
      <c r="Y277" s="141"/>
      <c r="Z277" s="141"/>
    </row>
    <row r="278" ht="12.75" customHeight="1" spans="1:26">
      <c r="A278" s="132"/>
      <c r="B278" s="140" t="s">
        <v>499</v>
      </c>
      <c r="C278" s="132" t="s">
        <v>573</v>
      </c>
      <c r="D278" s="139" t="s">
        <v>574</v>
      </c>
      <c r="E278" s="140">
        <v>39</v>
      </c>
      <c r="F278" s="132">
        <v>59</v>
      </c>
      <c r="G278" s="132">
        <v>53</v>
      </c>
      <c r="H278" s="139" t="s">
        <v>18</v>
      </c>
      <c r="I278" s="140">
        <v>82</v>
      </c>
      <c r="J278" s="132">
        <v>53</v>
      </c>
      <c r="K278" s="132">
        <v>31</v>
      </c>
      <c r="L278" s="139" t="s">
        <v>52</v>
      </c>
      <c r="M278" s="132"/>
      <c r="N278" s="141"/>
      <c r="O278" s="141"/>
      <c r="P278" s="141"/>
      <c r="Q278" s="141"/>
      <c r="R278" s="141"/>
      <c r="S278" s="141"/>
      <c r="T278" s="141"/>
      <c r="U278" s="141"/>
      <c r="V278" s="141"/>
      <c r="W278" s="141"/>
      <c r="X278" s="141"/>
      <c r="Y278" s="141"/>
      <c r="Z278" s="141"/>
    </row>
    <row r="279" ht="12.75" customHeight="1" spans="1:26">
      <c r="A279" s="132"/>
      <c r="B279" s="140" t="s">
        <v>499</v>
      </c>
      <c r="C279" s="132" t="s">
        <v>575</v>
      </c>
      <c r="D279" s="139" t="s">
        <v>576</v>
      </c>
      <c r="E279" s="140">
        <v>33</v>
      </c>
      <c r="F279" s="132">
        <v>56</v>
      </c>
      <c r="G279" s="132">
        <v>20</v>
      </c>
      <c r="H279" s="139" t="s">
        <v>18</v>
      </c>
      <c r="I279" s="140">
        <v>81</v>
      </c>
      <c r="J279" s="132">
        <v>7</v>
      </c>
      <c r="K279" s="132">
        <v>10</v>
      </c>
      <c r="L279" s="139" t="s">
        <v>52</v>
      </c>
      <c r="M279" s="132"/>
      <c r="N279" s="141"/>
      <c r="O279" s="141"/>
      <c r="P279" s="141"/>
      <c r="Q279" s="141"/>
      <c r="R279" s="141"/>
      <c r="S279" s="141"/>
      <c r="T279" s="141"/>
      <c r="U279" s="141"/>
      <c r="V279" s="141"/>
      <c r="W279" s="141"/>
      <c r="X279" s="141"/>
      <c r="Y279" s="141"/>
      <c r="Z279" s="141"/>
    </row>
    <row r="280" ht="12.75" customHeight="1" spans="1:26">
      <c r="A280" s="132"/>
      <c r="B280" s="140" t="s">
        <v>499</v>
      </c>
      <c r="C280" s="132" t="s">
        <v>577</v>
      </c>
      <c r="D280" s="139" t="s">
        <v>578</v>
      </c>
      <c r="E280" s="140">
        <v>38</v>
      </c>
      <c r="F280" s="132">
        <v>8</v>
      </c>
      <c r="G280" s="132">
        <v>19</v>
      </c>
      <c r="H280" s="139" t="s">
        <v>18</v>
      </c>
      <c r="I280" s="140">
        <v>78</v>
      </c>
      <c r="J280" s="132">
        <v>27</v>
      </c>
      <c r="K280" s="132">
        <v>10</v>
      </c>
      <c r="L280" s="139" t="s">
        <v>52</v>
      </c>
      <c r="M280" s="132"/>
      <c r="N280" s="141"/>
      <c r="O280" s="141"/>
      <c r="P280" s="141"/>
      <c r="Q280" s="141"/>
      <c r="R280" s="141"/>
      <c r="S280" s="141"/>
      <c r="T280" s="141"/>
      <c r="U280" s="141"/>
      <c r="V280" s="141"/>
      <c r="W280" s="141"/>
      <c r="X280" s="141"/>
      <c r="Y280" s="141"/>
      <c r="Z280" s="141"/>
    </row>
    <row r="281" ht="12.75" customHeight="1" spans="1:26">
      <c r="A281" s="132"/>
      <c r="B281" s="140" t="s">
        <v>499</v>
      </c>
      <c r="C281" s="132" t="s">
        <v>579</v>
      </c>
      <c r="D281" s="139" t="s">
        <v>580</v>
      </c>
      <c r="E281" s="140">
        <v>35</v>
      </c>
      <c r="F281" s="132">
        <v>12</v>
      </c>
      <c r="G281" s="132">
        <v>50</v>
      </c>
      <c r="H281" s="139" t="s">
        <v>18</v>
      </c>
      <c r="I281" s="140">
        <v>80</v>
      </c>
      <c r="J281" s="132">
        <v>56</v>
      </c>
      <c r="K281" s="132">
        <v>35</v>
      </c>
      <c r="L281" s="139" t="s">
        <v>52</v>
      </c>
      <c r="M281" s="132"/>
      <c r="N281" s="141"/>
      <c r="O281" s="141"/>
      <c r="P281" s="141"/>
      <c r="Q281" s="141"/>
      <c r="R281" s="141"/>
      <c r="S281" s="141"/>
      <c r="T281" s="141"/>
      <c r="U281" s="141"/>
      <c r="V281" s="141"/>
      <c r="W281" s="141"/>
      <c r="X281" s="141"/>
      <c r="Y281" s="141"/>
      <c r="Z281" s="141"/>
    </row>
    <row r="282" ht="12.75" customHeight="1" spans="1:26">
      <c r="A282" s="132"/>
      <c r="B282" s="140" t="s">
        <v>499</v>
      </c>
      <c r="C282" s="132" t="s">
        <v>581</v>
      </c>
      <c r="D282" s="139" t="s">
        <v>582</v>
      </c>
      <c r="E282" s="140">
        <v>43</v>
      </c>
      <c r="F282" s="132">
        <v>8</v>
      </c>
      <c r="G282" s="132">
        <v>27</v>
      </c>
      <c r="H282" s="139" t="s">
        <v>18</v>
      </c>
      <c r="I282" s="140">
        <v>89</v>
      </c>
      <c r="J282" s="132">
        <v>20</v>
      </c>
      <c r="K282" s="132">
        <v>15</v>
      </c>
      <c r="L282" s="139" t="s">
        <v>52</v>
      </c>
      <c r="M282" s="132"/>
      <c r="N282" s="141"/>
      <c r="O282" s="141"/>
      <c r="P282" s="141"/>
      <c r="Q282" s="141"/>
      <c r="R282" s="141"/>
      <c r="S282" s="141"/>
      <c r="T282" s="141"/>
      <c r="U282" s="141"/>
      <c r="V282" s="141"/>
      <c r="W282" s="141"/>
      <c r="X282" s="141"/>
      <c r="Y282" s="141"/>
      <c r="Z282" s="141"/>
    </row>
    <row r="283" ht="12.75" customHeight="1" spans="1:26">
      <c r="A283" s="132"/>
      <c r="B283" s="140" t="s">
        <v>499</v>
      </c>
      <c r="C283" s="132" t="s">
        <v>583</v>
      </c>
      <c r="D283" s="139" t="s">
        <v>584</v>
      </c>
      <c r="E283" s="140">
        <v>35</v>
      </c>
      <c r="F283" s="132">
        <v>52</v>
      </c>
      <c r="G283" s="132">
        <v>39</v>
      </c>
      <c r="H283" s="139" t="s">
        <v>18</v>
      </c>
      <c r="I283" s="140">
        <v>78</v>
      </c>
      <c r="J283" s="132">
        <v>47</v>
      </c>
      <c r="K283" s="132">
        <v>15</v>
      </c>
      <c r="L283" s="139" t="s">
        <v>52</v>
      </c>
      <c r="M283" s="132"/>
      <c r="N283" s="141"/>
      <c r="O283" s="141"/>
      <c r="P283" s="141"/>
      <c r="Q283" s="141"/>
      <c r="R283" s="141"/>
      <c r="S283" s="141"/>
      <c r="T283" s="141"/>
      <c r="U283" s="141"/>
      <c r="V283" s="141"/>
      <c r="W283" s="141"/>
      <c r="X283" s="141"/>
      <c r="Y283" s="141"/>
      <c r="Z283" s="141"/>
    </row>
    <row r="284" ht="12.75" customHeight="1" spans="1:26">
      <c r="A284" s="132"/>
      <c r="B284" s="140" t="s">
        <v>499</v>
      </c>
      <c r="C284" s="132" t="s">
        <v>585</v>
      </c>
      <c r="D284" s="132" t="s">
        <v>586</v>
      </c>
      <c r="E284" s="140">
        <v>32</v>
      </c>
      <c r="F284" s="132">
        <v>44</v>
      </c>
      <c r="G284" s="132">
        <v>1</v>
      </c>
      <c r="H284" s="132" t="s">
        <v>18</v>
      </c>
      <c r="I284" s="140">
        <v>117</v>
      </c>
      <c r="J284" s="132">
        <v>11</v>
      </c>
      <c r="K284" s="132">
        <v>24</v>
      </c>
      <c r="L284" s="139" t="s">
        <v>52</v>
      </c>
      <c r="M284" s="132"/>
      <c r="N284" s="141"/>
      <c r="O284" s="141"/>
      <c r="P284" s="141"/>
      <c r="Q284" s="141"/>
      <c r="R284" s="141"/>
      <c r="S284" s="141"/>
      <c r="T284" s="141"/>
      <c r="U284" s="141"/>
      <c r="V284" s="141"/>
      <c r="W284" s="141"/>
      <c r="X284" s="141"/>
      <c r="Y284" s="141"/>
      <c r="Z284" s="141"/>
    </row>
    <row r="285" ht="12.75" customHeight="1" spans="1:26">
      <c r="A285" s="132"/>
      <c r="B285" s="140" t="s">
        <v>499</v>
      </c>
      <c r="C285" s="132" t="s">
        <v>587</v>
      </c>
      <c r="D285" s="139" t="s">
        <v>588</v>
      </c>
      <c r="E285" s="140">
        <v>47</v>
      </c>
      <c r="F285" s="132">
        <v>26</v>
      </c>
      <c r="G285" s="132">
        <v>56</v>
      </c>
      <c r="H285" s="139" t="s">
        <v>18</v>
      </c>
      <c r="I285" s="140">
        <v>122</v>
      </c>
      <c r="J285" s="132">
        <v>18</v>
      </c>
      <c r="K285" s="132">
        <v>33</v>
      </c>
      <c r="L285" s="139" t="s">
        <v>52</v>
      </c>
      <c r="M285" s="132"/>
      <c r="N285" s="141"/>
      <c r="O285" s="141"/>
      <c r="P285" s="141"/>
      <c r="Q285" s="141"/>
      <c r="R285" s="141"/>
      <c r="S285" s="141"/>
      <c r="T285" s="141"/>
      <c r="U285" s="141"/>
      <c r="V285" s="141"/>
      <c r="W285" s="141"/>
      <c r="X285" s="141"/>
      <c r="Y285" s="141"/>
      <c r="Z285" s="141"/>
    </row>
    <row r="286" ht="12.75" customHeight="1" spans="1:26">
      <c r="A286" s="132"/>
      <c r="B286" s="140" t="s">
        <v>499</v>
      </c>
      <c r="C286" s="132" t="s">
        <v>589</v>
      </c>
      <c r="D286" s="139" t="s">
        <v>590</v>
      </c>
      <c r="E286" s="140">
        <v>38</v>
      </c>
      <c r="F286" s="132">
        <v>41</v>
      </c>
      <c r="G286" s="132">
        <v>43</v>
      </c>
      <c r="H286" s="139" t="s">
        <v>18</v>
      </c>
      <c r="I286" s="140">
        <v>121</v>
      </c>
      <c r="J286" s="132">
        <v>35</v>
      </c>
      <c r="K286" s="132">
        <v>28</v>
      </c>
      <c r="L286" s="139" t="s">
        <v>52</v>
      </c>
      <c r="M286" s="132"/>
      <c r="N286" s="141"/>
      <c r="O286" s="141"/>
      <c r="P286" s="141"/>
      <c r="Q286" s="141"/>
      <c r="R286" s="141"/>
      <c r="S286" s="141"/>
      <c r="T286" s="141"/>
      <c r="U286" s="141"/>
      <c r="V286" s="141"/>
      <c r="W286" s="141"/>
      <c r="X286" s="141"/>
      <c r="Y286" s="141"/>
      <c r="Z286" s="141"/>
    </row>
    <row r="287" ht="12.75" customHeight="1" spans="1:26">
      <c r="A287" s="132"/>
      <c r="B287" s="140" t="s">
        <v>499</v>
      </c>
      <c r="C287" s="132" t="s">
        <v>591</v>
      </c>
      <c r="D287" s="139" t="s">
        <v>592</v>
      </c>
      <c r="E287" s="140">
        <v>36</v>
      </c>
      <c r="F287" s="132">
        <v>16</v>
      </c>
      <c r="G287" s="132">
        <v>55</v>
      </c>
      <c r="H287" s="139" t="s">
        <v>18</v>
      </c>
      <c r="I287" s="140">
        <v>94</v>
      </c>
      <c r="J287" s="132">
        <v>18</v>
      </c>
      <c r="K287" s="132">
        <v>24</v>
      </c>
      <c r="L287" s="139" t="s">
        <v>52</v>
      </c>
      <c r="M287" s="132"/>
      <c r="N287" s="141"/>
      <c r="O287" s="141"/>
      <c r="P287" s="141"/>
      <c r="Q287" s="141"/>
      <c r="R287" s="141"/>
      <c r="S287" s="141"/>
      <c r="T287" s="141"/>
      <c r="U287" s="141"/>
      <c r="V287" s="141"/>
      <c r="W287" s="141"/>
      <c r="X287" s="141"/>
      <c r="Y287" s="141"/>
      <c r="Z287" s="141"/>
    </row>
    <row r="288" ht="12.75" customHeight="1" spans="1:26">
      <c r="A288" s="132"/>
      <c r="B288" s="140" t="s">
        <v>499</v>
      </c>
      <c r="C288" s="132" t="s">
        <v>593</v>
      </c>
      <c r="D288" s="139" t="s">
        <v>594</v>
      </c>
      <c r="E288" s="140">
        <v>27</v>
      </c>
      <c r="F288" s="132">
        <v>58</v>
      </c>
      <c r="G288" s="132">
        <v>32</v>
      </c>
      <c r="H288" s="139" t="s">
        <v>18</v>
      </c>
      <c r="I288" s="140">
        <v>82</v>
      </c>
      <c r="J288" s="132">
        <v>31</v>
      </c>
      <c r="K288" s="132">
        <v>60</v>
      </c>
      <c r="L288" s="139" t="s">
        <v>52</v>
      </c>
      <c r="M288" s="132"/>
      <c r="N288" s="141"/>
      <c r="O288" s="141"/>
      <c r="P288" s="141"/>
      <c r="Q288" s="141"/>
      <c r="R288" s="141"/>
      <c r="S288" s="141"/>
      <c r="T288" s="141"/>
      <c r="U288" s="141"/>
      <c r="V288" s="141"/>
      <c r="W288" s="141"/>
      <c r="X288" s="141"/>
      <c r="Y288" s="141"/>
      <c r="Z288" s="141"/>
    </row>
    <row r="289" ht="12.75" customHeight="1" spans="1:26">
      <c r="A289" s="132"/>
      <c r="B289" s="140" t="s">
        <v>499</v>
      </c>
      <c r="C289" s="132" t="s">
        <v>595</v>
      </c>
      <c r="D289" s="139" t="s">
        <v>550</v>
      </c>
      <c r="E289" s="140">
        <v>28</v>
      </c>
      <c r="F289" s="132">
        <v>25</v>
      </c>
      <c r="G289" s="132">
        <v>46</v>
      </c>
      <c r="H289" s="139" t="s">
        <v>18</v>
      </c>
      <c r="I289" s="140">
        <v>81</v>
      </c>
      <c r="J289" s="132">
        <v>18</v>
      </c>
      <c r="K289" s="132">
        <v>32</v>
      </c>
      <c r="L289" s="139" t="s">
        <v>52</v>
      </c>
      <c r="M289" s="132"/>
      <c r="N289" s="141"/>
      <c r="O289" s="141"/>
      <c r="P289" s="141"/>
      <c r="Q289" s="141"/>
      <c r="R289" s="141"/>
      <c r="S289" s="141"/>
      <c r="T289" s="141"/>
      <c r="U289" s="141"/>
      <c r="V289" s="141"/>
      <c r="W289" s="141"/>
      <c r="X289" s="141"/>
      <c r="Y289" s="141"/>
      <c r="Z289" s="141"/>
    </row>
    <row r="290" ht="12.75" customHeight="1" spans="1:26">
      <c r="A290" s="132"/>
      <c r="B290" s="140" t="s">
        <v>499</v>
      </c>
      <c r="C290" s="132" t="s">
        <v>596</v>
      </c>
      <c r="D290" s="139" t="s">
        <v>597</v>
      </c>
      <c r="E290" s="140">
        <v>21</v>
      </c>
      <c r="F290" s="132">
        <v>58</v>
      </c>
      <c r="G290" s="132">
        <v>34</v>
      </c>
      <c r="H290" s="139" t="s">
        <v>18</v>
      </c>
      <c r="I290" s="140">
        <v>159</v>
      </c>
      <c r="J290" s="132">
        <v>20</v>
      </c>
      <c r="K290" s="132">
        <v>20</v>
      </c>
      <c r="L290" s="139" t="s">
        <v>52</v>
      </c>
      <c r="M290" s="132"/>
      <c r="N290" s="141"/>
      <c r="O290" s="141"/>
      <c r="P290" s="141"/>
      <c r="Q290" s="141"/>
      <c r="R290" s="141"/>
      <c r="S290" s="141"/>
      <c r="T290" s="141"/>
      <c r="U290" s="141"/>
      <c r="V290" s="141"/>
      <c r="W290" s="141"/>
      <c r="X290" s="141"/>
      <c r="Y290" s="141"/>
      <c r="Z290" s="141"/>
    </row>
    <row r="291" ht="12.75" customHeight="1" spans="1:26">
      <c r="A291" s="132"/>
      <c r="B291" s="140" t="s">
        <v>499</v>
      </c>
      <c r="C291" s="132" t="s">
        <v>598</v>
      </c>
      <c r="D291" s="139" t="s">
        <v>599</v>
      </c>
      <c r="E291" s="140">
        <v>29</v>
      </c>
      <c r="F291" s="132">
        <v>59</v>
      </c>
      <c r="G291" s="132">
        <v>36</v>
      </c>
      <c r="H291" s="139" t="s">
        <v>18</v>
      </c>
      <c r="I291" s="140">
        <v>90</v>
      </c>
      <c r="J291" s="132">
        <v>15</v>
      </c>
      <c r="K291" s="132">
        <v>29</v>
      </c>
      <c r="L291" s="139" t="s">
        <v>52</v>
      </c>
      <c r="M291" s="132"/>
      <c r="N291" s="141"/>
      <c r="O291" s="141"/>
      <c r="P291" s="141"/>
      <c r="Q291" s="141"/>
      <c r="R291" s="141"/>
      <c r="S291" s="141"/>
      <c r="T291" s="141"/>
      <c r="U291" s="141"/>
      <c r="V291" s="141"/>
      <c r="W291" s="141"/>
      <c r="X291" s="141"/>
      <c r="Y291" s="141"/>
      <c r="Z291" s="141"/>
    </row>
    <row r="292" ht="12.75" customHeight="1" spans="1:26">
      <c r="A292" s="132"/>
      <c r="B292" s="140" t="s">
        <v>499</v>
      </c>
      <c r="C292" s="132" t="s">
        <v>600</v>
      </c>
      <c r="D292" s="132" t="s">
        <v>601</v>
      </c>
      <c r="E292" s="140">
        <v>45</v>
      </c>
      <c r="F292" s="132">
        <v>35</v>
      </c>
      <c r="G292" s="132">
        <v>19</v>
      </c>
      <c r="H292" s="132" t="s">
        <v>18</v>
      </c>
      <c r="I292" s="140">
        <v>122</v>
      </c>
      <c r="J292" s="132">
        <v>35</v>
      </c>
      <c r="K292" s="132">
        <v>53</v>
      </c>
      <c r="L292" s="139" t="s">
        <v>52</v>
      </c>
      <c r="M292" s="132"/>
      <c r="N292" s="141"/>
      <c r="O292" s="141"/>
      <c r="P292" s="141"/>
      <c r="Q292" s="141"/>
      <c r="R292" s="141"/>
      <c r="S292" s="141"/>
      <c r="T292" s="141"/>
      <c r="U292" s="141"/>
      <c r="V292" s="141"/>
      <c r="W292" s="141"/>
      <c r="X292" s="141"/>
      <c r="Y292" s="141"/>
      <c r="Z292" s="141"/>
    </row>
    <row r="293" ht="12.75" customHeight="1" spans="1:26">
      <c r="A293" s="132"/>
      <c r="B293" s="140" t="s">
        <v>499</v>
      </c>
      <c r="C293" s="132" t="s">
        <v>602</v>
      </c>
      <c r="D293" s="132" t="s">
        <v>603</v>
      </c>
      <c r="E293" s="140">
        <v>40</v>
      </c>
      <c r="F293" s="132">
        <v>50</v>
      </c>
      <c r="G293" s="132">
        <v>57</v>
      </c>
      <c r="H293" s="132" t="s">
        <v>18</v>
      </c>
      <c r="I293" s="140">
        <v>77</v>
      </c>
      <c r="J293" s="132">
        <v>50</v>
      </c>
      <c r="K293" s="132">
        <v>55</v>
      </c>
      <c r="L293" s="139" t="s">
        <v>52</v>
      </c>
      <c r="M293" s="132"/>
      <c r="N293" s="141"/>
      <c r="O293" s="141"/>
      <c r="P293" s="141"/>
      <c r="Q293" s="141"/>
      <c r="R293" s="141"/>
      <c r="S293" s="141"/>
      <c r="T293" s="141"/>
      <c r="U293" s="141"/>
      <c r="V293" s="141"/>
      <c r="W293" s="141"/>
      <c r="X293" s="141"/>
      <c r="Y293" s="141"/>
      <c r="Z293" s="141"/>
    </row>
    <row r="294" ht="12.75" customHeight="1" spans="1:26">
      <c r="A294" s="132"/>
      <c r="B294" s="140" t="s">
        <v>499</v>
      </c>
      <c r="C294" s="132" t="s">
        <v>604</v>
      </c>
      <c r="D294" s="132" t="s">
        <v>605</v>
      </c>
      <c r="E294" s="140">
        <v>26</v>
      </c>
      <c r="F294" s="132">
        <v>4</v>
      </c>
      <c r="G294" s="132">
        <v>21</v>
      </c>
      <c r="H294" s="132" t="s">
        <v>18</v>
      </c>
      <c r="I294" s="140">
        <v>80</v>
      </c>
      <c r="J294" s="132">
        <v>9</v>
      </c>
      <c r="K294" s="132">
        <v>10</v>
      </c>
      <c r="L294" s="139" t="s">
        <v>52</v>
      </c>
      <c r="M294" s="132"/>
      <c r="N294" s="141"/>
      <c r="O294" s="141"/>
      <c r="P294" s="141"/>
      <c r="Q294" s="141"/>
      <c r="R294" s="141"/>
      <c r="S294" s="141"/>
      <c r="T294" s="141"/>
      <c r="U294" s="141"/>
      <c r="V294" s="141"/>
      <c r="W294" s="141"/>
      <c r="X294" s="141"/>
      <c r="Y294" s="141"/>
      <c r="Z294" s="141"/>
    </row>
    <row r="295" ht="12.75" customHeight="1" spans="1:26">
      <c r="A295" s="132"/>
      <c r="B295" s="140" t="s">
        <v>499</v>
      </c>
      <c r="C295" s="132" t="s">
        <v>606</v>
      </c>
      <c r="D295" s="132" t="s">
        <v>607</v>
      </c>
      <c r="E295" s="140">
        <v>36</v>
      </c>
      <c r="F295" s="132">
        <v>35</v>
      </c>
      <c r="G295" s="132">
        <v>13</v>
      </c>
      <c r="H295" s="132" t="s">
        <v>18</v>
      </c>
      <c r="I295" s="140">
        <v>121</v>
      </c>
      <c r="J295" s="132">
        <v>50</v>
      </c>
      <c r="K295" s="132">
        <v>35</v>
      </c>
      <c r="L295" s="139" t="s">
        <v>52</v>
      </c>
      <c r="M295" s="132"/>
      <c r="N295" s="141"/>
      <c r="O295" s="141"/>
      <c r="P295" s="141"/>
      <c r="Q295" s="141"/>
      <c r="R295" s="141"/>
      <c r="S295" s="141"/>
      <c r="T295" s="141"/>
      <c r="U295" s="141"/>
      <c r="V295" s="141"/>
      <c r="W295" s="141"/>
      <c r="X295" s="141"/>
      <c r="Y295" s="141"/>
      <c r="Z295" s="141"/>
    </row>
    <row r="296" ht="12.75" customHeight="1" spans="1:26">
      <c r="A296" s="132"/>
      <c r="B296" s="140" t="s">
        <v>499</v>
      </c>
      <c r="C296" s="132" t="s">
        <v>598</v>
      </c>
      <c r="D296" s="132" t="s">
        <v>608</v>
      </c>
      <c r="E296" s="140">
        <v>29</v>
      </c>
      <c r="F296" s="132">
        <v>59</v>
      </c>
      <c r="G296" s="132">
        <v>36</v>
      </c>
      <c r="H296" s="132" t="s">
        <v>18</v>
      </c>
      <c r="I296" s="140">
        <v>90</v>
      </c>
      <c r="J296" s="132">
        <v>15</v>
      </c>
      <c r="K296" s="132">
        <v>29</v>
      </c>
      <c r="L296" s="139" t="s">
        <v>52</v>
      </c>
      <c r="M296" s="132"/>
      <c r="N296" s="141"/>
      <c r="O296" s="141"/>
      <c r="P296" s="141"/>
      <c r="Q296" s="141"/>
      <c r="R296" s="141"/>
      <c r="S296" s="141"/>
      <c r="T296" s="141"/>
      <c r="U296" s="141"/>
      <c r="V296" s="141"/>
      <c r="W296" s="141"/>
      <c r="X296" s="141"/>
      <c r="Y296" s="141"/>
      <c r="Z296" s="141"/>
    </row>
    <row r="297" ht="12.75" customHeight="1" spans="1:26">
      <c r="A297" s="132"/>
      <c r="B297" s="140" t="s">
        <v>499</v>
      </c>
      <c r="C297" s="132" t="s">
        <v>609</v>
      </c>
      <c r="D297" s="132" t="s">
        <v>610</v>
      </c>
      <c r="E297" s="140">
        <v>39</v>
      </c>
      <c r="F297" s="132">
        <v>29</v>
      </c>
      <c r="G297" s="132">
        <v>57</v>
      </c>
      <c r="H297" s="132" t="s">
        <v>18</v>
      </c>
      <c r="I297" s="140">
        <v>119</v>
      </c>
      <c r="J297" s="132">
        <v>46</v>
      </c>
      <c r="K297" s="132">
        <v>5</v>
      </c>
      <c r="L297" s="139" t="s">
        <v>52</v>
      </c>
      <c r="M297" s="132"/>
      <c r="N297" s="141"/>
      <c r="O297" s="141"/>
      <c r="P297" s="141"/>
      <c r="Q297" s="141"/>
      <c r="R297" s="141"/>
      <c r="S297" s="141"/>
      <c r="T297" s="141"/>
      <c r="U297" s="141"/>
      <c r="V297" s="141"/>
      <c r="W297" s="141"/>
      <c r="X297" s="141"/>
      <c r="Y297" s="141"/>
      <c r="Z297" s="141"/>
    </row>
    <row r="298" ht="12.75" customHeight="1" spans="1:26">
      <c r="A298" s="132"/>
      <c r="B298" s="140" t="s">
        <v>499</v>
      </c>
      <c r="C298" s="132" t="s">
        <v>611</v>
      </c>
      <c r="D298" s="132" t="s">
        <v>612</v>
      </c>
      <c r="E298" s="140">
        <v>42</v>
      </c>
      <c r="F298" s="132">
        <v>44</v>
      </c>
      <c r="G298" s="132">
        <v>57</v>
      </c>
      <c r="H298" s="132" t="s">
        <v>18</v>
      </c>
      <c r="I298" s="140">
        <v>73</v>
      </c>
      <c r="J298" s="132">
        <v>48</v>
      </c>
      <c r="K298" s="132">
        <v>7</v>
      </c>
      <c r="L298" s="139" t="s">
        <v>52</v>
      </c>
      <c r="M298" s="132"/>
      <c r="N298" s="141"/>
      <c r="O298" s="141"/>
      <c r="P298" s="141"/>
      <c r="Q298" s="141"/>
      <c r="R298" s="141"/>
      <c r="S298" s="141"/>
      <c r="T298" s="141"/>
      <c r="U298" s="141"/>
      <c r="V298" s="141"/>
      <c r="W298" s="141"/>
      <c r="X298" s="141"/>
      <c r="Y298" s="141"/>
      <c r="Z298" s="141"/>
    </row>
    <row r="299" ht="12.75" customHeight="1" spans="1:26">
      <c r="A299" s="132"/>
      <c r="B299" s="140" t="s">
        <v>499</v>
      </c>
      <c r="C299" s="132" t="s">
        <v>613</v>
      </c>
      <c r="D299" s="139" t="s">
        <v>614</v>
      </c>
      <c r="E299" s="140">
        <v>40</v>
      </c>
      <c r="F299" s="132">
        <v>2</v>
      </c>
      <c r="G299" s="132">
        <v>20</v>
      </c>
      <c r="H299" s="132" t="s">
        <v>18</v>
      </c>
      <c r="I299" s="140">
        <v>88</v>
      </c>
      <c r="J299" s="132">
        <v>16</v>
      </c>
      <c r="K299" s="132">
        <v>40</v>
      </c>
      <c r="L299" s="139" t="s">
        <v>52</v>
      </c>
      <c r="M299" s="132"/>
      <c r="N299" s="141"/>
      <c r="O299" s="141"/>
      <c r="P299" s="141"/>
      <c r="Q299" s="141"/>
      <c r="R299" s="141"/>
      <c r="S299" s="141"/>
      <c r="T299" s="141"/>
      <c r="U299" s="141"/>
      <c r="V299" s="141"/>
      <c r="W299" s="141"/>
      <c r="X299" s="141"/>
      <c r="Y299" s="141"/>
      <c r="Z299" s="141"/>
    </row>
    <row r="300" ht="12.75" customHeight="1" spans="1:26">
      <c r="A300" s="132"/>
      <c r="B300" s="140" t="s">
        <v>499</v>
      </c>
      <c r="C300" s="132" t="s">
        <v>615</v>
      </c>
      <c r="D300" s="139" t="s">
        <v>616</v>
      </c>
      <c r="E300" s="140">
        <v>39</v>
      </c>
      <c r="F300" s="132">
        <v>54</v>
      </c>
      <c r="G300" s="132">
        <v>8</v>
      </c>
      <c r="H300" s="139" t="s">
        <v>18</v>
      </c>
      <c r="I300" s="140">
        <v>84</v>
      </c>
      <c r="J300" s="132">
        <v>13</v>
      </c>
      <c r="K300" s="132">
        <v>10</v>
      </c>
      <c r="L300" s="139" t="s">
        <v>52</v>
      </c>
      <c r="M300" s="132"/>
      <c r="N300" s="141"/>
      <c r="O300" s="141"/>
      <c r="P300" s="141"/>
      <c r="Q300" s="141"/>
      <c r="R300" s="141"/>
      <c r="S300" s="141"/>
      <c r="T300" s="141"/>
      <c r="U300" s="141"/>
      <c r="V300" s="141"/>
      <c r="W300" s="141"/>
      <c r="X300" s="141"/>
      <c r="Y300" s="141"/>
      <c r="Z300" s="141"/>
    </row>
    <row r="301" ht="12.75" customHeight="1" spans="1:26">
      <c r="A301" s="132"/>
      <c r="B301" s="140" t="s">
        <v>499</v>
      </c>
      <c r="C301" s="132" t="s">
        <v>617</v>
      </c>
      <c r="D301" s="139" t="s">
        <v>618</v>
      </c>
      <c r="E301" s="140">
        <v>32</v>
      </c>
      <c r="F301" s="132">
        <v>21</v>
      </c>
      <c r="G301" s="132">
        <v>15</v>
      </c>
      <c r="H301" s="139" t="s">
        <v>18</v>
      </c>
      <c r="I301" s="140">
        <v>95</v>
      </c>
      <c r="J301" s="132">
        <v>24</v>
      </c>
      <c r="K301" s="132">
        <v>9</v>
      </c>
      <c r="L301" s="139" t="s">
        <v>52</v>
      </c>
      <c r="M301" s="132"/>
      <c r="N301" s="141"/>
      <c r="O301" s="141"/>
      <c r="P301" s="141"/>
      <c r="Q301" s="141"/>
      <c r="R301" s="141"/>
      <c r="S301" s="141"/>
      <c r="T301" s="141"/>
      <c r="U301" s="141"/>
      <c r="V301" s="141"/>
      <c r="W301" s="141"/>
      <c r="X301" s="141"/>
      <c r="Y301" s="141"/>
      <c r="Z301" s="141"/>
    </row>
    <row r="302" ht="12.75" customHeight="1" spans="1:26">
      <c r="A302" s="132"/>
      <c r="B302" s="140" t="s">
        <v>499</v>
      </c>
      <c r="C302" s="132" t="s">
        <v>619</v>
      </c>
      <c r="D302" s="139" t="s">
        <v>620</v>
      </c>
      <c r="E302" s="140">
        <v>23</v>
      </c>
      <c r="F302" s="132">
        <v>32</v>
      </c>
      <c r="G302" s="132">
        <v>1</v>
      </c>
      <c r="H302" s="139" t="s">
        <v>18</v>
      </c>
      <c r="I302" s="140">
        <v>98</v>
      </c>
      <c r="J302" s="132">
        <v>28</v>
      </c>
      <c r="K302" s="132">
        <v>11</v>
      </c>
      <c r="L302" s="139" t="s">
        <v>52</v>
      </c>
      <c r="M302" s="132"/>
      <c r="N302" s="141"/>
      <c r="O302" s="141"/>
      <c r="P302" s="141"/>
      <c r="Q302" s="141"/>
      <c r="R302" s="141"/>
      <c r="S302" s="141"/>
      <c r="T302" s="141"/>
      <c r="U302" s="141"/>
      <c r="V302" s="141"/>
      <c r="W302" s="141"/>
      <c r="X302" s="141"/>
      <c r="Y302" s="141"/>
      <c r="Z302" s="141"/>
    </row>
    <row r="303" ht="12.75" customHeight="1" spans="1:26">
      <c r="A303" s="132"/>
      <c r="B303" s="140" t="s">
        <v>499</v>
      </c>
      <c r="C303" s="132" t="s">
        <v>617</v>
      </c>
      <c r="D303" s="139" t="s">
        <v>618</v>
      </c>
      <c r="E303" s="140">
        <v>32</v>
      </c>
      <c r="F303" s="132">
        <v>21</v>
      </c>
      <c r="G303" s="132">
        <v>15</v>
      </c>
      <c r="H303" s="139" t="s">
        <v>18</v>
      </c>
      <c r="I303" s="140">
        <v>95</v>
      </c>
      <c r="J303" s="132">
        <v>24</v>
      </c>
      <c r="K303" s="132">
        <v>9</v>
      </c>
      <c r="L303" s="139" t="s">
        <v>52</v>
      </c>
      <c r="M303" s="132"/>
      <c r="N303" s="141"/>
      <c r="O303" s="141"/>
      <c r="P303" s="141"/>
      <c r="Q303" s="141"/>
      <c r="R303" s="141"/>
      <c r="S303" s="141"/>
      <c r="T303" s="141"/>
      <c r="U303" s="141"/>
      <c r="V303" s="141"/>
      <c r="W303" s="141"/>
      <c r="X303" s="141"/>
      <c r="Y303" s="141"/>
      <c r="Z303" s="141"/>
    </row>
    <row r="304" ht="12.75" customHeight="1" spans="1:26">
      <c r="A304" s="132"/>
      <c r="B304" s="140" t="s">
        <v>499</v>
      </c>
      <c r="C304" s="132" t="s">
        <v>619</v>
      </c>
      <c r="D304" s="139" t="s">
        <v>620</v>
      </c>
      <c r="E304" s="140">
        <v>23</v>
      </c>
      <c r="F304" s="132">
        <v>32</v>
      </c>
      <c r="G304" s="132">
        <v>1</v>
      </c>
      <c r="H304" s="139" t="s">
        <v>18</v>
      </c>
      <c r="I304" s="140">
        <v>98</v>
      </c>
      <c r="J304" s="132">
        <v>28</v>
      </c>
      <c r="K304" s="132">
        <v>11</v>
      </c>
      <c r="L304" s="139" t="s">
        <v>52</v>
      </c>
      <c r="M304" s="132"/>
      <c r="N304" s="141"/>
      <c r="O304" s="141"/>
      <c r="P304" s="141"/>
      <c r="Q304" s="141"/>
      <c r="R304" s="141"/>
      <c r="S304" s="141"/>
      <c r="T304" s="141"/>
      <c r="U304" s="141"/>
      <c r="V304" s="141"/>
      <c r="W304" s="141"/>
      <c r="X304" s="141"/>
      <c r="Y304" s="141"/>
      <c r="Z304" s="141"/>
    </row>
    <row r="305" ht="12.75" customHeight="1" spans="1:26">
      <c r="A305" s="132"/>
      <c r="B305" s="140" t="s">
        <v>499</v>
      </c>
      <c r="C305" s="132" t="s">
        <v>621</v>
      </c>
      <c r="D305" s="132" t="s">
        <v>622</v>
      </c>
      <c r="E305" s="140">
        <v>40</v>
      </c>
      <c r="F305" s="132">
        <v>47</v>
      </c>
      <c r="G305" s="132">
        <v>18</v>
      </c>
      <c r="H305" s="132" t="s">
        <v>18</v>
      </c>
      <c r="I305" s="140">
        <v>11</v>
      </c>
      <c r="J305" s="132">
        <v>58</v>
      </c>
      <c r="K305" s="132">
        <v>40</v>
      </c>
      <c r="L305" s="139" t="s">
        <v>52</v>
      </c>
      <c r="M305" s="132"/>
      <c r="N305" s="141"/>
      <c r="O305" s="141"/>
      <c r="P305" s="141"/>
      <c r="Q305" s="141"/>
      <c r="R305" s="141"/>
      <c r="S305" s="141"/>
      <c r="T305" s="141"/>
      <c r="U305" s="141"/>
      <c r="V305" s="141"/>
      <c r="W305" s="141"/>
      <c r="X305" s="141"/>
      <c r="Y305" s="141"/>
      <c r="Z305" s="141"/>
    </row>
    <row r="306" ht="12.75" customHeight="1" spans="1:26">
      <c r="A306" s="132"/>
      <c r="B306" s="140" t="s">
        <v>499</v>
      </c>
      <c r="C306" s="132" t="s">
        <v>623</v>
      </c>
      <c r="D306" s="132" t="s">
        <v>624</v>
      </c>
      <c r="E306" s="140">
        <v>39</v>
      </c>
      <c r="F306" s="132">
        <v>50</v>
      </c>
      <c r="G306" s="132">
        <v>25</v>
      </c>
      <c r="H306" s="132" t="s">
        <v>18</v>
      </c>
      <c r="I306" s="140">
        <v>83</v>
      </c>
      <c r="J306" s="132">
        <v>50</v>
      </c>
      <c r="K306" s="132">
        <v>25</v>
      </c>
      <c r="L306" s="139" t="s">
        <v>52</v>
      </c>
      <c r="M306" s="132"/>
      <c r="N306" s="141"/>
      <c r="O306" s="141"/>
      <c r="P306" s="141"/>
      <c r="Q306" s="141"/>
      <c r="R306" s="141"/>
      <c r="S306" s="141"/>
      <c r="T306" s="141"/>
      <c r="U306" s="141"/>
      <c r="V306" s="141"/>
      <c r="W306" s="141"/>
      <c r="X306" s="141"/>
      <c r="Y306" s="141"/>
      <c r="Z306" s="141"/>
    </row>
    <row r="307" ht="12.75" customHeight="1" spans="1:26">
      <c r="A307" s="132"/>
      <c r="B307" s="140" t="s">
        <v>499</v>
      </c>
      <c r="C307" s="132" t="s">
        <v>625</v>
      </c>
      <c r="D307" s="132" t="s">
        <v>626</v>
      </c>
      <c r="E307" s="140">
        <v>43</v>
      </c>
      <c r="F307" s="132">
        <v>52</v>
      </c>
      <c r="G307" s="132">
        <v>45</v>
      </c>
      <c r="H307" s="132" t="s">
        <v>18</v>
      </c>
      <c r="I307" s="140">
        <v>91</v>
      </c>
      <c r="J307" s="132">
        <v>15</v>
      </c>
      <c r="K307" s="132">
        <v>24</v>
      </c>
      <c r="L307" s="139" t="s">
        <v>52</v>
      </c>
      <c r="M307" s="132"/>
      <c r="N307" s="141"/>
      <c r="O307" s="141"/>
      <c r="P307" s="141"/>
      <c r="Q307" s="141"/>
      <c r="R307" s="141"/>
      <c r="S307" s="141"/>
      <c r="T307" s="141"/>
      <c r="U307" s="141"/>
      <c r="V307" s="141"/>
      <c r="W307" s="141"/>
      <c r="X307" s="141"/>
      <c r="Y307" s="141"/>
      <c r="Z307" s="141"/>
    </row>
    <row r="308" ht="12.75" customHeight="1" spans="1:26">
      <c r="A308" s="132"/>
      <c r="B308" s="140" t="s">
        <v>499</v>
      </c>
      <c r="C308" s="132" t="s">
        <v>627</v>
      </c>
      <c r="D308" s="139" t="s">
        <v>628</v>
      </c>
      <c r="E308" s="140">
        <v>41</v>
      </c>
      <c r="F308" s="132">
        <v>53</v>
      </c>
      <c r="G308" s="132">
        <v>5</v>
      </c>
      <c r="H308" s="132" t="s">
        <v>18</v>
      </c>
      <c r="I308" s="140">
        <v>91</v>
      </c>
      <c r="J308" s="132">
        <v>42</v>
      </c>
      <c r="K308" s="132">
        <v>39</v>
      </c>
      <c r="L308" s="139" t="s">
        <v>52</v>
      </c>
      <c r="M308" s="132"/>
      <c r="N308" s="141"/>
      <c r="O308" s="141"/>
      <c r="P308" s="141"/>
      <c r="Q308" s="141"/>
      <c r="R308" s="141"/>
      <c r="S308" s="141"/>
      <c r="T308" s="141"/>
      <c r="U308" s="141"/>
      <c r="V308" s="141"/>
      <c r="W308" s="141"/>
      <c r="X308" s="141"/>
      <c r="Y308" s="141"/>
      <c r="Z308" s="141"/>
    </row>
    <row r="309" ht="12.75" customHeight="1" spans="1:26">
      <c r="A309" s="132"/>
      <c r="B309" s="140" t="s">
        <v>499</v>
      </c>
      <c r="C309" s="132" t="s">
        <v>629</v>
      </c>
      <c r="D309" s="139" t="s">
        <v>630</v>
      </c>
      <c r="E309" s="140">
        <v>35</v>
      </c>
      <c r="F309" s="132">
        <v>8</v>
      </c>
      <c r="G309" s="132">
        <v>25</v>
      </c>
      <c r="H309" s="139" t="s">
        <v>18</v>
      </c>
      <c r="I309" s="140">
        <v>111</v>
      </c>
      <c r="J309" s="132">
        <v>40</v>
      </c>
      <c r="K309" s="132">
        <v>9</v>
      </c>
      <c r="L309" s="139" t="s">
        <v>52</v>
      </c>
      <c r="M309" s="132"/>
      <c r="N309" s="141"/>
      <c r="O309" s="141"/>
      <c r="P309" s="141"/>
      <c r="Q309" s="141"/>
      <c r="R309" s="141"/>
      <c r="S309" s="141"/>
      <c r="T309" s="141"/>
      <c r="U309" s="141"/>
      <c r="V309" s="141"/>
      <c r="W309" s="141"/>
      <c r="X309" s="141"/>
      <c r="Y309" s="141"/>
      <c r="Z309" s="141"/>
    </row>
    <row r="310" ht="12.75" customHeight="1" spans="1:26">
      <c r="A310" s="132"/>
      <c r="B310" s="140" t="s">
        <v>499</v>
      </c>
      <c r="C310" s="132" t="s">
        <v>631</v>
      </c>
      <c r="D310" s="139" t="s">
        <v>632</v>
      </c>
      <c r="E310" s="140">
        <v>34</v>
      </c>
      <c r="F310" s="132">
        <v>25</v>
      </c>
      <c r="G310" s="132">
        <v>34</v>
      </c>
      <c r="H310" s="139" t="s">
        <v>18</v>
      </c>
      <c r="I310" s="140">
        <v>119</v>
      </c>
      <c r="J310" s="132">
        <v>50</v>
      </c>
      <c r="K310" s="132">
        <v>29</v>
      </c>
      <c r="L310" s="139" t="s">
        <v>52</v>
      </c>
      <c r="M310" s="132"/>
      <c r="N310" s="141"/>
      <c r="O310" s="141"/>
      <c r="P310" s="141"/>
      <c r="Q310" s="141"/>
      <c r="R310" s="141"/>
      <c r="S310" s="141"/>
      <c r="T310" s="141"/>
      <c r="U310" s="141"/>
      <c r="V310" s="141"/>
      <c r="W310" s="141"/>
      <c r="X310" s="141"/>
      <c r="Y310" s="141"/>
      <c r="Z310" s="141"/>
    </row>
    <row r="311" ht="12.75" customHeight="1" spans="1:26">
      <c r="A311" s="132"/>
      <c r="B311" s="140" t="s">
        <v>499</v>
      </c>
      <c r="C311" s="132" t="s">
        <v>633</v>
      </c>
      <c r="D311" s="139" t="s">
        <v>634</v>
      </c>
      <c r="E311" s="140">
        <v>41</v>
      </c>
      <c r="F311" s="132">
        <v>56</v>
      </c>
      <c r="G311" s="132">
        <v>20</v>
      </c>
      <c r="H311" s="139" t="s">
        <v>18</v>
      </c>
      <c r="I311" s="140">
        <v>72</v>
      </c>
      <c r="J311" s="132">
        <v>41</v>
      </c>
      <c r="K311" s="132">
        <v>0</v>
      </c>
      <c r="L311" s="139" t="s">
        <v>52</v>
      </c>
      <c r="M311" s="132"/>
      <c r="N311" s="141"/>
      <c r="O311" s="141"/>
      <c r="P311" s="141"/>
      <c r="Q311" s="141"/>
      <c r="R311" s="141"/>
      <c r="S311" s="141"/>
      <c r="T311" s="141"/>
      <c r="U311" s="141"/>
      <c r="V311" s="141"/>
      <c r="W311" s="141"/>
      <c r="X311" s="141"/>
      <c r="Y311" s="141"/>
      <c r="Z311" s="141"/>
    </row>
    <row r="312" ht="12.75" customHeight="1" spans="1:26">
      <c r="A312" s="132"/>
      <c r="B312" s="140" t="s">
        <v>499</v>
      </c>
      <c r="C312" s="132" t="s">
        <v>635</v>
      </c>
      <c r="D312" s="139" t="s">
        <v>636</v>
      </c>
      <c r="E312" s="140">
        <v>41</v>
      </c>
      <c r="F312" s="132">
        <v>3</v>
      </c>
      <c r="G312" s="132">
        <v>21</v>
      </c>
      <c r="H312" s="139" t="s">
        <v>18</v>
      </c>
      <c r="I312" s="140">
        <v>91</v>
      </c>
      <c r="J312" s="132">
        <v>58</v>
      </c>
      <c r="K312" s="132">
        <v>51</v>
      </c>
      <c r="L312" s="139" t="s">
        <v>52</v>
      </c>
      <c r="M312" s="132"/>
      <c r="N312" s="141"/>
      <c r="O312" s="141"/>
      <c r="P312" s="141"/>
      <c r="Q312" s="141"/>
      <c r="R312" s="141"/>
      <c r="S312" s="141"/>
      <c r="T312" s="141"/>
      <c r="U312" s="141"/>
      <c r="V312" s="141"/>
      <c r="W312" s="141"/>
      <c r="X312" s="141"/>
      <c r="Y312" s="141"/>
      <c r="Z312" s="141"/>
    </row>
    <row r="313" ht="12.75" customHeight="1" spans="1:26">
      <c r="A313" s="132"/>
      <c r="B313" s="140" t="s">
        <v>499</v>
      </c>
      <c r="C313" s="132" t="s">
        <v>637</v>
      </c>
      <c r="D313" s="139" t="s">
        <v>638</v>
      </c>
      <c r="E313" s="140">
        <v>41</v>
      </c>
      <c r="F313" s="132">
        <v>42</v>
      </c>
      <c r="G313" s="132">
        <v>30</v>
      </c>
      <c r="H313" s="139" t="s">
        <v>18</v>
      </c>
      <c r="I313" s="140">
        <v>86</v>
      </c>
      <c r="J313" s="132">
        <v>19</v>
      </c>
      <c r="K313" s="132">
        <v>2</v>
      </c>
      <c r="L313" s="139" t="s">
        <v>52</v>
      </c>
      <c r="M313" s="132"/>
      <c r="N313" s="141"/>
      <c r="O313" s="141"/>
      <c r="P313" s="141"/>
      <c r="Q313" s="141"/>
      <c r="R313" s="141"/>
      <c r="S313" s="141"/>
      <c r="T313" s="141"/>
      <c r="U313" s="141"/>
      <c r="V313" s="141"/>
      <c r="W313" s="141"/>
      <c r="X313" s="141"/>
      <c r="Y313" s="141"/>
      <c r="Z313" s="141"/>
    </row>
    <row r="314" ht="12.75" customHeight="1" spans="1:26">
      <c r="A314" s="132"/>
      <c r="B314" s="140" t="s">
        <v>499</v>
      </c>
      <c r="C314" s="132" t="s">
        <v>639</v>
      </c>
      <c r="D314" s="139" t="s">
        <v>640</v>
      </c>
      <c r="E314" s="140">
        <v>38</v>
      </c>
      <c r="F314" s="132">
        <v>44</v>
      </c>
      <c r="G314" s="132">
        <v>55</v>
      </c>
      <c r="H314" s="139" t="s">
        <v>18</v>
      </c>
      <c r="I314" s="140">
        <v>90</v>
      </c>
      <c r="J314" s="132">
        <v>22</v>
      </c>
      <c r="K314" s="132">
        <v>12</v>
      </c>
      <c r="L314" s="139" t="s">
        <v>52</v>
      </c>
      <c r="M314" s="132"/>
      <c r="N314" s="141"/>
      <c r="O314" s="141"/>
      <c r="P314" s="141"/>
      <c r="Q314" s="141"/>
      <c r="R314" s="141"/>
      <c r="S314" s="141"/>
      <c r="T314" s="141"/>
      <c r="U314" s="141"/>
      <c r="V314" s="141"/>
      <c r="W314" s="141"/>
      <c r="X314" s="141"/>
      <c r="Y314" s="141"/>
      <c r="Z314" s="141"/>
    </row>
    <row r="315" ht="12.75" customHeight="1" spans="1:26">
      <c r="A315" s="132"/>
      <c r="B315" s="140" t="s">
        <v>499</v>
      </c>
      <c r="C315" s="132" t="s">
        <v>641</v>
      </c>
      <c r="D315" s="139" t="s">
        <v>642</v>
      </c>
      <c r="E315" s="140">
        <v>42</v>
      </c>
      <c r="F315" s="132">
        <v>51</v>
      </c>
      <c r="G315" s="132">
        <v>9</v>
      </c>
      <c r="H315" s="139" t="s">
        <v>18</v>
      </c>
      <c r="I315" s="140">
        <v>73</v>
      </c>
      <c r="J315" s="132">
        <v>55</v>
      </c>
      <c r="K315" s="132">
        <v>44</v>
      </c>
      <c r="L315" s="139" t="s">
        <v>52</v>
      </c>
      <c r="M315" s="132"/>
      <c r="N315" s="141"/>
      <c r="O315" s="141"/>
      <c r="P315" s="141"/>
      <c r="Q315" s="141"/>
      <c r="R315" s="141"/>
      <c r="S315" s="141"/>
      <c r="T315" s="141"/>
      <c r="U315" s="141"/>
      <c r="V315" s="141"/>
      <c r="W315" s="141"/>
      <c r="X315" s="141"/>
      <c r="Y315" s="141"/>
      <c r="Z315" s="141"/>
    </row>
    <row r="316" ht="12.75" customHeight="1" spans="1:26">
      <c r="A316" s="132"/>
      <c r="B316" s="140" t="s">
        <v>499</v>
      </c>
      <c r="C316" s="132" t="s">
        <v>643</v>
      </c>
      <c r="D316" s="139" t="s">
        <v>446</v>
      </c>
      <c r="E316" s="140">
        <v>37</v>
      </c>
      <c r="F316" s="132">
        <v>21</v>
      </c>
      <c r="G316" s="132">
        <v>46</v>
      </c>
      <c r="H316" s="139" t="s">
        <v>18</v>
      </c>
      <c r="I316" s="140">
        <v>121</v>
      </c>
      <c r="J316" s="132">
        <v>55</v>
      </c>
      <c r="K316" s="132">
        <v>45</v>
      </c>
      <c r="L316" s="139" t="s">
        <v>52</v>
      </c>
      <c r="M316" s="132"/>
      <c r="N316" s="141"/>
      <c r="O316" s="141"/>
      <c r="P316" s="141"/>
      <c r="Q316" s="141"/>
      <c r="R316" s="141"/>
      <c r="S316" s="141"/>
      <c r="T316" s="141"/>
      <c r="U316" s="141"/>
      <c r="V316" s="141"/>
      <c r="W316" s="141"/>
      <c r="X316" s="141"/>
      <c r="Y316" s="141"/>
      <c r="Z316" s="141"/>
    </row>
    <row r="317" ht="12.75" customHeight="1" spans="1:26">
      <c r="A317" s="132"/>
      <c r="B317" s="140" t="s">
        <v>499</v>
      </c>
      <c r="C317" s="132" t="s">
        <v>644</v>
      </c>
      <c r="D317" s="139" t="s">
        <v>645</v>
      </c>
      <c r="E317" s="140">
        <v>33</v>
      </c>
      <c r="F317" s="132">
        <v>40</v>
      </c>
      <c r="G317" s="132">
        <v>32</v>
      </c>
      <c r="H317" s="139" t="s">
        <v>18</v>
      </c>
      <c r="I317" s="140">
        <v>117</v>
      </c>
      <c r="J317" s="132">
        <v>52</v>
      </c>
      <c r="K317" s="132">
        <v>6</v>
      </c>
      <c r="L317" s="139" t="s">
        <v>52</v>
      </c>
      <c r="M317" s="132"/>
      <c r="N317" s="141"/>
      <c r="O317" s="141"/>
      <c r="P317" s="141"/>
      <c r="Q317" s="141"/>
      <c r="R317" s="141"/>
      <c r="S317" s="141"/>
      <c r="T317" s="141"/>
      <c r="U317" s="141"/>
      <c r="V317" s="141"/>
      <c r="W317" s="141"/>
      <c r="X317" s="141"/>
      <c r="Y317" s="141"/>
      <c r="Z317" s="141"/>
    </row>
    <row r="318" ht="12.75" customHeight="1" spans="1:26">
      <c r="A318" s="132"/>
      <c r="B318" s="140" t="s">
        <v>499</v>
      </c>
      <c r="C318" s="132" t="s">
        <v>646</v>
      </c>
      <c r="D318" s="139" t="s">
        <v>647</v>
      </c>
      <c r="E318" s="140">
        <v>44</v>
      </c>
      <c r="F318" s="132">
        <v>52</v>
      </c>
      <c r="G318" s="132">
        <v>55</v>
      </c>
      <c r="H318" s="139" t="s">
        <v>18</v>
      </c>
      <c r="I318" s="140">
        <v>93</v>
      </c>
      <c r="J318" s="132">
        <v>13</v>
      </c>
      <c r="K318" s="132">
        <v>18</v>
      </c>
      <c r="L318" s="139" t="s">
        <v>52</v>
      </c>
      <c r="M318" s="132"/>
      <c r="N318" s="141"/>
      <c r="O318" s="141"/>
      <c r="P318" s="141"/>
      <c r="Q318" s="141"/>
      <c r="R318" s="141"/>
      <c r="S318" s="141"/>
      <c r="T318" s="141"/>
      <c r="U318" s="141"/>
      <c r="V318" s="141"/>
      <c r="W318" s="141"/>
      <c r="X318" s="141"/>
      <c r="Y318" s="141"/>
      <c r="Z318" s="141"/>
    </row>
    <row r="319" ht="12.75" customHeight="1" spans="1:26">
      <c r="A319" s="132"/>
      <c r="B319" s="140" t="s">
        <v>499</v>
      </c>
      <c r="C319" s="132" t="s">
        <v>648</v>
      </c>
      <c r="D319" s="139" t="s">
        <v>649</v>
      </c>
      <c r="E319" s="140">
        <v>35</v>
      </c>
      <c r="F319" s="132">
        <v>48</v>
      </c>
      <c r="G319" s="132">
        <v>39</v>
      </c>
      <c r="H319" s="139" t="s">
        <v>18</v>
      </c>
      <c r="I319" s="140">
        <v>83</v>
      </c>
      <c r="J319" s="132">
        <v>59</v>
      </c>
      <c r="K319" s="132">
        <v>39</v>
      </c>
      <c r="L319" s="139" t="s">
        <v>52</v>
      </c>
      <c r="M319" s="132"/>
      <c r="N319" s="141"/>
      <c r="O319" s="141"/>
      <c r="P319" s="141"/>
      <c r="Q319" s="141"/>
      <c r="R319" s="141"/>
      <c r="S319" s="141"/>
      <c r="T319" s="141"/>
      <c r="U319" s="141"/>
      <c r="V319" s="141"/>
      <c r="W319" s="141"/>
      <c r="X319" s="141"/>
      <c r="Y319" s="141"/>
      <c r="Z319" s="141"/>
    </row>
    <row r="320" ht="12.75" customHeight="1" spans="1:26">
      <c r="A320" s="132"/>
      <c r="B320" s="140" t="s">
        <v>499</v>
      </c>
      <c r="C320" s="132" t="s">
        <v>650</v>
      </c>
      <c r="D320" s="139" t="s">
        <v>543</v>
      </c>
      <c r="E320" s="140">
        <v>41</v>
      </c>
      <c r="F320" s="132">
        <v>4</v>
      </c>
      <c r="G320" s="132">
        <v>36</v>
      </c>
      <c r="H320" s="139" t="s">
        <v>18</v>
      </c>
      <c r="I320" s="140">
        <v>71</v>
      </c>
      <c r="J320" s="132">
        <v>55</v>
      </c>
      <c r="K320" s="132">
        <v>14</v>
      </c>
      <c r="L320" s="139" t="s">
        <v>52</v>
      </c>
      <c r="M320" s="132"/>
      <c r="N320" s="141"/>
      <c r="O320" s="141"/>
      <c r="P320" s="141"/>
      <c r="Q320" s="141"/>
      <c r="R320" s="141"/>
      <c r="S320" s="141"/>
      <c r="T320" s="141"/>
      <c r="U320" s="141"/>
      <c r="V320" s="141"/>
      <c r="W320" s="141"/>
      <c r="X320" s="141"/>
      <c r="Y320" s="141"/>
      <c r="Z320" s="141"/>
    </row>
    <row r="321" ht="12.75" customHeight="1" spans="1:26">
      <c r="A321" s="132"/>
      <c r="B321" s="140" t="s">
        <v>499</v>
      </c>
      <c r="C321" s="132" t="s">
        <v>651</v>
      </c>
      <c r="D321" s="139" t="s">
        <v>616</v>
      </c>
      <c r="E321" s="140">
        <v>41</v>
      </c>
      <c r="F321" s="132">
        <v>24</v>
      </c>
      <c r="G321" s="132">
        <v>34</v>
      </c>
      <c r="H321" s="139" t="s">
        <v>18</v>
      </c>
      <c r="I321" s="140">
        <v>81</v>
      </c>
      <c r="J321" s="132">
        <v>51</v>
      </c>
      <c r="K321" s="132">
        <v>18</v>
      </c>
      <c r="L321" s="139" t="s">
        <v>52</v>
      </c>
      <c r="M321" s="132"/>
      <c r="N321" s="141"/>
      <c r="O321" s="141"/>
      <c r="P321" s="141"/>
      <c r="Q321" s="141"/>
      <c r="R321" s="141"/>
      <c r="S321" s="141"/>
      <c r="T321" s="141"/>
      <c r="U321" s="141"/>
      <c r="V321" s="141"/>
      <c r="W321" s="141"/>
      <c r="X321" s="141"/>
      <c r="Y321" s="141"/>
      <c r="Z321" s="141"/>
    </row>
    <row r="322" ht="12.75" customHeight="1" spans="1:26">
      <c r="A322" s="132"/>
      <c r="B322" s="140" t="s">
        <v>499</v>
      </c>
      <c r="C322" s="132" t="s">
        <v>652</v>
      </c>
      <c r="D322" s="139" t="s">
        <v>653</v>
      </c>
      <c r="E322" s="140">
        <v>21</v>
      </c>
      <c r="F322" s="132">
        <v>19</v>
      </c>
      <c r="G322" s="132">
        <v>7</v>
      </c>
      <c r="H322" s="139" t="s">
        <v>18</v>
      </c>
      <c r="I322" s="140">
        <v>157</v>
      </c>
      <c r="J322" s="132">
        <v>55</v>
      </c>
      <c r="K322" s="132">
        <v>21</v>
      </c>
      <c r="L322" s="139" t="s">
        <v>52</v>
      </c>
      <c r="M322" s="132"/>
      <c r="N322" s="141"/>
      <c r="O322" s="141"/>
      <c r="P322" s="141"/>
      <c r="Q322" s="141"/>
      <c r="R322" s="141"/>
      <c r="S322" s="141"/>
      <c r="T322" s="141"/>
      <c r="U322" s="141"/>
      <c r="V322" s="141"/>
      <c r="W322" s="141"/>
      <c r="X322" s="141"/>
      <c r="Y322" s="141"/>
      <c r="Z322" s="141"/>
    </row>
    <row r="323" ht="12.75" customHeight="1" spans="1:26">
      <c r="A323" s="132"/>
      <c r="B323" s="140" t="s">
        <v>499</v>
      </c>
      <c r="C323" s="132" t="s">
        <v>654</v>
      </c>
      <c r="D323" s="139" t="s">
        <v>655</v>
      </c>
      <c r="E323" s="140">
        <v>42</v>
      </c>
      <c r="F323" s="132">
        <v>29</v>
      </c>
      <c r="G323" s="132">
        <v>29</v>
      </c>
      <c r="H323" s="139" t="s">
        <v>18</v>
      </c>
      <c r="I323" s="140">
        <v>76</v>
      </c>
      <c r="J323" s="132">
        <v>27</v>
      </c>
      <c r="K323" s="132">
        <v>31</v>
      </c>
      <c r="L323" s="139" t="s">
        <v>52</v>
      </c>
      <c r="M323" s="132"/>
      <c r="N323" s="141"/>
      <c r="O323" s="141"/>
      <c r="P323" s="141"/>
      <c r="Q323" s="141"/>
      <c r="R323" s="141"/>
      <c r="S323" s="141"/>
      <c r="T323" s="141"/>
      <c r="U323" s="141"/>
      <c r="V323" s="141"/>
      <c r="W323" s="141"/>
      <c r="X323" s="141"/>
      <c r="Y323" s="141"/>
      <c r="Z323" s="141"/>
    </row>
    <row r="324" ht="12.75" customHeight="1" spans="1:26">
      <c r="A324" s="132"/>
      <c r="B324" s="140" t="s">
        <v>499</v>
      </c>
      <c r="C324" s="132" t="s">
        <v>656</v>
      </c>
      <c r="D324" s="139" t="s">
        <v>601</v>
      </c>
      <c r="E324" s="140">
        <v>43</v>
      </c>
      <c r="F324" s="132">
        <v>38</v>
      </c>
      <c r="G324" s="132">
        <v>46</v>
      </c>
      <c r="H324" s="139" t="s">
        <v>18</v>
      </c>
      <c r="I324" s="140">
        <v>70</v>
      </c>
      <c r="J324" s="132">
        <v>18</v>
      </c>
      <c r="K324" s="132">
        <v>33</v>
      </c>
      <c r="L324" s="139" t="s">
        <v>52</v>
      </c>
      <c r="M324" s="132"/>
      <c r="N324" s="141"/>
      <c r="O324" s="141"/>
      <c r="P324" s="141"/>
      <c r="Q324" s="141"/>
      <c r="R324" s="141"/>
      <c r="S324" s="141"/>
      <c r="T324" s="141"/>
      <c r="U324" s="141"/>
      <c r="V324" s="141"/>
      <c r="W324" s="141"/>
      <c r="X324" s="141"/>
      <c r="Y324" s="141"/>
      <c r="Z324" s="141"/>
    </row>
    <row r="325" ht="12.75" customHeight="1" spans="1:26">
      <c r="A325" s="132"/>
      <c r="B325" s="140" t="s">
        <v>499</v>
      </c>
      <c r="C325" s="132" t="s">
        <v>657</v>
      </c>
      <c r="D325" s="139" t="s">
        <v>658</v>
      </c>
      <c r="E325" s="140">
        <v>36</v>
      </c>
      <c r="F325" s="132">
        <v>7</v>
      </c>
      <c r="G325" s="132">
        <v>28</v>
      </c>
      <c r="H325" s="139" t="s">
        <v>18</v>
      </c>
      <c r="I325" s="140">
        <v>86</v>
      </c>
      <c r="J325" s="132">
        <v>40</v>
      </c>
      <c r="K325" s="132">
        <v>42</v>
      </c>
      <c r="L325" s="139" t="s">
        <v>52</v>
      </c>
      <c r="M325" s="132"/>
      <c r="N325" s="141"/>
      <c r="O325" s="141"/>
      <c r="P325" s="141"/>
      <c r="Q325" s="141"/>
      <c r="R325" s="141"/>
      <c r="S325" s="141"/>
      <c r="T325" s="141"/>
      <c r="U325" s="141"/>
      <c r="V325" s="141"/>
      <c r="W325" s="141"/>
      <c r="X325" s="141"/>
      <c r="Y325" s="141"/>
      <c r="Z325" s="141"/>
    </row>
    <row r="326" ht="12.75" customHeight="1" spans="1:26">
      <c r="A326" s="132"/>
      <c r="B326" s="140" t="s">
        <v>499</v>
      </c>
      <c r="C326" s="132" t="s">
        <v>659</v>
      </c>
      <c r="D326" s="139" t="s">
        <v>660</v>
      </c>
      <c r="E326" s="140">
        <v>45</v>
      </c>
      <c r="F326" s="132">
        <v>19</v>
      </c>
      <c r="G326" s="132">
        <v>55</v>
      </c>
      <c r="H326" s="139" t="s">
        <v>18</v>
      </c>
      <c r="I326" s="140">
        <v>95</v>
      </c>
      <c r="J326" s="132">
        <v>39</v>
      </c>
      <c r="K326" s="132">
        <v>2</v>
      </c>
      <c r="L326" s="139" t="s">
        <v>52</v>
      </c>
      <c r="M326" s="132"/>
      <c r="N326" s="141"/>
      <c r="O326" s="141"/>
      <c r="P326" s="141"/>
      <c r="Q326" s="141"/>
      <c r="R326" s="141"/>
      <c r="S326" s="141"/>
      <c r="T326" s="141"/>
      <c r="U326" s="141"/>
      <c r="V326" s="141"/>
      <c r="W326" s="141"/>
      <c r="X326" s="141"/>
      <c r="Y326" s="141"/>
      <c r="Z326" s="141"/>
    </row>
    <row r="327" ht="12.75" customHeight="1" spans="1:26">
      <c r="A327" s="132"/>
      <c r="B327" s="140" t="s">
        <v>499</v>
      </c>
      <c r="C327" s="132" t="s">
        <v>661</v>
      </c>
      <c r="D327" s="139" t="s">
        <v>662</v>
      </c>
      <c r="E327" s="140">
        <v>24</v>
      </c>
      <c r="F327" s="132">
        <v>33</v>
      </c>
      <c r="G327" s="132">
        <v>22</v>
      </c>
      <c r="H327" s="139" t="s">
        <v>18</v>
      </c>
      <c r="I327" s="140">
        <v>81</v>
      </c>
      <c r="J327" s="132">
        <v>45</v>
      </c>
      <c r="K327" s="132">
        <v>34</v>
      </c>
      <c r="L327" s="139" t="s">
        <v>52</v>
      </c>
      <c r="M327" s="132"/>
      <c r="N327" s="141"/>
      <c r="O327" s="141"/>
      <c r="P327" s="141"/>
      <c r="Q327" s="141"/>
      <c r="R327" s="141"/>
      <c r="S327" s="141"/>
      <c r="T327" s="141"/>
      <c r="U327" s="141"/>
      <c r="V327" s="141"/>
      <c r="W327" s="141"/>
      <c r="X327" s="141"/>
      <c r="Y327" s="141"/>
      <c r="Z327" s="141"/>
    </row>
    <row r="328" ht="12.75" customHeight="1" spans="1:26">
      <c r="A328" s="132"/>
      <c r="B328" s="140" t="s">
        <v>499</v>
      </c>
      <c r="C328" s="132" t="s">
        <v>663</v>
      </c>
      <c r="D328" s="139" t="s">
        <v>664</v>
      </c>
      <c r="E328" s="140">
        <v>35</v>
      </c>
      <c r="F328" s="132">
        <v>23</v>
      </c>
      <c r="G328" s="132">
        <v>35</v>
      </c>
      <c r="H328" s="139" t="s">
        <v>18</v>
      </c>
      <c r="I328" s="140">
        <v>97</v>
      </c>
      <c r="J328" s="132">
        <v>36</v>
      </c>
      <c r="K328" s="132">
        <v>3</v>
      </c>
      <c r="L328" s="139" t="s">
        <v>52</v>
      </c>
      <c r="M328" s="132"/>
      <c r="N328" s="141"/>
      <c r="O328" s="141"/>
      <c r="P328" s="141"/>
      <c r="Q328" s="141"/>
      <c r="R328" s="141"/>
      <c r="S328" s="141"/>
      <c r="T328" s="141"/>
      <c r="U328" s="141"/>
      <c r="V328" s="141"/>
      <c r="W328" s="141"/>
      <c r="X328" s="141"/>
      <c r="Y328" s="141"/>
      <c r="Z328" s="141"/>
    </row>
    <row r="329" ht="12.75" customHeight="1" spans="1:26">
      <c r="A329" s="132"/>
      <c r="B329" s="140" t="s">
        <v>499</v>
      </c>
      <c r="C329" s="132" t="s">
        <v>665</v>
      </c>
      <c r="D329" s="139" t="s">
        <v>666</v>
      </c>
      <c r="E329" s="140">
        <v>38</v>
      </c>
      <c r="F329" s="132">
        <v>2</v>
      </c>
      <c r="G329" s="132">
        <v>12</v>
      </c>
      <c r="H329" s="139" t="s">
        <v>18</v>
      </c>
      <c r="I329" s="140">
        <v>84</v>
      </c>
      <c r="J329" s="132">
        <v>36</v>
      </c>
      <c r="K329" s="132">
        <v>31</v>
      </c>
      <c r="L329" s="139" t="s">
        <v>52</v>
      </c>
      <c r="M329" s="132"/>
      <c r="N329" s="141"/>
      <c r="O329" s="141"/>
      <c r="P329" s="141"/>
      <c r="Q329" s="141"/>
      <c r="R329" s="141"/>
      <c r="S329" s="141"/>
      <c r="T329" s="141"/>
      <c r="U329" s="141"/>
      <c r="V329" s="141"/>
      <c r="W329" s="141"/>
      <c r="X329" s="141"/>
      <c r="Y329" s="141"/>
      <c r="Z329" s="141"/>
    </row>
    <row r="330" ht="12.75" customHeight="1" spans="1:26">
      <c r="A330" s="132"/>
      <c r="B330" s="140" t="s">
        <v>499</v>
      </c>
      <c r="C330" s="132" t="s">
        <v>667</v>
      </c>
      <c r="D330" s="139" t="s">
        <v>668</v>
      </c>
      <c r="E330" s="140">
        <v>37</v>
      </c>
      <c r="F330" s="132">
        <v>39</v>
      </c>
      <c r="G330" s="132">
        <v>0</v>
      </c>
      <c r="H330" s="139" t="s">
        <v>18</v>
      </c>
      <c r="I330" s="140">
        <v>97</v>
      </c>
      <c r="J330" s="132">
        <v>25</v>
      </c>
      <c r="K330" s="132">
        <v>59</v>
      </c>
      <c r="L330" s="139" t="s">
        <v>52</v>
      </c>
      <c r="M330" s="132"/>
      <c r="N330" s="141"/>
      <c r="O330" s="141"/>
      <c r="P330" s="141"/>
      <c r="Q330" s="141"/>
      <c r="R330" s="141"/>
      <c r="S330" s="141"/>
      <c r="T330" s="141"/>
      <c r="U330" s="141"/>
      <c r="V330" s="141"/>
      <c r="W330" s="141"/>
      <c r="X330" s="141"/>
      <c r="Y330" s="141"/>
      <c r="Z330" s="141"/>
    </row>
    <row r="331" ht="12.75" customHeight="1" spans="1:26">
      <c r="A331" s="132"/>
      <c r="B331" s="142" t="s">
        <v>499</v>
      </c>
      <c r="C331" s="143" t="s">
        <v>669</v>
      </c>
      <c r="D331" s="144" t="s">
        <v>670</v>
      </c>
      <c r="E331" s="142">
        <v>43</v>
      </c>
      <c r="F331" s="143">
        <v>21</v>
      </c>
      <c r="G331" s="143">
        <v>23</v>
      </c>
      <c r="H331" s="144" t="s">
        <v>18</v>
      </c>
      <c r="I331" s="142">
        <v>1</v>
      </c>
      <c r="J331" s="143">
        <v>47</v>
      </c>
      <c r="K331" s="143">
        <v>26</v>
      </c>
      <c r="L331" s="144" t="s">
        <v>52</v>
      </c>
      <c r="M331" s="132"/>
      <c r="N331" s="141"/>
      <c r="O331" s="141"/>
      <c r="P331" s="141"/>
      <c r="Q331" s="141"/>
      <c r="R331" s="141"/>
      <c r="S331" s="141"/>
      <c r="T331" s="141"/>
      <c r="U331" s="141"/>
      <c r="V331" s="141"/>
      <c r="W331" s="141"/>
      <c r="X331" s="141"/>
      <c r="Y331" s="141"/>
      <c r="Z331" s="141"/>
    </row>
    <row r="332" ht="12.75" customHeight="1" spans="1:26">
      <c r="A332" s="132"/>
      <c r="B332" s="140" t="s">
        <v>671</v>
      </c>
      <c r="C332" s="132" t="s">
        <v>672</v>
      </c>
      <c r="D332" s="139" t="s">
        <v>673</v>
      </c>
      <c r="E332" s="140">
        <v>59</v>
      </c>
      <c r="F332" s="132">
        <v>24</v>
      </c>
      <c r="G332" s="132">
        <v>48</v>
      </c>
      <c r="H332" s="139" t="s">
        <v>18</v>
      </c>
      <c r="I332" s="140">
        <v>24</v>
      </c>
      <c r="J332" s="132">
        <v>49</v>
      </c>
      <c r="K332" s="132">
        <v>57</v>
      </c>
      <c r="L332" s="139" t="s">
        <v>12</v>
      </c>
      <c r="M332" s="132"/>
      <c r="N332" s="141"/>
      <c r="O332" s="141"/>
      <c r="P332" s="141"/>
      <c r="Q332" s="141"/>
      <c r="R332" s="141"/>
      <c r="S332" s="141"/>
      <c r="T332" s="141"/>
      <c r="U332" s="141"/>
      <c r="V332" s="141"/>
      <c r="W332" s="141"/>
      <c r="X332" s="141"/>
      <c r="Y332" s="141"/>
      <c r="Z332" s="141"/>
    </row>
    <row r="333" ht="12.75" customHeight="1" spans="1:26">
      <c r="A333" s="132"/>
      <c r="B333" s="140" t="s">
        <v>674</v>
      </c>
      <c r="C333" s="132" t="s">
        <v>675</v>
      </c>
      <c r="D333" s="139" t="s">
        <v>676</v>
      </c>
      <c r="E333" s="140">
        <v>8</v>
      </c>
      <c r="F333" s="132">
        <v>58</v>
      </c>
      <c r="G333" s="132">
        <v>40</v>
      </c>
      <c r="H333" s="139" t="s">
        <v>18</v>
      </c>
      <c r="I333" s="140">
        <v>38</v>
      </c>
      <c r="J333" s="132">
        <v>47</v>
      </c>
      <c r="K333" s="132">
        <v>57</v>
      </c>
      <c r="L333" s="139" t="s">
        <v>12</v>
      </c>
      <c r="M333" s="132"/>
      <c r="N333" s="141"/>
      <c r="O333" s="141"/>
      <c r="P333" s="141"/>
      <c r="Q333" s="141"/>
      <c r="R333" s="141"/>
      <c r="S333" s="141"/>
      <c r="T333" s="141"/>
      <c r="U333" s="141"/>
      <c r="V333" s="141"/>
      <c r="W333" s="141"/>
      <c r="X333" s="141"/>
      <c r="Y333" s="141"/>
      <c r="Z333" s="141"/>
    </row>
    <row r="334" ht="12.75" customHeight="1" spans="1:26">
      <c r="A334" s="132"/>
      <c r="B334" s="140" t="s">
        <v>677</v>
      </c>
      <c r="C334" s="132" t="s">
        <v>678</v>
      </c>
      <c r="D334" s="139" t="s">
        <v>679</v>
      </c>
      <c r="E334" s="140">
        <v>12</v>
      </c>
      <c r="F334" s="132">
        <v>31</v>
      </c>
      <c r="G334" s="132">
        <v>0</v>
      </c>
      <c r="H334" s="139" t="s">
        <v>18</v>
      </c>
      <c r="I334" s="140">
        <v>124</v>
      </c>
      <c r="J334" s="132">
        <v>38</v>
      </c>
      <c r="K334" s="132">
        <v>0</v>
      </c>
      <c r="L334" s="139" t="s">
        <v>12</v>
      </c>
      <c r="M334" s="132"/>
      <c r="N334" s="141"/>
      <c r="O334" s="141"/>
      <c r="P334" s="141"/>
      <c r="Q334" s="141"/>
      <c r="R334" s="141"/>
      <c r="S334" s="141"/>
      <c r="T334" s="141"/>
      <c r="U334" s="141"/>
      <c r="V334" s="141"/>
      <c r="W334" s="141"/>
      <c r="X334" s="141"/>
      <c r="Y334" s="141"/>
      <c r="Z334" s="141"/>
    </row>
    <row r="335" ht="12.75" customHeight="1" spans="1:26">
      <c r="A335" s="132"/>
      <c r="B335" s="140" t="s">
        <v>677</v>
      </c>
      <c r="C335" s="132" t="s">
        <v>680</v>
      </c>
      <c r="D335" s="139" t="s">
        <v>681</v>
      </c>
      <c r="E335" s="140">
        <v>14</v>
      </c>
      <c r="F335" s="132">
        <v>30</v>
      </c>
      <c r="G335" s="132">
        <v>31</v>
      </c>
      <c r="H335" s="139" t="s">
        <v>18</v>
      </c>
      <c r="I335" s="140">
        <v>121</v>
      </c>
      <c r="J335" s="132">
        <v>1</v>
      </c>
      <c r="K335" s="132">
        <v>10</v>
      </c>
      <c r="L335" s="139" t="s">
        <v>12</v>
      </c>
      <c r="M335" s="132"/>
      <c r="N335" s="141"/>
      <c r="O335" s="141"/>
      <c r="P335" s="141"/>
      <c r="Q335" s="141"/>
      <c r="R335" s="141"/>
      <c r="S335" s="141"/>
      <c r="T335" s="141"/>
      <c r="U335" s="141"/>
      <c r="V335" s="141"/>
      <c r="W335" s="141"/>
      <c r="X335" s="141"/>
      <c r="Y335" s="141"/>
      <c r="Z335" s="141"/>
    </row>
    <row r="336" ht="12.75" customHeight="1" spans="1:26">
      <c r="A336" s="132"/>
      <c r="B336" s="140" t="s">
        <v>682</v>
      </c>
      <c r="C336" s="132" t="s">
        <v>683</v>
      </c>
      <c r="D336" s="139" t="s">
        <v>684</v>
      </c>
      <c r="E336" s="140">
        <v>60</v>
      </c>
      <c r="F336" s="132">
        <v>19</v>
      </c>
      <c r="G336" s="132">
        <v>2</v>
      </c>
      <c r="H336" s="139" t="s">
        <v>18</v>
      </c>
      <c r="I336" s="140">
        <v>24</v>
      </c>
      <c r="J336" s="132">
        <v>57</v>
      </c>
      <c r="K336" s="132">
        <v>48</v>
      </c>
      <c r="L336" s="139" t="s">
        <v>12</v>
      </c>
      <c r="M336" s="132"/>
      <c r="N336" s="141"/>
      <c r="O336" s="141"/>
      <c r="P336" s="141"/>
      <c r="Q336" s="141"/>
      <c r="R336" s="141"/>
      <c r="S336" s="141"/>
      <c r="T336" s="141"/>
      <c r="U336" s="141"/>
      <c r="V336" s="141"/>
      <c r="W336" s="141"/>
      <c r="X336" s="141"/>
      <c r="Y336" s="141"/>
      <c r="Z336" s="141"/>
    </row>
    <row r="337" ht="12.75" customHeight="1" spans="1:26">
      <c r="A337" s="132"/>
      <c r="B337" s="140" t="s">
        <v>685</v>
      </c>
      <c r="C337" s="132" t="s">
        <v>686</v>
      </c>
      <c r="D337" s="139" t="s">
        <v>687</v>
      </c>
      <c r="E337" s="140">
        <v>45</v>
      </c>
      <c r="F337" s="132">
        <v>43</v>
      </c>
      <c r="G337" s="132">
        <v>32</v>
      </c>
      <c r="H337" s="139" t="s">
        <v>18</v>
      </c>
      <c r="I337" s="140">
        <v>5</v>
      </c>
      <c r="J337" s="132">
        <v>4</v>
      </c>
      <c r="K337" s="132">
        <v>52</v>
      </c>
      <c r="L337" s="139" t="s">
        <v>12</v>
      </c>
      <c r="M337" s="132"/>
      <c r="N337" s="141"/>
      <c r="O337" s="141"/>
      <c r="P337" s="141"/>
      <c r="Q337" s="141"/>
      <c r="R337" s="141"/>
      <c r="S337" s="141"/>
      <c r="T337" s="141"/>
      <c r="U337" s="141"/>
      <c r="V337" s="141"/>
      <c r="W337" s="141"/>
      <c r="X337" s="141"/>
      <c r="Y337" s="141"/>
      <c r="Z337" s="141"/>
    </row>
    <row r="338" ht="12.75" customHeight="1" spans="1:26">
      <c r="A338" s="132"/>
      <c r="B338" s="140" t="s">
        <v>685</v>
      </c>
      <c r="C338" s="132" t="s">
        <v>688</v>
      </c>
      <c r="D338" s="139" t="s">
        <v>689</v>
      </c>
      <c r="E338" s="140">
        <v>43</v>
      </c>
      <c r="F338" s="132">
        <v>26</v>
      </c>
      <c r="G338" s="132">
        <v>12</v>
      </c>
      <c r="H338" s="139" t="s">
        <v>18</v>
      </c>
      <c r="I338" s="140">
        <v>5</v>
      </c>
      <c r="J338" s="132">
        <v>12</v>
      </c>
      <c r="K338" s="132">
        <v>54</v>
      </c>
      <c r="L338" s="139" t="s">
        <v>12</v>
      </c>
      <c r="M338" s="132"/>
      <c r="N338" s="141"/>
      <c r="O338" s="141"/>
      <c r="P338" s="141"/>
      <c r="Q338" s="141"/>
      <c r="R338" s="141"/>
      <c r="S338" s="141"/>
      <c r="T338" s="141"/>
      <c r="U338" s="141"/>
      <c r="V338" s="141"/>
      <c r="W338" s="141"/>
      <c r="X338" s="141"/>
      <c r="Y338" s="141"/>
      <c r="Z338" s="141"/>
    </row>
    <row r="339" ht="12.75" customHeight="1" spans="1:26">
      <c r="A339" s="132"/>
      <c r="B339" s="140" t="s">
        <v>685</v>
      </c>
      <c r="C339" s="132" t="s">
        <v>690</v>
      </c>
      <c r="D339" s="139" t="s">
        <v>691</v>
      </c>
      <c r="E339" s="140">
        <v>49</v>
      </c>
      <c r="F339" s="132">
        <v>0</v>
      </c>
      <c r="G339" s="132">
        <v>35</v>
      </c>
      <c r="H339" s="139" t="s">
        <v>18</v>
      </c>
      <c r="I339" s="140">
        <v>2</v>
      </c>
      <c r="J339" s="132">
        <v>32</v>
      </c>
      <c r="K339" s="132">
        <v>52</v>
      </c>
      <c r="L339" s="139" t="s">
        <v>12</v>
      </c>
      <c r="M339" s="132"/>
      <c r="N339" s="141"/>
      <c r="O339" s="141"/>
      <c r="P339" s="141"/>
      <c r="Q339" s="141"/>
      <c r="R339" s="141"/>
      <c r="S339" s="141"/>
      <c r="T339" s="141"/>
      <c r="U339" s="141"/>
      <c r="V339" s="141"/>
      <c r="W339" s="141"/>
      <c r="X339" s="141"/>
      <c r="Y339" s="141"/>
      <c r="Z339" s="141"/>
    </row>
    <row r="340" ht="12.75" customHeight="1" spans="1:26">
      <c r="A340" s="132"/>
      <c r="B340" s="140" t="s">
        <v>685</v>
      </c>
      <c r="C340" s="132" t="s">
        <v>692</v>
      </c>
      <c r="D340" s="139" t="s">
        <v>693</v>
      </c>
      <c r="E340" s="140">
        <v>48</v>
      </c>
      <c r="F340" s="132">
        <v>35</v>
      </c>
      <c r="G340" s="132">
        <v>0</v>
      </c>
      <c r="H340" s="139" t="s">
        <v>18</v>
      </c>
      <c r="I340" s="140">
        <v>7</v>
      </c>
      <c r="J340" s="132">
        <v>38</v>
      </c>
      <c r="K340" s="132">
        <v>0</v>
      </c>
      <c r="L340" s="139" t="s">
        <v>12</v>
      </c>
      <c r="M340" s="132"/>
      <c r="N340" s="141"/>
      <c r="O340" s="141"/>
      <c r="P340" s="141"/>
      <c r="Q340" s="141"/>
      <c r="R340" s="141"/>
      <c r="S340" s="141"/>
      <c r="T340" s="141"/>
      <c r="U340" s="141"/>
      <c r="V340" s="141"/>
      <c r="W340" s="141"/>
      <c r="X340" s="141"/>
      <c r="Y340" s="141"/>
      <c r="Z340" s="141"/>
    </row>
    <row r="341" ht="12.75" customHeight="1" spans="1:26">
      <c r="A341" s="132"/>
      <c r="B341" s="140" t="s">
        <v>685</v>
      </c>
      <c r="C341" s="132" t="s">
        <v>694</v>
      </c>
      <c r="D341" s="139" t="s">
        <v>695</v>
      </c>
      <c r="E341" s="140">
        <v>48</v>
      </c>
      <c r="F341" s="132">
        <v>43</v>
      </c>
      <c r="G341" s="132">
        <v>31</v>
      </c>
      <c r="H341" s="139" t="s">
        <v>18</v>
      </c>
      <c r="I341" s="140">
        <v>2</v>
      </c>
      <c r="J341" s="132">
        <v>21</v>
      </c>
      <c r="K341" s="132">
        <v>34</v>
      </c>
      <c r="L341" s="139" t="s">
        <v>12</v>
      </c>
      <c r="M341" s="132"/>
      <c r="N341" s="141"/>
      <c r="O341" s="141"/>
      <c r="P341" s="141"/>
      <c r="Q341" s="141"/>
      <c r="R341" s="141"/>
      <c r="S341" s="141"/>
      <c r="T341" s="141"/>
      <c r="U341" s="141"/>
      <c r="V341" s="141"/>
      <c r="W341" s="141"/>
      <c r="X341" s="141"/>
      <c r="Y341" s="141"/>
      <c r="Z341" s="141"/>
    </row>
    <row r="342" ht="12.75" customHeight="1" spans="1:26">
      <c r="A342" s="132"/>
      <c r="B342" s="140" t="s">
        <v>685</v>
      </c>
      <c r="C342" s="132" t="s">
        <v>696</v>
      </c>
      <c r="D342" s="139" t="s">
        <v>697</v>
      </c>
      <c r="E342" s="140">
        <v>43</v>
      </c>
      <c r="F342" s="132">
        <v>37</v>
      </c>
      <c r="G342" s="132">
        <v>45</v>
      </c>
      <c r="H342" s="139" t="s">
        <v>18</v>
      </c>
      <c r="I342" s="140">
        <v>1</v>
      </c>
      <c r="J342" s="132">
        <v>21</v>
      </c>
      <c r="K342" s="132">
        <v>50</v>
      </c>
      <c r="L342" s="139" t="s">
        <v>12</v>
      </c>
      <c r="M342" s="132"/>
      <c r="N342" s="141"/>
      <c r="O342" s="141"/>
      <c r="P342" s="141"/>
      <c r="Q342" s="141"/>
      <c r="R342" s="141"/>
      <c r="S342" s="141"/>
      <c r="T342" s="141"/>
      <c r="U342" s="141"/>
      <c r="V342" s="141"/>
      <c r="W342" s="141"/>
      <c r="X342" s="141"/>
      <c r="Y342" s="141"/>
      <c r="Z342" s="141"/>
    </row>
    <row r="343" ht="12.75" customHeight="1" spans="1:26">
      <c r="A343" s="132"/>
      <c r="B343" s="140" t="s">
        <v>685</v>
      </c>
      <c r="C343" s="132" t="s">
        <v>698</v>
      </c>
      <c r="D343" s="139" t="s">
        <v>699</v>
      </c>
      <c r="E343" s="140">
        <v>50</v>
      </c>
      <c r="F343" s="132">
        <v>33</v>
      </c>
      <c r="G343" s="132">
        <v>43</v>
      </c>
      <c r="H343" s="139" t="s">
        <v>18</v>
      </c>
      <c r="I343" s="140">
        <v>3</v>
      </c>
      <c r="J343" s="132">
        <v>5</v>
      </c>
      <c r="K343" s="132">
        <v>22</v>
      </c>
      <c r="L343" s="139" t="s">
        <v>12</v>
      </c>
      <c r="M343" s="132"/>
      <c r="N343" s="141"/>
      <c r="O343" s="141"/>
      <c r="P343" s="141"/>
      <c r="Q343" s="141"/>
      <c r="R343" s="141"/>
      <c r="S343" s="141"/>
      <c r="T343" s="141"/>
      <c r="U343" s="141"/>
      <c r="V343" s="141"/>
      <c r="W343" s="141"/>
      <c r="X343" s="141"/>
      <c r="Y343" s="141"/>
      <c r="Z343" s="141"/>
    </row>
    <row r="344" ht="12.75" customHeight="1" spans="1:26">
      <c r="A344" s="132"/>
      <c r="B344" s="140" t="s">
        <v>685</v>
      </c>
      <c r="C344" s="132" t="s">
        <v>700</v>
      </c>
      <c r="D344" s="139" t="s">
        <v>701</v>
      </c>
      <c r="E344" s="140">
        <v>45</v>
      </c>
      <c r="F344" s="132">
        <v>47</v>
      </c>
      <c r="G344" s="132">
        <v>12</v>
      </c>
      <c r="H344" s="139" t="s">
        <v>18</v>
      </c>
      <c r="I344" s="140">
        <v>3</v>
      </c>
      <c r="J344" s="132">
        <v>10</v>
      </c>
      <c r="K344" s="132">
        <v>9</v>
      </c>
      <c r="L344" s="139" t="s">
        <v>12</v>
      </c>
      <c r="M344" s="132"/>
      <c r="N344" s="141"/>
      <c r="O344" s="141"/>
      <c r="P344" s="141"/>
      <c r="Q344" s="141"/>
      <c r="R344" s="141"/>
      <c r="S344" s="141"/>
      <c r="T344" s="141"/>
      <c r="U344" s="141"/>
      <c r="V344" s="141"/>
      <c r="W344" s="141"/>
      <c r="X344" s="141"/>
      <c r="Y344" s="141"/>
      <c r="Z344" s="141"/>
    </row>
    <row r="345" ht="12.75" customHeight="1" spans="1:26">
      <c r="A345" s="132"/>
      <c r="B345" s="140" t="s">
        <v>685</v>
      </c>
      <c r="C345" s="132" t="s">
        <v>702</v>
      </c>
      <c r="D345" s="139" t="s">
        <v>703</v>
      </c>
      <c r="E345" s="140">
        <v>44</v>
      </c>
      <c r="F345" s="132">
        <v>49</v>
      </c>
      <c r="G345" s="132">
        <v>43</v>
      </c>
      <c r="H345" s="139" t="s">
        <v>18</v>
      </c>
      <c r="I345" s="140">
        <v>0</v>
      </c>
      <c r="J345" s="132">
        <v>42</v>
      </c>
      <c r="K345" s="132">
        <v>55</v>
      </c>
      <c r="L345" s="139" t="s">
        <v>52</v>
      </c>
      <c r="M345" s="132"/>
      <c r="N345" s="141"/>
      <c r="O345" s="141"/>
      <c r="P345" s="141"/>
      <c r="Q345" s="141"/>
      <c r="R345" s="141"/>
      <c r="S345" s="141"/>
      <c r="T345" s="141"/>
      <c r="U345" s="141"/>
      <c r="V345" s="141"/>
      <c r="W345" s="141"/>
      <c r="X345" s="141"/>
      <c r="Y345" s="141"/>
      <c r="Z345" s="141"/>
    </row>
    <row r="346" ht="12.75" customHeight="1" spans="1:26">
      <c r="A346" s="132"/>
      <c r="B346" s="140" t="s">
        <v>685</v>
      </c>
      <c r="C346" s="132" t="s">
        <v>704</v>
      </c>
      <c r="D346" s="139" t="s">
        <v>705</v>
      </c>
      <c r="E346" s="140">
        <v>48</v>
      </c>
      <c r="F346" s="132">
        <v>4</v>
      </c>
      <c r="G346" s="132">
        <v>19</v>
      </c>
      <c r="H346" s="139" t="s">
        <v>18</v>
      </c>
      <c r="I346" s="140">
        <v>1</v>
      </c>
      <c r="J346" s="132">
        <v>43</v>
      </c>
      <c r="K346" s="132">
        <v>56</v>
      </c>
      <c r="L346" s="139" t="s">
        <v>52</v>
      </c>
      <c r="M346" s="132"/>
      <c r="N346" s="141"/>
      <c r="O346" s="141"/>
      <c r="P346" s="141"/>
      <c r="Q346" s="141"/>
      <c r="R346" s="141"/>
      <c r="S346" s="141"/>
      <c r="T346" s="141"/>
      <c r="U346" s="141"/>
      <c r="V346" s="141"/>
      <c r="W346" s="141"/>
      <c r="X346" s="141"/>
      <c r="Y346" s="141"/>
      <c r="Z346" s="141"/>
    </row>
    <row r="347" ht="12.75" customHeight="1" spans="1:26">
      <c r="A347" s="132"/>
      <c r="B347" s="140" t="s">
        <v>685</v>
      </c>
      <c r="C347" s="132" t="s">
        <v>706</v>
      </c>
      <c r="D347" s="139" t="s">
        <v>707</v>
      </c>
      <c r="E347" s="140">
        <v>43</v>
      </c>
      <c r="F347" s="132">
        <v>39</v>
      </c>
      <c r="G347" s="132">
        <v>55</v>
      </c>
      <c r="H347" s="139" t="s">
        <v>18</v>
      </c>
      <c r="I347" s="140">
        <v>7</v>
      </c>
      <c r="J347" s="132">
        <v>12</v>
      </c>
      <c r="K347" s="132">
        <v>54</v>
      </c>
      <c r="L347" s="139" t="s">
        <v>12</v>
      </c>
      <c r="M347" s="132"/>
      <c r="N347" s="141"/>
      <c r="O347" s="141"/>
      <c r="P347" s="141"/>
      <c r="Q347" s="141"/>
      <c r="R347" s="141"/>
      <c r="S347" s="141"/>
      <c r="T347" s="141"/>
      <c r="U347" s="141"/>
      <c r="V347" s="141"/>
      <c r="W347" s="141"/>
      <c r="X347" s="141"/>
      <c r="Y347" s="141"/>
      <c r="Z347" s="141"/>
    </row>
    <row r="348" ht="12.75" customHeight="1" spans="1:26">
      <c r="A348" s="132"/>
      <c r="B348" s="140" t="s">
        <v>708</v>
      </c>
      <c r="C348" s="132" t="s">
        <v>709</v>
      </c>
      <c r="D348" s="139" t="s">
        <v>710</v>
      </c>
      <c r="E348" s="140">
        <v>12</v>
      </c>
      <c r="F348" s="132">
        <v>28</v>
      </c>
      <c r="G348" s="132">
        <v>37</v>
      </c>
      <c r="H348" s="139" t="s">
        <v>18</v>
      </c>
      <c r="I348" s="140">
        <v>61</v>
      </c>
      <c r="J348" s="132">
        <v>28</v>
      </c>
      <c r="K348" s="132">
        <v>20</v>
      </c>
      <c r="L348" s="139" t="s">
        <v>52</v>
      </c>
      <c r="M348" s="132"/>
      <c r="N348" s="141"/>
      <c r="O348" s="141"/>
      <c r="P348" s="141"/>
      <c r="Q348" s="141"/>
      <c r="R348" s="141"/>
      <c r="S348" s="141"/>
      <c r="T348" s="141"/>
      <c r="U348" s="141"/>
      <c r="V348" s="141"/>
      <c r="W348" s="141"/>
      <c r="X348" s="141"/>
      <c r="Y348" s="141"/>
      <c r="Z348" s="141"/>
    </row>
    <row r="349" ht="12.75" customHeight="1" spans="1:26">
      <c r="A349" s="132"/>
      <c r="B349" s="140" t="s">
        <v>711</v>
      </c>
      <c r="C349" s="132" t="s">
        <v>712</v>
      </c>
      <c r="D349" s="132" t="s">
        <v>713</v>
      </c>
      <c r="E349" s="140">
        <v>37</v>
      </c>
      <c r="F349" s="132">
        <v>56</v>
      </c>
      <c r="G349" s="132">
        <v>11</v>
      </c>
      <c r="H349" s="132" t="s">
        <v>18</v>
      </c>
      <c r="I349" s="140">
        <v>23</v>
      </c>
      <c r="J349" s="132">
        <v>56</v>
      </c>
      <c r="K349" s="132">
        <v>40</v>
      </c>
      <c r="L349" s="139" t="s">
        <v>12</v>
      </c>
      <c r="M349" s="132"/>
      <c r="N349" s="141"/>
      <c r="O349" s="141"/>
      <c r="P349" s="141"/>
      <c r="Q349" s="141"/>
      <c r="R349" s="141"/>
      <c r="S349" s="141"/>
      <c r="T349" s="141"/>
      <c r="U349" s="141"/>
      <c r="V349" s="141"/>
      <c r="W349" s="141"/>
      <c r="X349" s="141"/>
      <c r="Y349" s="141"/>
      <c r="Z349" s="141"/>
    </row>
    <row r="350" ht="12.75" customHeight="1" spans="1:26">
      <c r="A350" s="132"/>
      <c r="B350" s="140" t="s">
        <v>711</v>
      </c>
      <c r="C350" s="132" t="s">
        <v>714</v>
      </c>
      <c r="D350" s="132" t="s">
        <v>715</v>
      </c>
      <c r="E350" s="140">
        <v>35</v>
      </c>
      <c r="F350" s="132">
        <v>31</v>
      </c>
      <c r="G350" s="132">
        <v>54</v>
      </c>
      <c r="H350" s="132" t="s">
        <v>18</v>
      </c>
      <c r="I350" s="140">
        <v>28</v>
      </c>
      <c r="J350" s="132">
        <v>8</v>
      </c>
      <c r="K350" s="132">
        <v>59</v>
      </c>
      <c r="L350" s="139" t="s">
        <v>12</v>
      </c>
      <c r="M350" s="132"/>
      <c r="N350" s="141"/>
      <c r="O350" s="141"/>
      <c r="P350" s="141"/>
      <c r="Q350" s="141"/>
      <c r="R350" s="141"/>
      <c r="S350" s="141"/>
      <c r="T350" s="141"/>
      <c r="U350" s="141"/>
      <c r="V350" s="141"/>
      <c r="W350" s="141"/>
      <c r="X350" s="141"/>
      <c r="Y350" s="141"/>
      <c r="Z350" s="141"/>
    </row>
    <row r="351" ht="12.75" customHeight="1" spans="1:26">
      <c r="A351" s="132"/>
      <c r="B351" s="140" t="s">
        <v>711</v>
      </c>
      <c r="C351" s="132" t="s">
        <v>716</v>
      </c>
      <c r="D351" s="132" t="s">
        <v>717</v>
      </c>
      <c r="E351" s="140">
        <v>35</v>
      </c>
      <c r="F351" s="132">
        <v>20</v>
      </c>
      <c r="G351" s="132">
        <v>23</v>
      </c>
      <c r="H351" s="132" t="s">
        <v>18</v>
      </c>
      <c r="I351" s="140">
        <v>25</v>
      </c>
      <c r="J351" s="132">
        <v>10</v>
      </c>
      <c r="K351" s="132">
        <v>49</v>
      </c>
      <c r="L351" s="139" t="s">
        <v>12</v>
      </c>
      <c r="M351" s="132"/>
      <c r="N351" s="141"/>
      <c r="O351" s="141"/>
      <c r="P351" s="141"/>
      <c r="Q351" s="141"/>
      <c r="R351" s="141"/>
      <c r="S351" s="141"/>
      <c r="T351" s="141"/>
      <c r="U351" s="141"/>
      <c r="V351" s="141"/>
      <c r="W351" s="141"/>
      <c r="X351" s="141"/>
      <c r="Y351" s="141"/>
      <c r="Z351" s="141"/>
    </row>
    <row r="352" ht="12.75" customHeight="1" spans="1:26">
      <c r="A352" s="132"/>
      <c r="B352" s="140" t="s">
        <v>711</v>
      </c>
      <c r="C352" s="132" t="s">
        <v>718</v>
      </c>
      <c r="D352" s="132" t="s">
        <v>719</v>
      </c>
      <c r="E352" s="140">
        <v>40</v>
      </c>
      <c r="F352" s="132">
        <v>31</v>
      </c>
      <c r="G352" s="132">
        <v>11</v>
      </c>
      <c r="H352" s="132" t="s">
        <v>18</v>
      </c>
      <c r="I352" s="140">
        <v>22</v>
      </c>
      <c r="J352" s="132">
        <v>58</v>
      </c>
      <c r="K352" s="132">
        <v>15</v>
      </c>
      <c r="L352" s="139" t="s">
        <v>12</v>
      </c>
      <c r="M352" s="132"/>
      <c r="N352" s="141"/>
      <c r="O352" s="141"/>
      <c r="P352" s="141"/>
      <c r="Q352" s="141"/>
      <c r="R352" s="141"/>
      <c r="S352" s="141"/>
      <c r="T352" s="141"/>
      <c r="U352" s="141"/>
      <c r="V352" s="141"/>
      <c r="W352" s="141"/>
      <c r="X352" s="141"/>
      <c r="Y352" s="141"/>
      <c r="Z352" s="141"/>
    </row>
    <row r="353" ht="12.75" customHeight="1" spans="1:26">
      <c r="A353" s="132"/>
      <c r="B353" s="140" t="s">
        <v>720</v>
      </c>
      <c r="C353" s="132" t="s">
        <v>721</v>
      </c>
      <c r="D353" s="132" t="s">
        <v>722</v>
      </c>
      <c r="E353" s="140">
        <v>14</v>
      </c>
      <c r="F353" s="132">
        <v>34</v>
      </c>
      <c r="G353" s="132">
        <v>60</v>
      </c>
      <c r="H353" s="139" t="s">
        <v>18</v>
      </c>
      <c r="I353" s="132">
        <v>90</v>
      </c>
      <c r="J353" s="132">
        <v>31</v>
      </c>
      <c r="K353" s="132">
        <v>39</v>
      </c>
      <c r="L353" s="139" t="s">
        <v>52</v>
      </c>
      <c r="M353" s="132"/>
      <c r="N353" s="141"/>
      <c r="O353" s="141"/>
      <c r="P353" s="141"/>
      <c r="Q353" s="141"/>
      <c r="R353" s="141"/>
      <c r="S353" s="141"/>
      <c r="T353" s="141"/>
      <c r="U353" s="141"/>
      <c r="V353" s="141"/>
      <c r="W353" s="141"/>
      <c r="X353" s="141"/>
      <c r="Y353" s="141"/>
      <c r="Z353" s="141"/>
    </row>
    <row r="354" ht="12.75" customHeight="1" spans="1:26">
      <c r="A354" s="132"/>
      <c r="B354" s="140" t="s">
        <v>723</v>
      </c>
      <c r="C354" s="132" t="s">
        <v>724</v>
      </c>
      <c r="D354" s="139" t="s">
        <v>725</v>
      </c>
      <c r="E354" s="140">
        <v>11</v>
      </c>
      <c r="F354" s="132">
        <v>53</v>
      </c>
      <c r="G354" s="132">
        <v>19</v>
      </c>
      <c r="H354" s="139" t="s">
        <v>18</v>
      </c>
      <c r="I354" s="132">
        <v>15</v>
      </c>
      <c r="J354" s="132">
        <v>39</v>
      </c>
      <c r="K354" s="132">
        <v>20</v>
      </c>
      <c r="L354" s="139" t="s">
        <v>52</v>
      </c>
      <c r="M354" s="132"/>
      <c r="N354" s="141"/>
      <c r="O354" s="141"/>
      <c r="P354" s="141"/>
      <c r="Q354" s="141"/>
      <c r="R354" s="141"/>
      <c r="S354" s="141"/>
      <c r="T354" s="141"/>
      <c r="U354" s="141"/>
      <c r="V354" s="141"/>
      <c r="W354" s="141"/>
      <c r="X354" s="141"/>
      <c r="Y354" s="141"/>
      <c r="Z354" s="141"/>
    </row>
    <row r="355" ht="12.75" customHeight="1" spans="1:26">
      <c r="A355" s="132"/>
      <c r="B355" s="140" t="s">
        <v>726</v>
      </c>
      <c r="C355" s="132" t="s">
        <v>727</v>
      </c>
      <c r="D355" s="139" t="s">
        <v>728</v>
      </c>
      <c r="E355" s="140">
        <v>14</v>
      </c>
      <c r="F355" s="132">
        <v>3</v>
      </c>
      <c r="G355" s="132">
        <v>39</v>
      </c>
      <c r="H355" s="139" t="s">
        <v>18</v>
      </c>
      <c r="I355" s="132">
        <v>87</v>
      </c>
      <c r="J355" s="132">
        <v>13</v>
      </c>
      <c r="K355" s="132">
        <v>2</v>
      </c>
      <c r="L355" s="139" t="s">
        <v>52</v>
      </c>
      <c r="M355" s="132"/>
      <c r="N355" s="141"/>
      <c r="O355" s="141"/>
      <c r="P355" s="141"/>
      <c r="Q355" s="141"/>
      <c r="R355" s="141"/>
      <c r="S355" s="141"/>
      <c r="T355" s="141"/>
      <c r="U355" s="141"/>
      <c r="V355" s="141"/>
      <c r="W355" s="141"/>
      <c r="X355" s="141"/>
      <c r="Y355" s="141"/>
      <c r="Z355" s="141"/>
    </row>
    <row r="356" ht="12.75" customHeight="1" spans="1:26">
      <c r="A356" s="132"/>
      <c r="B356" s="140" t="s">
        <v>726</v>
      </c>
      <c r="C356" s="132" t="s">
        <v>729</v>
      </c>
      <c r="D356" s="139" t="s">
        <v>730</v>
      </c>
      <c r="E356" s="140">
        <v>15</v>
      </c>
      <c r="F356" s="132">
        <v>27</v>
      </c>
      <c r="G356" s="132">
        <v>9</v>
      </c>
      <c r="H356" s="139" t="s">
        <v>18</v>
      </c>
      <c r="I356" s="132">
        <v>87</v>
      </c>
      <c r="J356" s="132">
        <v>55</v>
      </c>
      <c r="K356" s="132">
        <v>25</v>
      </c>
      <c r="L356" s="139" t="s">
        <v>52</v>
      </c>
      <c r="M356" s="132"/>
      <c r="N356" s="141"/>
      <c r="O356" s="141"/>
      <c r="P356" s="141"/>
      <c r="Q356" s="141"/>
      <c r="R356" s="141"/>
      <c r="S356" s="141"/>
      <c r="T356" s="141"/>
      <c r="U356" s="141"/>
      <c r="V356" s="141"/>
      <c r="W356" s="141"/>
      <c r="X356" s="141"/>
      <c r="Y356" s="141"/>
      <c r="Z356" s="141"/>
    </row>
    <row r="357" ht="12.75" customHeight="1" spans="1:26">
      <c r="A357" s="132"/>
      <c r="B357" s="140" t="s">
        <v>731</v>
      </c>
      <c r="C357" s="132" t="s">
        <v>732</v>
      </c>
      <c r="D357" s="139" t="s">
        <v>733</v>
      </c>
      <c r="E357" s="140">
        <v>47</v>
      </c>
      <c r="F357" s="132">
        <v>26</v>
      </c>
      <c r="G357" s="132">
        <v>12</v>
      </c>
      <c r="H357" s="139" t="s">
        <v>18</v>
      </c>
      <c r="I357" s="132">
        <v>19</v>
      </c>
      <c r="J357" s="132">
        <v>15</v>
      </c>
      <c r="K357" s="132">
        <v>20</v>
      </c>
      <c r="L357" s="139" t="s">
        <v>12</v>
      </c>
      <c r="M357" s="132"/>
      <c r="N357" s="141"/>
      <c r="O357" s="141"/>
      <c r="P357" s="141"/>
      <c r="Q357" s="141"/>
      <c r="R357" s="141"/>
      <c r="S357" s="141"/>
      <c r="T357" s="141"/>
      <c r="U357" s="141"/>
      <c r="V357" s="141"/>
      <c r="W357" s="141"/>
      <c r="X357" s="141"/>
      <c r="Y357" s="141"/>
      <c r="Z357" s="141"/>
    </row>
    <row r="358" ht="12.75" customHeight="1" spans="1:26">
      <c r="A358" s="132"/>
      <c r="B358" s="140" t="s">
        <v>734</v>
      </c>
      <c r="C358" s="132" t="s">
        <v>735</v>
      </c>
      <c r="D358" s="139" t="s">
        <v>736</v>
      </c>
      <c r="E358" s="140">
        <v>13</v>
      </c>
      <c r="F358" s="132">
        <v>11</v>
      </c>
      <c r="G358" s="132">
        <v>56</v>
      </c>
      <c r="H358" s="139" t="s">
        <v>18</v>
      </c>
      <c r="I358" s="132">
        <v>77</v>
      </c>
      <c r="J358" s="132">
        <v>42</v>
      </c>
      <c r="K358" s="132">
        <v>20</v>
      </c>
      <c r="L358" s="139" t="s">
        <v>12</v>
      </c>
      <c r="M358" s="132"/>
      <c r="N358" s="141"/>
      <c r="O358" s="141"/>
      <c r="P358" s="141"/>
      <c r="Q358" s="141"/>
      <c r="R358" s="141"/>
      <c r="S358" s="141"/>
      <c r="T358" s="141"/>
      <c r="U358" s="141"/>
      <c r="V358" s="141"/>
      <c r="W358" s="141"/>
      <c r="X358" s="141"/>
      <c r="Y358" s="141"/>
      <c r="Z358" s="141"/>
    </row>
    <row r="359" ht="12.75" customHeight="1" spans="1:26">
      <c r="A359" s="132"/>
      <c r="B359" s="140" t="s">
        <v>734</v>
      </c>
      <c r="C359" s="132" t="s">
        <v>737</v>
      </c>
      <c r="D359" s="139" t="s">
        <v>738</v>
      </c>
      <c r="E359" s="140">
        <v>19</v>
      </c>
      <c r="F359" s="132">
        <v>5</v>
      </c>
      <c r="G359" s="132">
        <v>19</v>
      </c>
      <c r="H359" s="139" t="s">
        <v>18</v>
      </c>
      <c r="I359" s="132">
        <v>72</v>
      </c>
      <c r="J359" s="132">
        <v>52</v>
      </c>
      <c r="K359" s="132">
        <v>5</v>
      </c>
      <c r="L359" s="139" t="s">
        <v>12</v>
      </c>
      <c r="M359" s="132"/>
      <c r="N359" s="141"/>
      <c r="O359" s="141"/>
      <c r="P359" s="141"/>
      <c r="Q359" s="141"/>
      <c r="R359" s="141"/>
      <c r="S359" s="141"/>
      <c r="T359" s="141"/>
      <c r="U359" s="141"/>
      <c r="V359" s="141"/>
      <c r="W359" s="141"/>
      <c r="X359" s="141"/>
      <c r="Y359" s="141"/>
      <c r="Z359" s="141"/>
    </row>
    <row r="360" ht="12.75" customHeight="1" spans="1:26">
      <c r="A360" s="132"/>
      <c r="B360" s="140" t="s">
        <v>734</v>
      </c>
      <c r="C360" s="132" t="s">
        <v>739</v>
      </c>
      <c r="D360" s="139" t="s">
        <v>740</v>
      </c>
      <c r="E360" s="140">
        <v>22</v>
      </c>
      <c r="F360" s="132">
        <v>39</v>
      </c>
      <c r="G360" s="132">
        <v>17</v>
      </c>
      <c r="H360" s="139" t="s">
        <v>18</v>
      </c>
      <c r="I360" s="132">
        <v>88</v>
      </c>
      <c r="J360" s="132">
        <v>26</v>
      </c>
      <c r="K360" s="132">
        <v>48</v>
      </c>
      <c r="L360" s="139" t="s">
        <v>12</v>
      </c>
      <c r="M360" s="132"/>
      <c r="N360" s="141"/>
      <c r="O360" s="141"/>
      <c r="P360" s="141"/>
      <c r="Q360" s="141"/>
      <c r="R360" s="141"/>
      <c r="S360" s="141"/>
      <c r="T360" s="141"/>
      <c r="U360" s="141"/>
      <c r="V360" s="141"/>
      <c r="W360" s="141"/>
      <c r="X360" s="141"/>
      <c r="Y360" s="141"/>
      <c r="Z360" s="141"/>
    </row>
    <row r="361" ht="12.75" customHeight="1" spans="1:26">
      <c r="A361" s="132"/>
      <c r="B361" s="140" t="s">
        <v>734</v>
      </c>
      <c r="C361" s="132" t="s">
        <v>741</v>
      </c>
      <c r="D361" s="139" t="s">
        <v>742</v>
      </c>
      <c r="E361" s="140">
        <v>28</v>
      </c>
      <c r="F361" s="132">
        <v>34</v>
      </c>
      <c r="G361" s="132">
        <v>7</v>
      </c>
      <c r="H361" s="139" t="s">
        <v>18</v>
      </c>
      <c r="I361" s="132">
        <v>77</v>
      </c>
      <c r="J361" s="132">
        <v>6</v>
      </c>
      <c r="K361" s="132">
        <v>44</v>
      </c>
      <c r="L361" s="139" t="s">
        <v>12</v>
      </c>
      <c r="M361" s="132"/>
      <c r="N361" s="141"/>
      <c r="O361" s="141"/>
      <c r="P361" s="141"/>
      <c r="Q361" s="141"/>
      <c r="R361" s="141"/>
      <c r="S361" s="141"/>
      <c r="T361" s="141"/>
      <c r="U361" s="141"/>
      <c r="V361" s="141"/>
      <c r="W361" s="141"/>
      <c r="X361" s="141"/>
      <c r="Y361" s="141"/>
      <c r="Z361" s="141"/>
    </row>
    <row r="362" ht="12.75" customHeight="1" spans="1:26">
      <c r="A362" s="132"/>
      <c r="B362" s="140" t="s">
        <v>734</v>
      </c>
      <c r="C362" s="132" t="s">
        <v>743</v>
      </c>
      <c r="D362" s="139" t="s">
        <v>744</v>
      </c>
      <c r="E362" s="140">
        <v>23</v>
      </c>
      <c r="F362" s="132">
        <v>4</v>
      </c>
      <c r="G362" s="132">
        <v>16</v>
      </c>
      <c r="H362" s="139" t="s">
        <v>18</v>
      </c>
      <c r="I362" s="132">
        <v>72</v>
      </c>
      <c r="J362" s="132">
        <v>37</v>
      </c>
      <c r="K362" s="132">
        <v>35</v>
      </c>
      <c r="L362" s="139" t="s">
        <v>12</v>
      </c>
      <c r="M362" s="132"/>
      <c r="N362" s="141"/>
      <c r="O362" s="141"/>
      <c r="P362" s="141"/>
      <c r="Q362" s="141"/>
      <c r="R362" s="141"/>
      <c r="S362" s="141"/>
      <c r="T362" s="141"/>
      <c r="U362" s="141"/>
      <c r="V362" s="141"/>
      <c r="W362" s="141"/>
      <c r="X362" s="141"/>
      <c r="Y362" s="141"/>
      <c r="Z362" s="141"/>
    </row>
    <row r="363" ht="12.75" customHeight="1" spans="1:26">
      <c r="A363" s="132"/>
      <c r="B363" s="140" t="s">
        <v>734</v>
      </c>
      <c r="C363" s="132" t="s">
        <v>745</v>
      </c>
      <c r="D363" s="139" t="s">
        <v>746</v>
      </c>
      <c r="E363" s="140">
        <v>25</v>
      </c>
      <c r="F363" s="132">
        <v>0</v>
      </c>
      <c r="G363" s="132">
        <v>40</v>
      </c>
      <c r="H363" s="139" t="s">
        <v>18</v>
      </c>
      <c r="I363" s="132">
        <v>88</v>
      </c>
      <c r="J363" s="132">
        <v>7</v>
      </c>
      <c r="K363" s="132">
        <v>50</v>
      </c>
      <c r="L363" s="139" t="s">
        <v>12</v>
      </c>
      <c r="M363" s="132"/>
      <c r="N363" s="141"/>
      <c r="O363" s="141"/>
      <c r="P363" s="141"/>
      <c r="Q363" s="141"/>
      <c r="R363" s="141"/>
      <c r="S363" s="141"/>
      <c r="T363" s="141"/>
      <c r="U363" s="141"/>
      <c r="V363" s="141"/>
      <c r="W363" s="141"/>
      <c r="X363" s="141"/>
      <c r="Y363" s="141"/>
      <c r="Z363" s="141"/>
    </row>
    <row r="364" ht="12.75" customHeight="1" spans="1:26">
      <c r="A364" s="132"/>
      <c r="B364" s="140" t="s">
        <v>747</v>
      </c>
      <c r="C364" s="132" t="s">
        <v>748</v>
      </c>
      <c r="D364" s="139" t="s">
        <v>749</v>
      </c>
      <c r="E364" s="140">
        <v>6</v>
      </c>
      <c r="F364" s="132">
        <v>7</v>
      </c>
      <c r="G364" s="132">
        <v>32</v>
      </c>
      <c r="H364" s="139" t="s">
        <v>11</v>
      </c>
      <c r="I364" s="132">
        <v>106</v>
      </c>
      <c r="J364" s="132">
        <v>39</v>
      </c>
      <c r="K364" s="132">
        <v>21</v>
      </c>
      <c r="L364" s="139" t="s">
        <v>12</v>
      </c>
      <c r="M364" s="132"/>
      <c r="N364" s="141"/>
      <c r="O364" s="141"/>
      <c r="P364" s="141"/>
      <c r="Q364" s="141"/>
      <c r="R364" s="141"/>
      <c r="S364" s="141"/>
      <c r="T364" s="141"/>
      <c r="U364" s="141"/>
      <c r="V364" s="141"/>
      <c r="W364" s="141"/>
      <c r="X364" s="141"/>
      <c r="Y364" s="141"/>
      <c r="Z364" s="141"/>
    </row>
    <row r="365" ht="12.75" customHeight="1" spans="1:26">
      <c r="A365" s="132"/>
      <c r="B365" s="140" t="s">
        <v>750</v>
      </c>
      <c r="C365" s="132" t="s">
        <v>751</v>
      </c>
      <c r="D365" s="139" t="s">
        <v>752</v>
      </c>
      <c r="E365" s="140">
        <v>53</v>
      </c>
      <c r="F365" s="132">
        <v>20</v>
      </c>
      <c r="G365" s="132">
        <v>1</v>
      </c>
      <c r="H365" s="139" t="s">
        <v>18</v>
      </c>
      <c r="I365" s="132">
        <v>2</v>
      </c>
      <c r="J365" s="132">
        <v>50</v>
      </c>
      <c r="K365" s="132">
        <v>59</v>
      </c>
      <c r="L365" s="139" t="s">
        <v>52</v>
      </c>
      <c r="M365" s="132"/>
      <c r="N365" s="141"/>
      <c r="O365" s="141"/>
      <c r="P365" s="141"/>
      <c r="Q365" s="141"/>
      <c r="R365" s="141"/>
      <c r="S365" s="141"/>
      <c r="T365" s="141"/>
      <c r="U365" s="141"/>
      <c r="V365" s="141"/>
      <c r="W365" s="141"/>
      <c r="X365" s="141"/>
      <c r="Y365" s="141"/>
      <c r="Z365" s="141"/>
    </row>
    <row r="366" ht="12.75" customHeight="1" spans="1:26">
      <c r="A366" s="132"/>
      <c r="B366" s="140" t="s">
        <v>750</v>
      </c>
      <c r="C366" s="132" t="s">
        <v>753</v>
      </c>
      <c r="D366" s="139" t="s">
        <v>754</v>
      </c>
      <c r="E366" s="140">
        <v>50</v>
      </c>
      <c r="F366" s="132">
        <v>57</v>
      </c>
      <c r="G366" s="132">
        <v>22</v>
      </c>
      <c r="H366" s="139" t="s">
        <v>18</v>
      </c>
      <c r="I366" s="132">
        <v>0</v>
      </c>
      <c r="J366" s="132">
        <v>56</v>
      </c>
      <c r="K366" s="132">
        <v>21</v>
      </c>
      <c r="L366" s="139" t="s">
        <v>12</v>
      </c>
      <c r="M366" s="132"/>
      <c r="N366" s="141"/>
      <c r="O366" s="141"/>
      <c r="P366" s="141"/>
      <c r="Q366" s="141"/>
      <c r="R366" s="141"/>
      <c r="S366" s="141"/>
      <c r="T366" s="141"/>
      <c r="U366" s="141"/>
      <c r="V366" s="141"/>
      <c r="W366" s="141"/>
      <c r="X366" s="141"/>
      <c r="Y366" s="141"/>
      <c r="Z366" s="141"/>
    </row>
    <row r="367" ht="12.75" customHeight="1" spans="1:26">
      <c r="A367" s="132"/>
      <c r="B367" s="140" t="s">
        <v>750</v>
      </c>
      <c r="C367" s="132" t="s">
        <v>755</v>
      </c>
      <c r="D367" s="139" t="s">
        <v>754</v>
      </c>
      <c r="E367" s="140">
        <v>51</v>
      </c>
      <c r="F367" s="132">
        <v>28</v>
      </c>
      <c r="G367" s="132">
        <v>39</v>
      </c>
      <c r="H367" s="139" t="s">
        <v>18</v>
      </c>
      <c r="I367" s="132">
        <v>0</v>
      </c>
      <c r="J367" s="132">
        <v>27</v>
      </c>
      <c r="K367" s="132">
        <v>41</v>
      </c>
      <c r="L367" s="139" t="s">
        <v>756</v>
      </c>
      <c r="M367" s="132"/>
      <c r="N367" s="141"/>
      <c r="O367" s="141"/>
      <c r="P367" s="141"/>
      <c r="Q367" s="141"/>
      <c r="R367" s="141"/>
      <c r="S367" s="141"/>
      <c r="T367" s="141"/>
      <c r="U367" s="141"/>
      <c r="V367" s="141"/>
      <c r="W367" s="141"/>
      <c r="X367" s="141"/>
      <c r="Y367" s="141"/>
      <c r="Z367" s="141"/>
    </row>
    <row r="368" ht="12.75" customHeight="1" spans="1:26">
      <c r="A368" s="132"/>
      <c r="B368" s="140" t="s">
        <v>750</v>
      </c>
      <c r="C368" s="132" t="s">
        <v>757</v>
      </c>
      <c r="D368" s="132" t="s">
        <v>758</v>
      </c>
      <c r="E368" s="140">
        <v>53</v>
      </c>
      <c r="F368" s="132">
        <v>21</v>
      </c>
      <c r="G368" s="132">
        <v>0</v>
      </c>
      <c r="H368" s="132" t="s">
        <v>18</v>
      </c>
      <c r="I368" s="140">
        <v>2</v>
      </c>
      <c r="J368" s="132">
        <v>16</v>
      </c>
      <c r="K368" s="132">
        <v>0</v>
      </c>
      <c r="L368" s="139" t="s">
        <v>52</v>
      </c>
      <c r="M368" s="132"/>
      <c r="N368" s="141"/>
      <c r="O368" s="141"/>
      <c r="P368" s="141"/>
      <c r="Q368" s="141"/>
      <c r="R368" s="141"/>
      <c r="S368" s="141"/>
      <c r="T368" s="141"/>
      <c r="U368" s="141"/>
      <c r="V368" s="141"/>
      <c r="W368" s="141"/>
      <c r="X368" s="141"/>
      <c r="Y368" s="141"/>
      <c r="Z368" s="141"/>
    </row>
    <row r="369" ht="12.75" customHeight="1" spans="1:26">
      <c r="A369" s="132"/>
      <c r="B369" s="140" t="s">
        <v>750</v>
      </c>
      <c r="C369" s="132" t="s">
        <v>759</v>
      </c>
      <c r="D369" s="132" t="s">
        <v>760</v>
      </c>
      <c r="E369" s="140">
        <v>52</v>
      </c>
      <c r="F369" s="132">
        <v>27</v>
      </c>
      <c r="G369" s="132">
        <v>14</v>
      </c>
      <c r="H369" s="132" t="s">
        <v>18</v>
      </c>
      <c r="I369" s="140">
        <v>1</v>
      </c>
      <c r="J369" s="132">
        <v>44</v>
      </c>
      <c r="K369" s="132">
        <v>53</v>
      </c>
      <c r="L369" s="139" t="s">
        <v>52</v>
      </c>
      <c r="M369" s="132"/>
      <c r="N369" s="141"/>
      <c r="O369" s="141"/>
      <c r="P369" s="141"/>
      <c r="Q369" s="141"/>
      <c r="R369" s="141"/>
      <c r="S369" s="141"/>
      <c r="T369" s="141"/>
      <c r="U369" s="141"/>
      <c r="V369" s="141"/>
      <c r="W369" s="141"/>
      <c r="X369" s="141"/>
      <c r="Y369" s="141"/>
      <c r="Z369" s="141"/>
    </row>
    <row r="370" ht="12.75" customHeight="1" spans="1:26">
      <c r="A370" s="132"/>
      <c r="B370" s="140" t="s">
        <v>750</v>
      </c>
      <c r="C370" s="132" t="s">
        <v>761</v>
      </c>
      <c r="D370" s="132" t="s">
        <v>754</v>
      </c>
      <c r="E370" s="140">
        <v>51</v>
      </c>
      <c r="F370" s="132">
        <v>30</v>
      </c>
      <c r="G370" s="132">
        <v>19</v>
      </c>
      <c r="H370" s="132" t="s">
        <v>18</v>
      </c>
      <c r="I370" s="140">
        <v>0</v>
      </c>
      <c r="J370" s="132">
        <v>3</v>
      </c>
      <c r="K370" s="132">
        <v>19</v>
      </c>
      <c r="L370" s="139" t="s">
        <v>12</v>
      </c>
      <c r="M370" s="132"/>
      <c r="N370" s="141"/>
      <c r="O370" s="141"/>
      <c r="P370" s="141"/>
      <c r="Q370" s="141"/>
      <c r="R370" s="141"/>
      <c r="S370" s="141"/>
      <c r="T370" s="141"/>
      <c r="U370" s="141"/>
      <c r="V370" s="141"/>
      <c r="W370" s="141"/>
      <c r="X370" s="141"/>
      <c r="Y370" s="141"/>
      <c r="Z370" s="141"/>
    </row>
    <row r="371" ht="12.75" customHeight="1" spans="1:26">
      <c r="A371" s="132"/>
      <c r="B371" s="140" t="s">
        <v>750</v>
      </c>
      <c r="C371" s="132" t="s">
        <v>762</v>
      </c>
      <c r="D371" s="132" t="s">
        <v>763</v>
      </c>
      <c r="E371" s="140">
        <v>51</v>
      </c>
      <c r="F371" s="132">
        <v>8</v>
      </c>
      <c r="G371" s="132">
        <v>53</v>
      </c>
      <c r="H371" s="132" t="s">
        <v>18</v>
      </c>
      <c r="I371" s="140">
        <v>0</v>
      </c>
      <c r="J371" s="132">
        <v>11</v>
      </c>
      <c r="K371" s="132">
        <v>25</v>
      </c>
      <c r="L371" s="139" t="s">
        <v>52</v>
      </c>
      <c r="M371" s="132"/>
      <c r="N371" s="141"/>
      <c r="O371" s="141"/>
      <c r="P371" s="141"/>
      <c r="Q371" s="141"/>
      <c r="R371" s="141"/>
      <c r="S371" s="141"/>
      <c r="T371" s="141"/>
      <c r="U371" s="141"/>
      <c r="V371" s="141"/>
      <c r="W371" s="141"/>
      <c r="X371" s="141"/>
      <c r="Y371" s="141"/>
      <c r="Z371" s="141"/>
    </row>
    <row r="372" ht="12.75" customHeight="1" spans="1:26">
      <c r="A372" s="132"/>
      <c r="B372" s="140" t="s">
        <v>750</v>
      </c>
      <c r="C372" s="132" t="s">
        <v>764</v>
      </c>
      <c r="D372" s="139" t="s">
        <v>765</v>
      </c>
      <c r="E372" s="140">
        <v>51</v>
      </c>
      <c r="F372" s="132">
        <v>19</v>
      </c>
      <c r="G372" s="132">
        <v>26</v>
      </c>
      <c r="H372" s="132" t="s">
        <v>18</v>
      </c>
      <c r="I372" s="140">
        <v>0</v>
      </c>
      <c r="J372" s="132">
        <v>50</v>
      </c>
      <c r="K372" s="132">
        <v>51</v>
      </c>
      <c r="L372" s="139" t="s">
        <v>52</v>
      </c>
      <c r="M372" s="132"/>
      <c r="N372" s="141"/>
      <c r="O372" s="141"/>
      <c r="P372" s="141"/>
      <c r="Q372" s="141"/>
      <c r="R372" s="141"/>
      <c r="S372" s="141"/>
      <c r="T372" s="141"/>
      <c r="U372" s="141"/>
      <c r="V372" s="141"/>
      <c r="W372" s="141"/>
      <c r="X372" s="141"/>
      <c r="Y372" s="141"/>
      <c r="Z372" s="141"/>
    </row>
    <row r="373" ht="12.75" customHeight="1" spans="1:26">
      <c r="A373" s="132"/>
      <c r="B373" s="140" t="s">
        <v>766</v>
      </c>
      <c r="C373" s="132" t="s">
        <v>767</v>
      </c>
      <c r="D373" s="139" t="s">
        <v>768</v>
      </c>
      <c r="E373" s="140">
        <v>35</v>
      </c>
      <c r="F373" s="132">
        <v>24</v>
      </c>
      <c r="G373" s="132">
        <v>58</v>
      </c>
      <c r="H373" s="139" t="s">
        <v>18</v>
      </c>
      <c r="I373" s="132">
        <v>51</v>
      </c>
      <c r="J373" s="132">
        <v>9</v>
      </c>
      <c r="K373" s="132">
        <v>8</v>
      </c>
      <c r="L373" s="139" t="s">
        <v>12</v>
      </c>
      <c r="M373" s="132"/>
      <c r="N373" s="141"/>
      <c r="O373" s="141"/>
      <c r="P373" s="141"/>
      <c r="Q373" s="141"/>
      <c r="R373" s="141"/>
      <c r="S373" s="141"/>
      <c r="T373" s="141"/>
      <c r="U373" s="141"/>
      <c r="V373" s="141"/>
      <c r="W373" s="141"/>
      <c r="X373" s="141"/>
      <c r="Y373" s="141"/>
      <c r="Z373" s="141"/>
    </row>
    <row r="374" ht="12.75" customHeight="1" spans="1:26">
      <c r="A374" s="132"/>
      <c r="B374" s="140" t="s">
        <v>766</v>
      </c>
      <c r="C374" s="132" t="s">
        <v>769</v>
      </c>
      <c r="D374" s="139" t="s">
        <v>768</v>
      </c>
      <c r="E374" s="140">
        <v>35</v>
      </c>
      <c r="F374" s="132">
        <v>41</v>
      </c>
      <c r="G374" s="132">
        <v>20</v>
      </c>
      <c r="H374" s="139" t="s">
        <v>18</v>
      </c>
      <c r="I374" s="132">
        <v>51</v>
      </c>
      <c r="J374" s="132">
        <v>18</v>
      </c>
      <c r="K374" s="132">
        <v>53</v>
      </c>
      <c r="L374" s="139" t="s">
        <v>12</v>
      </c>
      <c r="M374" s="132"/>
      <c r="N374" s="141"/>
      <c r="O374" s="141"/>
      <c r="P374" s="141"/>
      <c r="Q374" s="141"/>
      <c r="R374" s="141"/>
      <c r="S374" s="141"/>
      <c r="T374" s="141"/>
      <c r="U374" s="141"/>
      <c r="V374" s="141"/>
      <c r="W374" s="141"/>
      <c r="X374" s="141"/>
      <c r="Y374" s="141"/>
      <c r="Z374" s="141"/>
    </row>
    <row r="375" ht="12.75" customHeight="1" spans="1:26">
      <c r="A375" s="132"/>
      <c r="B375" s="140" t="s">
        <v>770</v>
      </c>
      <c r="C375" s="132" t="s">
        <v>771</v>
      </c>
      <c r="D375" s="139" t="s">
        <v>772</v>
      </c>
      <c r="E375" s="140">
        <v>33</v>
      </c>
      <c r="F375" s="132">
        <v>15</v>
      </c>
      <c r="G375" s="132">
        <v>45</v>
      </c>
      <c r="H375" s="139" t="s">
        <v>18</v>
      </c>
      <c r="I375" s="132">
        <v>44</v>
      </c>
      <c r="J375" s="132">
        <v>14</v>
      </c>
      <c r="K375" s="132">
        <v>4</v>
      </c>
      <c r="L375" s="139" t="s">
        <v>12</v>
      </c>
      <c r="M375" s="132"/>
      <c r="N375" s="141"/>
      <c r="O375" s="141"/>
      <c r="P375" s="141"/>
      <c r="Q375" s="141"/>
      <c r="R375" s="141"/>
      <c r="S375" s="141"/>
      <c r="T375" s="141"/>
      <c r="U375" s="141"/>
      <c r="V375" s="141"/>
      <c r="W375" s="141"/>
      <c r="X375" s="141"/>
      <c r="Y375" s="141"/>
      <c r="Z375" s="141"/>
    </row>
    <row r="376" ht="12.75" customHeight="1" spans="1:26">
      <c r="A376" s="132"/>
      <c r="B376" s="140" t="s">
        <v>770</v>
      </c>
      <c r="C376" s="132" t="s">
        <v>773</v>
      </c>
      <c r="D376" s="139" t="s">
        <v>774</v>
      </c>
      <c r="E376" s="140">
        <v>36</v>
      </c>
      <c r="F376" s="132">
        <v>14</v>
      </c>
      <c r="G376" s="132">
        <v>17</v>
      </c>
      <c r="H376" s="139" t="s">
        <v>18</v>
      </c>
      <c r="I376" s="132">
        <v>43</v>
      </c>
      <c r="J376" s="132">
        <v>56</v>
      </c>
      <c r="K376" s="132">
        <v>48</v>
      </c>
      <c r="L376" s="139" t="s">
        <v>12</v>
      </c>
      <c r="M376" s="132"/>
      <c r="N376" s="141"/>
      <c r="O376" s="141"/>
      <c r="P376" s="141"/>
      <c r="Q376" s="141"/>
      <c r="R376" s="141"/>
      <c r="S376" s="141"/>
      <c r="T376" s="141"/>
      <c r="U376" s="141"/>
      <c r="V376" s="141"/>
      <c r="W376" s="141"/>
      <c r="X376" s="141"/>
      <c r="Y376" s="141"/>
      <c r="Z376" s="141"/>
    </row>
    <row r="377" ht="12.75" customHeight="1" spans="1:26">
      <c r="A377" s="132"/>
      <c r="B377" s="140" t="s">
        <v>775</v>
      </c>
      <c r="C377" s="132" t="s">
        <v>776</v>
      </c>
      <c r="D377" s="139" t="s">
        <v>777</v>
      </c>
      <c r="E377" s="140">
        <v>53</v>
      </c>
      <c r="F377" s="132">
        <v>25</v>
      </c>
      <c r="G377" s="132">
        <v>17</v>
      </c>
      <c r="H377" s="139" t="s">
        <v>18</v>
      </c>
      <c r="I377" s="132">
        <v>6</v>
      </c>
      <c r="J377" s="132">
        <v>16</v>
      </c>
      <c r="K377" s="132">
        <v>12</v>
      </c>
      <c r="L377" s="139" t="s">
        <v>12</v>
      </c>
      <c r="M377" s="132"/>
      <c r="N377" s="141"/>
      <c r="O377" s="141"/>
      <c r="P377" s="141"/>
      <c r="Q377" s="141"/>
      <c r="R377" s="141"/>
      <c r="S377" s="141"/>
      <c r="T377" s="141"/>
      <c r="U377" s="141"/>
      <c r="V377" s="141"/>
      <c r="W377" s="141"/>
      <c r="X377" s="141"/>
      <c r="Y377" s="141"/>
      <c r="Z377" s="141"/>
    </row>
    <row r="378" ht="12.75" customHeight="1" spans="1:26">
      <c r="A378" s="132"/>
      <c r="B378" s="140" t="s">
        <v>775</v>
      </c>
      <c r="C378" s="132" t="s">
        <v>778</v>
      </c>
      <c r="D378" s="139" t="s">
        <v>779</v>
      </c>
      <c r="E378" s="140">
        <v>52</v>
      </c>
      <c r="F378" s="132">
        <v>42</v>
      </c>
      <c r="G378" s="132">
        <v>7</v>
      </c>
      <c r="H378" s="139" t="s">
        <v>18</v>
      </c>
      <c r="I378" s="132">
        <v>8</v>
      </c>
      <c r="J378" s="132">
        <v>55</v>
      </c>
      <c r="K378" s="132">
        <v>29</v>
      </c>
      <c r="L378" s="139" t="s">
        <v>52</v>
      </c>
      <c r="M378" s="132"/>
      <c r="N378" s="141"/>
      <c r="O378" s="141"/>
      <c r="P378" s="141"/>
      <c r="Q378" s="141"/>
      <c r="R378" s="141"/>
      <c r="S378" s="141"/>
      <c r="T378" s="141"/>
      <c r="U378" s="141"/>
      <c r="V378" s="141"/>
      <c r="W378" s="141"/>
      <c r="X378" s="141"/>
      <c r="Y378" s="141"/>
      <c r="Z378" s="141"/>
    </row>
    <row r="379" ht="12.75" customHeight="1" spans="1:26">
      <c r="A379" s="132"/>
      <c r="B379" s="140" t="s">
        <v>780</v>
      </c>
      <c r="C379" s="132" t="s">
        <v>781</v>
      </c>
      <c r="D379" s="139" t="s">
        <v>782</v>
      </c>
      <c r="E379" s="140">
        <v>66</v>
      </c>
      <c r="F379" s="132">
        <v>33</v>
      </c>
      <c r="G379" s="132">
        <v>17</v>
      </c>
      <c r="H379" s="139" t="s">
        <v>18</v>
      </c>
      <c r="I379" s="132">
        <v>18</v>
      </c>
      <c r="J379" s="132">
        <v>1</v>
      </c>
      <c r="K379" s="132">
        <v>3</v>
      </c>
      <c r="L379" s="139" t="s">
        <v>52</v>
      </c>
      <c r="M379" s="132"/>
      <c r="N379" s="141"/>
      <c r="O379" s="141"/>
      <c r="P379" s="141"/>
      <c r="Q379" s="141"/>
      <c r="R379" s="141"/>
      <c r="S379" s="141"/>
      <c r="T379" s="141"/>
      <c r="U379" s="141"/>
      <c r="V379" s="141"/>
      <c r="W379" s="141"/>
      <c r="X379" s="141"/>
      <c r="Y379" s="141"/>
      <c r="Z379" s="141"/>
    </row>
    <row r="380" ht="12.75" customHeight="1" spans="1:26">
      <c r="A380" s="132"/>
      <c r="B380" s="140" t="s">
        <v>780</v>
      </c>
      <c r="C380" s="132" t="s">
        <v>783</v>
      </c>
      <c r="D380" s="139" t="s">
        <v>784</v>
      </c>
      <c r="E380" s="140">
        <v>63</v>
      </c>
      <c r="F380" s="132">
        <v>59</v>
      </c>
      <c r="G380" s="132">
        <v>6</v>
      </c>
      <c r="H380" s="139" t="s">
        <v>18</v>
      </c>
      <c r="I380" s="132">
        <v>22</v>
      </c>
      <c r="J380" s="132">
        <v>36</v>
      </c>
      <c r="K380" s="132">
        <v>20</v>
      </c>
      <c r="L380" s="139" t="s">
        <v>52</v>
      </c>
      <c r="M380" s="132"/>
      <c r="N380" s="141"/>
      <c r="O380" s="141"/>
      <c r="P380" s="141"/>
      <c r="Q380" s="141"/>
      <c r="R380" s="141"/>
      <c r="S380" s="141"/>
      <c r="T380" s="141"/>
      <c r="U380" s="141"/>
      <c r="V380" s="141"/>
      <c r="W380" s="141"/>
      <c r="X380" s="141"/>
      <c r="Y380" s="141"/>
      <c r="Z380" s="141"/>
    </row>
    <row r="381" ht="12.75" customHeight="1" spans="1:26">
      <c r="A381" s="132"/>
      <c r="B381" s="140" t="s">
        <v>785</v>
      </c>
      <c r="C381" s="132" t="s">
        <v>786</v>
      </c>
      <c r="D381" s="139" t="s">
        <v>787</v>
      </c>
      <c r="E381" s="140">
        <v>32</v>
      </c>
      <c r="F381" s="132">
        <v>0</v>
      </c>
      <c r="G381" s="132">
        <v>41</v>
      </c>
      <c r="H381" s="139" t="s">
        <v>18</v>
      </c>
      <c r="I381" s="132">
        <v>34</v>
      </c>
      <c r="J381" s="132">
        <v>53</v>
      </c>
      <c r="K381" s="132">
        <v>12</v>
      </c>
      <c r="L381" s="139" t="s">
        <v>12</v>
      </c>
      <c r="M381" s="132"/>
      <c r="N381" s="141"/>
      <c r="O381" s="141"/>
      <c r="P381" s="141"/>
      <c r="Q381" s="141"/>
      <c r="R381" s="141"/>
      <c r="S381" s="141"/>
      <c r="T381" s="141"/>
      <c r="U381" s="141"/>
      <c r="V381" s="141"/>
      <c r="W381" s="141"/>
      <c r="X381" s="141"/>
      <c r="Y381" s="141"/>
      <c r="Z381" s="141"/>
    </row>
    <row r="382" ht="12.75" customHeight="1" spans="1:26">
      <c r="A382" s="132"/>
      <c r="B382" s="140" t="s">
        <v>788</v>
      </c>
      <c r="C382" s="132" t="s">
        <v>789</v>
      </c>
      <c r="D382" s="139" t="s">
        <v>790</v>
      </c>
      <c r="E382" s="140">
        <v>41</v>
      </c>
      <c r="F382" s="132">
        <v>8</v>
      </c>
      <c r="G382" s="132">
        <v>20</v>
      </c>
      <c r="H382" s="139" t="s">
        <v>18</v>
      </c>
      <c r="I382" s="132">
        <v>16</v>
      </c>
      <c r="J382" s="132">
        <v>45</v>
      </c>
      <c r="K382" s="132">
        <v>38</v>
      </c>
      <c r="L382" s="139" t="s">
        <v>12</v>
      </c>
      <c r="M382" s="132"/>
      <c r="N382" s="141"/>
      <c r="O382" s="141"/>
      <c r="P382" s="141"/>
      <c r="Q382" s="141"/>
      <c r="R382" s="141"/>
      <c r="S382" s="141"/>
      <c r="T382" s="141"/>
      <c r="U382" s="141"/>
      <c r="V382" s="141"/>
      <c r="W382" s="141"/>
      <c r="X382" s="141"/>
      <c r="Y382" s="141"/>
      <c r="Z382" s="141"/>
    </row>
    <row r="383" ht="12.75" customHeight="1" spans="1:26">
      <c r="A383" s="132"/>
      <c r="B383" s="140" t="s">
        <v>788</v>
      </c>
      <c r="C383" s="132" t="s">
        <v>791</v>
      </c>
      <c r="D383" s="139" t="s">
        <v>792</v>
      </c>
      <c r="E383" s="140">
        <v>44</v>
      </c>
      <c r="F383" s="132">
        <v>32</v>
      </c>
      <c r="G383" s="132">
        <v>8</v>
      </c>
      <c r="H383" s="139" t="s">
        <v>18</v>
      </c>
      <c r="I383" s="132">
        <v>11</v>
      </c>
      <c r="J383" s="132">
        <v>17</v>
      </c>
      <c r="K383" s="132">
        <v>19</v>
      </c>
      <c r="L383" s="139" t="s">
        <v>12</v>
      </c>
      <c r="M383" s="132"/>
      <c r="N383" s="141"/>
      <c r="O383" s="141"/>
      <c r="P383" s="141"/>
      <c r="Q383" s="141"/>
      <c r="R383" s="141"/>
      <c r="S383" s="141"/>
      <c r="T383" s="141"/>
      <c r="U383" s="141"/>
      <c r="V383" s="141"/>
      <c r="W383" s="141"/>
      <c r="X383" s="141"/>
      <c r="Y383" s="141"/>
      <c r="Z383" s="141"/>
    </row>
    <row r="384" ht="12.75" customHeight="1" spans="1:26">
      <c r="A384" s="132"/>
      <c r="B384" s="140" t="s">
        <v>788</v>
      </c>
      <c r="C384" s="132" t="s">
        <v>793</v>
      </c>
      <c r="D384" s="139" t="s">
        <v>794</v>
      </c>
      <c r="E384" s="140">
        <v>43</v>
      </c>
      <c r="F384" s="132">
        <v>48</v>
      </c>
      <c r="G384" s="132">
        <v>36</v>
      </c>
      <c r="H384" s="139" t="s">
        <v>18</v>
      </c>
      <c r="I384" s="132">
        <v>11</v>
      </c>
      <c r="J384" s="132">
        <v>12</v>
      </c>
      <c r="K384" s="132">
        <v>18</v>
      </c>
      <c r="L384" s="139" t="s">
        <v>12</v>
      </c>
      <c r="M384" s="132"/>
      <c r="N384" s="141"/>
      <c r="O384" s="141"/>
      <c r="P384" s="141"/>
      <c r="Q384" s="141"/>
      <c r="R384" s="141"/>
      <c r="S384" s="141"/>
      <c r="T384" s="141"/>
      <c r="U384" s="141"/>
      <c r="V384" s="141"/>
      <c r="W384" s="141"/>
      <c r="X384" s="141"/>
      <c r="Y384" s="141"/>
      <c r="Z384" s="141"/>
    </row>
    <row r="385" ht="12.75" customHeight="1" spans="1:26">
      <c r="A385" s="132"/>
      <c r="B385" s="140" t="s">
        <v>788</v>
      </c>
      <c r="C385" s="132" t="s">
        <v>795</v>
      </c>
      <c r="D385" s="139" t="s">
        <v>796</v>
      </c>
      <c r="E385" s="140">
        <v>45</v>
      </c>
      <c r="F385" s="132">
        <v>26</v>
      </c>
      <c r="G385" s="132">
        <v>42</v>
      </c>
      <c r="H385" s="139" t="s">
        <v>18</v>
      </c>
      <c r="I385" s="132">
        <v>9</v>
      </c>
      <c r="J385" s="132">
        <v>16</v>
      </c>
      <c r="K385" s="132">
        <v>36</v>
      </c>
      <c r="L385" s="139" t="s">
        <v>12</v>
      </c>
      <c r="M385" s="132"/>
      <c r="N385" s="141"/>
      <c r="O385" s="141"/>
      <c r="P385" s="141"/>
      <c r="Q385" s="141"/>
      <c r="R385" s="141"/>
      <c r="S385" s="141"/>
      <c r="T385" s="141"/>
      <c r="U385" s="141"/>
      <c r="V385" s="141"/>
      <c r="W385" s="141"/>
      <c r="X385" s="141"/>
      <c r="Y385" s="141"/>
      <c r="Z385" s="141"/>
    </row>
    <row r="386" ht="12.75" customHeight="1" spans="1:26">
      <c r="A386" s="132"/>
      <c r="B386" s="140" t="s">
        <v>788</v>
      </c>
      <c r="C386" s="132" t="s">
        <v>797</v>
      </c>
      <c r="D386" s="139" t="s">
        <v>796</v>
      </c>
      <c r="E386" s="140">
        <v>45</v>
      </c>
      <c r="F386" s="132">
        <v>37</v>
      </c>
      <c r="G386" s="132">
        <v>50</v>
      </c>
      <c r="H386" s="139" t="s">
        <v>18</v>
      </c>
      <c r="I386" s="132">
        <v>8</v>
      </c>
      <c r="J386" s="132">
        <v>43</v>
      </c>
      <c r="K386" s="132">
        <v>41</v>
      </c>
      <c r="L386" s="139" t="s">
        <v>12</v>
      </c>
      <c r="M386" s="132"/>
      <c r="N386" s="141"/>
      <c r="O386" s="141"/>
      <c r="P386" s="141"/>
      <c r="Q386" s="141"/>
      <c r="R386" s="141"/>
      <c r="S386" s="141"/>
      <c r="T386" s="141"/>
      <c r="U386" s="141"/>
      <c r="V386" s="141"/>
      <c r="W386" s="141"/>
      <c r="X386" s="141"/>
      <c r="Y386" s="141"/>
      <c r="Z386" s="141"/>
    </row>
    <row r="387" ht="12.75" customHeight="1" spans="1:26">
      <c r="A387" s="132"/>
      <c r="B387" s="140" t="s">
        <v>788</v>
      </c>
      <c r="C387" s="132" t="s">
        <v>798</v>
      </c>
      <c r="D387" s="139" t="s">
        <v>799</v>
      </c>
      <c r="E387" s="140">
        <v>40</v>
      </c>
      <c r="F387" s="132">
        <v>53</v>
      </c>
      <c r="G387" s="132">
        <v>10</v>
      </c>
      <c r="H387" s="139" t="s">
        <v>18</v>
      </c>
      <c r="I387" s="132">
        <v>14</v>
      </c>
      <c r="J387" s="132">
        <v>17</v>
      </c>
      <c r="K387" s="132">
        <v>27</v>
      </c>
      <c r="L387" s="139" t="s">
        <v>12</v>
      </c>
      <c r="M387" s="132"/>
      <c r="N387" s="141"/>
      <c r="O387" s="141"/>
      <c r="P387" s="141"/>
      <c r="Q387" s="141"/>
      <c r="R387" s="141"/>
      <c r="S387" s="141"/>
      <c r="T387" s="141"/>
      <c r="U387" s="141"/>
      <c r="V387" s="141"/>
      <c r="W387" s="141"/>
      <c r="X387" s="141"/>
      <c r="Y387" s="141"/>
      <c r="Z387" s="141"/>
    </row>
    <row r="388" ht="12.75" customHeight="1" spans="1:26">
      <c r="A388" s="132"/>
      <c r="B388" s="140" t="s">
        <v>788</v>
      </c>
      <c r="C388" s="132" t="s">
        <v>800</v>
      </c>
      <c r="D388" s="139" t="s">
        <v>801</v>
      </c>
      <c r="E388" s="140">
        <v>43</v>
      </c>
      <c r="F388" s="132">
        <v>41</v>
      </c>
      <c r="G388" s="132">
        <v>2</v>
      </c>
      <c r="H388" s="139" t="s">
        <v>18</v>
      </c>
      <c r="I388" s="132">
        <v>10</v>
      </c>
      <c r="J388" s="132">
        <v>23</v>
      </c>
      <c r="K388" s="132">
        <v>34</v>
      </c>
      <c r="L388" s="139" t="s">
        <v>12</v>
      </c>
      <c r="M388" s="132"/>
      <c r="N388" s="141"/>
      <c r="O388" s="141"/>
      <c r="P388" s="141"/>
      <c r="Q388" s="141"/>
      <c r="R388" s="141"/>
      <c r="S388" s="141"/>
      <c r="T388" s="141"/>
      <c r="U388" s="141"/>
      <c r="V388" s="141"/>
      <c r="W388" s="141"/>
      <c r="X388" s="141"/>
      <c r="Y388" s="141"/>
      <c r="Z388" s="141"/>
    </row>
    <row r="389" ht="12.75" customHeight="1" spans="1:26">
      <c r="A389" s="132"/>
      <c r="B389" s="140" t="s">
        <v>788</v>
      </c>
      <c r="C389" s="132" t="s">
        <v>802</v>
      </c>
      <c r="D389" s="139" t="s">
        <v>803</v>
      </c>
      <c r="E389" s="140">
        <v>41</v>
      </c>
      <c r="F389" s="132">
        <v>48</v>
      </c>
      <c r="G389" s="132">
        <v>16</v>
      </c>
      <c r="H389" s="139" t="s">
        <v>18</v>
      </c>
      <c r="I389" s="132">
        <v>12</v>
      </c>
      <c r="J389" s="132">
        <v>15</v>
      </c>
      <c r="K389" s="132">
        <v>3</v>
      </c>
      <c r="L389" s="139" t="s">
        <v>12</v>
      </c>
      <c r="M389" s="132"/>
      <c r="N389" s="141"/>
      <c r="O389" s="141"/>
      <c r="P389" s="141"/>
      <c r="Q389" s="141"/>
      <c r="R389" s="141"/>
      <c r="S389" s="141"/>
      <c r="T389" s="141"/>
      <c r="U389" s="141"/>
      <c r="V389" s="141"/>
      <c r="W389" s="141"/>
      <c r="X389" s="141"/>
      <c r="Y389" s="141"/>
      <c r="Z389" s="141"/>
    </row>
    <row r="390" ht="12.75" customHeight="1" spans="1:26">
      <c r="A390" s="132"/>
      <c r="B390" s="140" t="s">
        <v>788</v>
      </c>
      <c r="C390" s="132" t="s">
        <v>804</v>
      </c>
      <c r="D390" s="139" t="s">
        <v>805</v>
      </c>
      <c r="E390" s="140">
        <v>45</v>
      </c>
      <c r="F390" s="132">
        <v>12</v>
      </c>
      <c r="G390" s="132">
        <v>3</v>
      </c>
      <c r="H390" s="139" t="s">
        <v>18</v>
      </c>
      <c r="I390" s="132">
        <v>7</v>
      </c>
      <c r="J390" s="132">
        <v>38</v>
      </c>
      <c r="K390" s="132">
        <v>59</v>
      </c>
      <c r="L390" s="139" t="s">
        <v>12</v>
      </c>
      <c r="M390" s="132"/>
      <c r="N390" s="141"/>
      <c r="O390" s="141"/>
      <c r="P390" s="141"/>
      <c r="Q390" s="141"/>
      <c r="R390" s="141"/>
      <c r="S390" s="141"/>
      <c r="T390" s="141"/>
      <c r="U390" s="141"/>
      <c r="V390" s="141"/>
      <c r="W390" s="141"/>
      <c r="X390" s="141"/>
      <c r="Y390" s="141"/>
      <c r="Z390" s="141"/>
    </row>
    <row r="391" ht="12.75" customHeight="1" spans="1:26">
      <c r="A391" s="132"/>
      <c r="B391" s="140" t="s">
        <v>788</v>
      </c>
      <c r="C391" s="132" t="s">
        <v>806</v>
      </c>
      <c r="D391" s="139" t="s">
        <v>807</v>
      </c>
      <c r="E391" s="140">
        <v>45</v>
      </c>
      <c r="F391" s="132">
        <v>30</v>
      </c>
      <c r="G391" s="132">
        <v>19</v>
      </c>
      <c r="H391" s="139" t="s">
        <v>18</v>
      </c>
      <c r="I391" s="132">
        <v>12</v>
      </c>
      <c r="J391" s="132">
        <v>21</v>
      </c>
      <c r="K391" s="132">
        <v>7</v>
      </c>
      <c r="L391" s="139" t="s">
        <v>12</v>
      </c>
      <c r="M391" s="132"/>
      <c r="N391" s="141"/>
      <c r="O391" s="141"/>
      <c r="P391" s="141"/>
      <c r="Q391" s="141"/>
      <c r="R391" s="141"/>
      <c r="S391" s="141"/>
      <c r="T391" s="141"/>
      <c r="U391" s="141"/>
      <c r="V391" s="141"/>
      <c r="W391" s="141"/>
      <c r="X391" s="141"/>
      <c r="Y391" s="141"/>
      <c r="Z391" s="141"/>
    </row>
    <row r="392" ht="12.75" customHeight="1" spans="1:26">
      <c r="A392" s="132"/>
      <c r="B392" s="140" t="s">
        <v>788</v>
      </c>
      <c r="C392" s="132" t="s">
        <v>808</v>
      </c>
      <c r="D392" s="139" t="s">
        <v>809</v>
      </c>
      <c r="E392" s="140">
        <v>45</v>
      </c>
      <c r="F392" s="132">
        <v>23</v>
      </c>
      <c r="G392" s="132">
        <v>45</v>
      </c>
      <c r="H392" s="139" t="s">
        <v>18</v>
      </c>
      <c r="I392" s="132">
        <v>10</v>
      </c>
      <c r="J392" s="132">
        <v>53</v>
      </c>
      <c r="K392" s="132">
        <v>19</v>
      </c>
      <c r="L392" s="139" t="s">
        <v>12</v>
      </c>
      <c r="M392" s="132"/>
      <c r="N392" s="141"/>
      <c r="O392" s="141"/>
      <c r="P392" s="141"/>
      <c r="Q392" s="141"/>
      <c r="R392" s="141"/>
      <c r="S392" s="141"/>
      <c r="T392" s="141"/>
      <c r="U392" s="141"/>
      <c r="V392" s="141"/>
      <c r="W392" s="141"/>
      <c r="X392" s="141"/>
      <c r="Y392" s="141"/>
      <c r="Z392" s="141"/>
    </row>
    <row r="393" ht="12.75" customHeight="1" spans="1:26">
      <c r="A393" s="132"/>
      <c r="B393" s="140" t="s">
        <v>788</v>
      </c>
      <c r="C393" s="132" t="s">
        <v>810</v>
      </c>
      <c r="D393" s="139" t="s">
        <v>811</v>
      </c>
      <c r="E393" s="140">
        <v>37</v>
      </c>
      <c r="F393" s="132">
        <v>28</v>
      </c>
      <c r="G393" s="132">
        <v>0</v>
      </c>
      <c r="H393" s="139" t="s">
        <v>18</v>
      </c>
      <c r="I393" s="132">
        <v>15</v>
      </c>
      <c r="J393" s="132">
        <v>3</v>
      </c>
      <c r="K393" s="132">
        <v>50</v>
      </c>
      <c r="L393" s="139" t="s">
        <v>12</v>
      </c>
      <c r="M393" s="132"/>
      <c r="N393" s="141"/>
      <c r="O393" s="141"/>
      <c r="P393" s="141"/>
      <c r="Q393" s="141"/>
      <c r="R393" s="141"/>
      <c r="S393" s="141"/>
      <c r="T393" s="141"/>
      <c r="U393" s="141"/>
      <c r="V393" s="141"/>
      <c r="W393" s="141"/>
      <c r="X393" s="141"/>
      <c r="Y393" s="141"/>
      <c r="Z393" s="141"/>
    </row>
    <row r="394" ht="12.75" customHeight="1" spans="1:26">
      <c r="A394" s="132"/>
      <c r="B394" s="140" t="s">
        <v>788</v>
      </c>
      <c r="C394" s="132" t="s">
        <v>812</v>
      </c>
      <c r="D394" s="139" t="s">
        <v>813</v>
      </c>
      <c r="E394" s="140">
        <v>38</v>
      </c>
      <c r="F394" s="132">
        <v>10</v>
      </c>
      <c r="G394" s="132">
        <v>55</v>
      </c>
      <c r="H394" s="139" t="s">
        <v>18</v>
      </c>
      <c r="I394" s="132">
        <v>13</v>
      </c>
      <c r="J394" s="132">
        <v>5</v>
      </c>
      <c r="K394" s="132">
        <v>58</v>
      </c>
      <c r="L394" s="139" t="s">
        <v>12</v>
      </c>
      <c r="M394" s="132"/>
      <c r="N394" s="141"/>
      <c r="O394" s="141"/>
      <c r="P394" s="141"/>
      <c r="Q394" s="141"/>
      <c r="R394" s="141"/>
      <c r="S394" s="141"/>
      <c r="T394" s="141"/>
      <c r="U394" s="141"/>
      <c r="V394" s="141"/>
      <c r="W394" s="141"/>
      <c r="X394" s="141"/>
      <c r="Y394" s="141"/>
      <c r="Z394" s="141"/>
    </row>
    <row r="395" ht="12.75" customHeight="1" spans="1:26">
      <c r="A395" s="132"/>
      <c r="B395" s="140" t="s">
        <v>814</v>
      </c>
      <c r="C395" s="132" t="s">
        <v>815</v>
      </c>
      <c r="D395" s="139" t="s">
        <v>816</v>
      </c>
      <c r="E395" s="140">
        <v>17</v>
      </c>
      <c r="F395" s="132">
        <v>56</v>
      </c>
      <c r="G395" s="132">
        <v>8</v>
      </c>
      <c r="H395" s="139" t="s">
        <v>18</v>
      </c>
      <c r="I395" s="132">
        <v>76</v>
      </c>
      <c r="J395" s="132">
        <v>47</v>
      </c>
      <c r="K395" s="132">
        <v>15</v>
      </c>
      <c r="L395" s="139" t="s">
        <v>52</v>
      </c>
      <c r="M395" s="132"/>
      <c r="N395" s="141"/>
      <c r="O395" s="141"/>
      <c r="P395" s="141"/>
      <c r="Q395" s="141"/>
      <c r="R395" s="141"/>
      <c r="S395" s="141"/>
      <c r="T395" s="141"/>
      <c r="U395" s="141"/>
      <c r="V395" s="141"/>
      <c r="W395" s="141"/>
      <c r="X395" s="141"/>
      <c r="Y395" s="141"/>
      <c r="Z395" s="141"/>
    </row>
    <row r="396" ht="12.75" customHeight="1" spans="1:26">
      <c r="A396" s="132"/>
      <c r="B396" s="140" t="s">
        <v>817</v>
      </c>
      <c r="C396" s="132" t="s">
        <v>818</v>
      </c>
      <c r="D396" s="139" t="s">
        <v>819</v>
      </c>
      <c r="E396" s="140">
        <v>34</v>
      </c>
      <c r="F396" s="132">
        <v>51</v>
      </c>
      <c r="G396" s="132">
        <v>30</v>
      </c>
      <c r="H396" s="139" t="s">
        <v>18</v>
      </c>
      <c r="I396" s="132">
        <v>136</v>
      </c>
      <c r="J396" s="132">
        <v>48</v>
      </c>
      <c r="K396" s="132">
        <v>19</v>
      </c>
      <c r="L396" s="139" t="s">
        <v>12</v>
      </c>
      <c r="M396" s="132"/>
      <c r="N396" s="141"/>
      <c r="O396" s="141"/>
      <c r="P396" s="141"/>
      <c r="Q396" s="141"/>
      <c r="R396" s="141"/>
      <c r="S396" s="141"/>
      <c r="T396" s="141"/>
      <c r="U396" s="141"/>
      <c r="V396" s="141"/>
      <c r="W396" s="141"/>
      <c r="X396" s="141"/>
      <c r="Y396" s="141"/>
      <c r="Z396" s="141"/>
    </row>
    <row r="397" ht="12.75" customHeight="1" spans="1:26">
      <c r="A397" s="132"/>
      <c r="B397" s="140" t="s">
        <v>817</v>
      </c>
      <c r="C397" s="132" t="s">
        <v>820</v>
      </c>
      <c r="D397" s="139" t="s">
        <v>821</v>
      </c>
      <c r="E397" s="140">
        <v>35</v>
      </c>
      <c r="F397" s="132">
        <v>45</v>
      </c>
      <c r="G397" s="132">
        <v>55</v>
      </c>
      <c r="H397" s="139" t="s">
        <v>18</v>
      </c>
      <c r="I397" s="132">
        <v>140</v>
      </c>
      <c r="J397" s="132">
        <v>23</v>
      </c>
      <c r="K397" s="132">
        <v>8</v>
      </c>
      <c r="L397" s="139" t="s">
        <v>12</v>
      </c>
      <c r="M397" s="132"/>
      <c r="N397" s="141"/>
      <c r="O397" s="141"/>
      <c r="P397" s="141"/>
      <c r="Q397" s="141"/>
      <c r="R397" s="141"/>
      <c r="S397" s="141"/>
      <c r="T397" s="141"/>
      <c r="U397" s="141"/>
      <c r="V397" s="141"/>
      <c r="W397" s="141"/>
      <c r="X397" s="141"/>
      <c r="Y397" s="141"/>
      <c r="Z397" s="141"/>
    </row>
    <row r="398" ht="12.75" customHeight="1" spans="1:26">
      <c r="A398" s="132"/>
      <c r="B398" s="140" t="s">
        <v>817</v>
      </c>
      <c r="C398" s="132" t="s">
        <v>822</v>
      </c>
      <c r="D398" s="139" t="s">
        <v>823</v>
      </c>
      <c r="E398" s="140">
        <v>35</v>
      </c>
      <c r="F398" s="132">
        <v>33</v>
      </c>
      <c r="G398" s="132">
        <v>12</v>
      </c>
      <c r="H398" s="139" t="s">
        <v>18</v>
      </c>
      <c r="I398" s="132">
        <v>139</v>
      </c>
      <c r="J398" s="132">
        <v>46</v>
      </c>
      <c r="K398" s="132">
        <v>52</v>
      </c>
      <c r="L398" s="139" t="s">
        <v>12</v>
      </c>
      <c r="M398" s="132"/>
      <c r="N398" s="141"/>
      <c r="O398" s="141"/>
      <c r="P398" s="141"/>
      <c r="Q398" s="141"/>
      <c r="R398" s="141"/>
      <c r="S398" s="141"/>
      <c r="T398" s="141"/>
      <c r="U398" s="141"/>
      <c r="V398" s="141"/>
      <c r="W398" s="141"/>
      <c r="X398" s="141"/>
      <c r="Y398" s="141"/>
      <c r="Z398" s="141"/>
    </row>
    <row r="399" ht="12.75" customHeight="1" spans="1:26">
      <c r="A399" s="132"/>
      <c r="B399" s="140" t="s">
        <v>817</v>
      </c>
      <c r="C399" s="132" t="s">
        <v>824</v>
      </c>
      <c r="D399" s="139" t="s">
        <v>825</v>
      </c>
      <c r="E399" s="140">
        <v>33</v>
      </c>
      <c r="F399" s="132">
        <v>57</v>
      </c>
      <c r="G399" s="132">
        <v>0</v>
      </c>
      <c r="H399" s="139" t="s">
        <v>18</v>
      </c>
      <c r="I399" s="132">
        <v>133</v>
      </c>
      <c r="J399" s="132">
        <v>18</v>
      </c>
      <c r="K399" s="132">
        <v>0</v>
      </c>
      <c r="L399" s="139" t="s">
        <v>12</v>
      </c>
      <c r="M399" s="132"/>
      <c r="N399" s="141"/>
      <c r="O399" s="141"/>
      <c r="P399" s="141"/>
      <c r="Q399" s="141"/>
      <c r="R399" s="141"/>
      <c r="S399" s="141"/>
      <c r="T399" s="141"/>
      <c r="U399" s="141"/>
      <c r="V399" s="141"/>
      <c r="W399" s="141"/>
      <c r="X399" s="141"/>
      <c r="Y399" s="141"/>
      <c r="Z399" s="141"/>
    </row>
    <row r="400" ht="12.75" customHeight="1" spans="1:26">
      <c r="A400" s="132"/>
      <c r="B400" s="140" t="s">
        <v>817</v>
      </c>
      <c r="C400" s="132" t="s">
        <v>826</v>
      </c>
      <c r="D400" s="139" t="s">
        <v>827</v>
      </c>
      <c r="E400" s="140">
        <v>42</v>
      </c>
      <c r="F400" s="132">
        <v>46</v>
      </c>
      <c r="G400" s="132">
        <v>31</v>
      </c>
      <c r="H400" s="139" t="s">
        <v>18</v>
      </c>
      <c r="I400" s="132">
        <v>141</v>
      </c>
      <c r="J400" s="132">
        <v>41</v>
      </c>
      <c r="K400" s="132">
        <v>33</v>
      </c>
      <c r="L400" s="139" t="s">
        <v>12</v>
      </c>
      <c r="M400" s="132"/>
      <c r="N400" s="141"/>
      <c r="O400" s="141"/>
      <c r="P400" s="141"/>
      <c r="Q400" s="141"/>
      <c r="R400" s="141"/>
      <c r="S400" s="141"/>
      <c r="T400" s="141"/>
      <c r="U400" s="141"/>
      <c r="V400" s="141"/>
      <c r="W400" s="141"/>
      <c r="X400" s="141"/>
      <c r="Y400" s="141"/>
      <c r="Z400" s="141"/>
    </row>
    <row r="401" ht="12.75" customHeight="1" spans="1:26">
      <c r="A401" s="132"/>
      <c r="B401" s="140" t="s">
        <v>817</v>
      </c>
      <c r="C401" s="132" t="s">
        <v>828</v>
      </c>
      <c r="D401" s="139" t="s">
        <v>829</v>
      </c>
      <c r="E401" s="140">
        <v>33</v>
      </c>
      <c r="F401" s="132">
        <v>35</v>
      </c>
      <c r="G401" s="132">
        <v>4</v>
      </c>
      <c r="H401" s="139" t="s">
        <v>18</v>
      </c>
      <c r="I401" s="132">
        <v>130</v>
      </c>
      <c r="J401" s="132">
        <v>27</v>
      </c>
      <c r="K401" s="132">
        <v>6</v>
      </c>
      <c r="L401" s="139" t="s">
        <v>12</v>
      </c>
      <c r="M401" s="132"/>
      <c r="N401" s="141"/>
      <c r="O401" s="141"/>
      <c r="P401" s="141"/>
      <c r="Q401" s="141"/>
      <c r="R401" s="141"/>
      <c r="S401" s="141"/>
      <c r="T401" s="141"/>
      <c r="U401" s="141"/>
      <c r="V401" s="141"/>
      <c r="W401" s="141"/>
      <c r="X401" s="141"/>
      <c r="Y401" s="141"/>
      <c r="Z401" s="141"/>
    </row>
    <row r="402" ht="12.75" customHeight="1" spans="1:26">
      <c r="A402" s="132"/>
      <c r="B402" s="140" t="s">
        <v>817</v>
      </c>
      <c r="C402" s="132" t="s">
        <v>830</v>
      </c>
      <c r="D402" s="139" t="s">
        <v>831</v>
      </c>
      <c r="E402" s="140">
        <v>34</v>
      </c>
      <c r="F402" s="132">
        <v>26</v>
      </c>
      <c r="G402" s="132">
        <v>3</v>
      </c>
      <c r="H402" s="139" t="s">
        <v>18</v>
      </c>
      <c r="I402" s="132">
        <v>135</v>
      </c>
      <c r="J402" s="132">
        <v>13</v>
      </c>
      <c r="K402" s="132">
        <v>58</v>
      </c>
      <c r="L402" s="139" t="s">
        <v>12</v>
      </c>
      <c r="M402" s="132"/>
      <c r="N402" s="141"/>
      <c r="O402" s="141"/>
      <c r="P402" s="141"/>
      <c r="Q402" s="141"/>
      <c r="R402" s="141"/>
      <c r="S402" s="141"/>
      <c r="T402" s="141"/>
      <c r="U402" s="141"/>
      <c r="V402" s="141"/>
      <c r="W402" s="141"/>
      <c r="X402" s="141"/>
      <c r="Y402" s="141"/>
      <c r="Z402" s="141"/>
    </row>
    <row r="403" ht="12.75" customHeight="1" spans="1:26">
      <c r="A403" s="132"/>
      <c r="B403" s="140" t="s">
        <v>817</v>
      </c>
      <c r="C403" s="132" t="s">
        <v>832</v>
      </c>
      <c r="D403" s="139" t="s">
        <v>833</v>
      </c>
      <c r="E403" s="140">
        <v>36</v>
      </c>
      <c r="F403" s="132">
        <v>23</v>
      </c>
      <c r="G403" s="132">
        <v>38</v>
      </c>
      <c r="H403" s="139" t="s">
        <v>18</v>
      </c>
      <c r="I403" s="132">
        <v>136</v>
      </c>
      <c r="J403" s="132">
        <v>24</v>
      </c>
      <c r="K403" s="132">
        <v>27</v>
      </c>
      <c r="L403" s="139" t="s">
        <v>12</v>
      </c>
      <c r="M403" s="132"/>
      <c r="N403" s="141"/>
      <c r="O403" s="141"/>
      <c r="P403" s="141"/>
      <c r="Q403" s="141"/>
      <c r="R403" s="141"/>
      <c r="S403" s="141"/>
      <c r="T403" s="141"/>
      <c r="U403" s="141"/>
      <c r="V403" s="141"/>
      <c r="W403" s="141"/>
      <c r="X403" s="141"/>
      <c r="Y403" s="141"/>
      <c r="Z403" s="141"/>
    </row>
    <row r="404" ht="12.75" customHeight="1" spans="1:26">
      <c r="A404" s="132"/>
      <c r="B404" s="140" t="s">
        <v>834</v>
      </c>
      <c r="C404" s="132" t="s">
        <v>835</v>
      </c>
      <c r="D404" s="139" t="s">
        <v>836</v>
      </c>
      <c r="E404" s="140">
        <v>31</v>
      </c>
      <c r="F404" s="132">
        <v>58</v>
      </c>
      <c r="G404" s="132">
        <v>21</v>
      </c>
      <c r="H404" s="139" t="s">
        <v>18</v>
      </c>
      <c r="I404" s="132">
        <v>35</v>
      </c>
      <c r="J404" s="132">
        <v>59</v>
      </c>
      <c r="K404" s="132">
        <v>36</v>
      </c>
      <c r="L404" s="139" t="s">
        <v>12</v>
      </c>
      <c r="M404" s="132"/>
      <c r="N404" s="141"/>
      <c r="O404" s="141"/>
      <c r="P404" s="141"/>
      <c r="Q404" s="141"/>
      <c r="R404" s="141"/>
      <c r="S404" s="141"/>
      <c r="T404" s="141"/>
      <c r="U404" s="141"/>
      <c r="V404" s="141"/>
      <c r="W404" s="141"/>
      <c r="X404" s="141"/>
      <c r="Y404" s="141"/>
      <c r="Z404" s="141"/>
    </row>
    <row r="405" ht="12.75" customHeight="1" spans="1:26">
      <c r="A405" s="132"/>
      <c r="B405" s="140" t="s">
        <v>837</v>
      </c>
      <c r="C405" s="132" t="s">
        <v>838</v>
      </c>
      <c r="D405" s="139" t="s">
        <v>839</v>
      </c>
      <c r="E405" s="140">
        <v>33</v>
      </c>
      <c r="F405" s="132">
        <v>49</v>
      </c>
      <c r="G405" s="132">
        <v>15</v>
      </c>
      <c r="H405" s="139" t="s">
        <v>18</v>
      </c>
      <c r="I405" s="132">
        <v>35</v>
      </c>
      <c r="J405" s="132">
        <v>29</v>
      </c>
      <c r="K405" s="132">
        <v>18</v>
      </c>
      <c r="L405" s="139" t="s">
        <v>12</v>
      </c>
      <c r="M405" s="132"/>
      <c r="N405" s="141"/>
      <c r="O405" s="141"/>
      <c r="P405" s="141"/>
      <c r="Q405" s="141"/>
      <c r="R405" s="141"/>
      <c r="S405" s="141"/>
      <c r="T405" s="141"/>
      <c r="U405" s="141"/>
      <c r="V405" s="141"/>
      <c r="W405" s="141"/>
      <c r="X405" s="141"/>
      <c r="Y405" s="141"/>
      <c r="Z405" s="141"/>
    </row>
    <row r="406" ht="12.75" customHeight="1" spans="1:26">
      <c r="A406" s="132"/>
      <c r="B406" s="140" t="s">
        <v>840</v>
      </c>
      <c r="C406" s="132" t="s">
        <v>841</v>
      </c>
      <c r="D406" s="139" t="s">
        <v>840</v>
      </c>
      <c r="E406" s="140">
        <v>49</v>
      </c>
      <c r="F406" s="132">
        <v>37</v>
      </c>
      <c r="G406" s="132">
        <v>24</v>
      </c>
      <c r="H406" s="139" t="s">
        <v>18</v>
      </c>
      <c r="I406" s="132">
        <v>6</v>
      </c>
      <c r="J406" s="132">
        <v>12</v>
      </c>
      <c r="K406" s="132">
        <v>16</v>
      </c>
      <c r="L406" s="139" t="s">
        <v>12</v>
      </c>
      <c r="M406" s="132"/>
      <c r="N406" s="141"/>
      <c r="O406" s="141"/>
      <c r="P406" s="141"/>
      <c r="Q406" s="141"/>
      <c r="R406" s="141"/>
      <c r="S406" s="141"/>
      <c r="T406" s="141"/>
      <c r="U406" s="141"/>
      <c r="V406" s="141"/>
      <c r="W406" s="141"/>
      <c r="X406" s="141"/>
      <c r="Y406" s="141"/>
      <c r="Z406" s="141"/>
    </row>
    <row r="407" ht="12.75" customHeight="1" spans="1:26">
      <c r="A407" s="132"/>
      <c r="B407" s="140" t="s">
        <v>842</v>
      </c>
      <c r="C407" s="132" t="s">
        <v>843</v>
      </c>
      <c r="D407" s="139" t="s">
        <v>844</v>
      </c>
      <c r="E407" s="140">
        <v>2</v>
      </c>
      <c r="F407" s="132">
        <v>44</v>
      </c>
      <c r="G407" s="132">
        <v>44</v>
      </c>
      <c r="H407" s="139" t="s">
        <v>18</v>
      </c>
      <c r="I407" s="132">
        <v>101</v>
      </c>
      <c r="J407" s="132">
        <v>42</v>
      </c>
      <c r="K407" s="132">
        <v>36</v>
      </c>
      <c r="L407" s="139" t="s">
        <v>12</v>
      </c>
      <c r="M407" s="132"/>
      <c r="N407" s="141"/>
      <c r="O407" s="141"/>
      <c r="P407" s="141"/>
      <c r="Q407" s="141"/>
      <c r="R407" s="141"/>
      <c r="S407" s="141"/>
      <c r="T407" s="141"/>
      <c r="U407" s="141"/>
      <c r="V407" s="141"/>
      <c r="W407" s="141"/>
      <c r="X407" s="141"/>
      <c r="Y407" s="141"/>
      <c r="Z407" s="141"/>
    </row>
    <row r="408" ht="12.75" customHeight="1" spans="1:26">
      <c r="A408" s="132"/>
      <c r="B408" s="140" t="s">
        <v>845</v>
      </c>
      <c r="C408" s="132" t="s">
        <v>846</v>
      </c>
      <c r="D408" s="139" t="s">
        <v>845</v>
      </c>
      <c r="E408" s="140">
        <v>35</v>
      </c>
      <c r="F408" s="132">
        <v>51</v>
      </c>
      <c r="G408" s="132">
        <v>27</v>
      </c>
      <c r="H408" s="139" t="s">
        <v>18</v>
      </c>
      <c r="I408" s="132">
        <v>14</v>
      </c>
      <c r="J408" s="132">
        <v>28</v>
      </c>
      <c r="K408" s="132">
        <v>39</v>
      </c>
      <c r="L408" s="139" t="s">
        <v>12</v>
      </c>
      <c r="M408" s="132"/>
      <c r="N408" s="141"/>
      <c r="O408" s="141"/>
      <c r="P408" s="141"/>
      <c r="Q408" s="141"/>
      <c r="R408" s="141"/>
      <c r="S408" s="141"/>
      <c r="T408" s="141"/>
      <c r="U408" s="141"/>
      <c r="V408" s="141"/>
      <c r="W408" s="141"/>
      <c r="X408" s="141"/>
      <c r="Y408" s="141"/>
      <c r="Z408" s="141"/>
    </row>
    <row r="409" ht="12.75" customHeight="1" spans="1:26">
      <c r="A409" s="132"/>
      <c r="B409" s="140" t="s">
        <v>847</v>
      </c>
      <c r="C409" s="132" t="s">
        <v>848</v>
      </c>
      <c r="D409" s="139" t="s">
        <v>849</v>
      </c>
      <c r="E409" s="140">
        <v>33</v>
      </c>
      <c r="F409" s="132">
        <v>35</v>
      </c>
      <c r="G409" s="132">
        <v>25</v>
      </c>
      <c r="H409" s="139" t="s">
        <v>18</v>
      </c>
      <c r="I409" s="132">
        <v>7</v>
      </c>
      <c r="J409" s="132">
        <v>39</v>
      </c>
      <c r="K409" s="132">
        <v>38</v>
      </c>
      <c r="L409" s="139" t="s">
        <v>52</v>
      </c>
      <c r="M409" s="132"/>
      <c r="N409" s="141"/>
      <c r="O409" s="141"/>
      <c r="P409" s="141"/>
      <c r="Q409" s="141"/>
      <c r="R409" s="141"/>
      <c r="S409" s="141"/>
      <c r="T409" s="141"/>
      <c r="U409" s="141"/>
      <c r="V409" s="141"/>
      <c r="W409" s="141"/>
      <c r="X409" s="141"/>
      <c r="Y409" s="141"/>
      <c r="Z409" s="141"/>
    </row>
    <row r="410" ht="12.75" customHeight="1" spans="1:26">
      <c r="A410" s="132"/>
      <c r="B410" s="140" t="s">
        <v>847</v>
      </c>
      <c r="C410" s="132" t="s">
        <v>850</v>
      </c>
      <c r="D410" s="139" t="s">
        <v>849</v>
      </c>
      <c r="E410" s="140">
        <v>33</v>
      </c>
      <c r="F410" s="132">
        <v>22</v>
      </c>
      <c r="G410" s="132">
        <v>3</v>
      </c>
      <c r="H410" s="139" t="s">
        <v>18</v>
      </c>
      <c r="I410" s="132">
        <v>7</v>
      </c>
      <c r="J410" s="132">
        <v>35</v>
      </c>
      <c r="K410" s="132">
        <v>24</v>
      </c>
      <c r="L410" s="139" t="s">
        <v>52</v>
      </c>
      <c r="M410" s="132"/>
      <c r="N410" s="141"/>
      <c r="O410" s="141"/>
      <c r="P410" s="141"/>
      <c r="Q410" s="141"/>
      <c r="R410" s="141"/>
      <c r="S410" s="141"/>
      <c r="T410" s="141"/>
      <c r="U410" s="141"/>
      <c r="V410" s="141"/>
      <c r="W410" s="141"/>
      <c r="X410" s="141"/>
      <c r="Y410" s="141"/>
      <c r="Z410" s="141"/>
    </row>
    <row r="411" ht="12.75" customHeight="1" spans="1:26">
      <c r="A411" s="132"/>
      <c r="B411" s="140" t="s">
        <v>847</v>
      </c>
      <c r="C411" s="132" t="s">
        <v>851</v>
      </c>
      <c r="D411" s="139" t="s">
        <v>852</v>
      </c>
      <c r="E411" s="140">
        <v>31</v>
      </c>
      <c r="F411" s="132">
        <v>36</v>
      </c>
      <c r="G411" s="132">
        <v>31</v>
      </c>
      <c r="H411" s="139" t="s">
        <v>18</v>
      </c>
      <c r="I411" s="132">
        <v>8</v>
      </c>
      <c r="J411" s="132">
        <v>2</v>
      </c>
      <c r="K411" s="132">
        <v>27</v>
      </c>
      <c r="L411" s="139" t="s">
        <v>52</v>
      </c>
      <c r="M411" s="132"/>
      <c r="N411" s="141"/>
      <c r="O411" s="141"/>
      <c r="P411" s="141"/>
      <c r="Q411" s="141"/>
      <c r="R411" s="141"/>
      <c r="S411" s="141"/>
      <c r="T411" s="141"/>
      <c r="U411" s="141"/>
      <c r="V411" s="141"/>
      <c r="W411" s="141"/>
      <c r="X411" s="141"/>
      <c r="Y411" s="141"/>
      <c r="Z411" s="141"/>
    </row>
    <row r="412" ht="12.75" customHeight="1" spans="1:26">
      <c r="A412" s="132"/>
      <c r="B412" s="140" t="s">
        <v>853</v>
      </c>
      <c r="C412" s="132" t="s">
        <v>854</v>
      </c>
      <c r="D412" s="139" t="s">
        <v>855</v>
      </c>
      <c r="E412" s="140">
        <v>29</v>
      </c>
      <c r="F412" s="132">
        <v>5</v>
      </c>
      <c r="G412" s="132">
        <v>45</v>
      </c>
      <c r="H412" s="139" t="s">
        <v>18</v>
      </c>
      <c r="I412" s="132">
        <v>111</v>
      </c>
      <c r="J412" s="132">
        <v>2</v>
      </c>
      <c r="K412" s="132">
        <v>52</v>
      </c>
      <c r="L412" s="139" t="s">
        <v>52</v>
      </c>
      <c r="M412" s="132"/>
      <c r="N412" s="141"/>
      <c r="O412" s="141"/>
      <c r="P412" s="141"/>
      <c r="Q412" s="141"/>
      <c r="R412" s="141"/>
      <c r="S412" s="141"/>
      <c r="T412" s="141"/>
      <c r="U412" s="141"/>
      <c r="V412" s="141"/>
      <c r="W412" s="141"/>
      <c r="X412" s="141"/>
      <c r="Y412" s="141"/>
      <c r="Z412" s="141"/>
    </row>
    <row r="413" ht="12.75" customHeight="1" spans="1:26">
      <c r="A413" s="132"/>
      <c r="B413" s="140" t="s">
        <v>856</v>
      </c>
      <c r="C413" s="132" t="s">
        <v>857</v>
      </c>
      <c r="D413" s="139" t="s">
        <v>858</v>
      </c>
      <c r="E413" s="140">
        <v>16</v>
      </c>
      <c r="F413" s="132">
        <v>45</v>
      </c>
      <c r="G413" s="132">
        <v>25</v>
      </c>
      <c r="H413" s="139" t="s">
        <v>18</v>
      </c>
      <c r="I413" s="132">
        <v>99</v>
      </c>
      <c r="J413" s="132">
        <v>45</v>
      </c>
      <c r="K413" s="132">
        <v>13</v>
      </c>
      <c r="L413" s="139" t="s">
        <v>52</v>
      </c>
      <c r="M413" s="132"/>
      <c r="N413" s="141"/>
      <c r="O413" s="141"/>
      <c r="P413" s="141"/>
      <c r="Q413" s="141"/>
      <c r="R413" s="141"/>
      <c r="S413" s="141"/>
      <c r="T413" s="141"/>
      <c r="U413" s="141"/>
      <c r="V413" s="141"/>
      <c r="W413" s="141"/>
      <c r="X413" s="141"/>
      <c r="Y413" s="141"/>
      <c r="Z413" s="141"/>
    </row>
    <row r="414" ht="12.75" customHeight="1" spans="1:26">
      <c r="A414" s="132"/>
      <c r="B414" s="140" t="s">
        <v>856</v>
      </c>
      <c r="C414" s="132" t="s">
        <v>859</v>
      </c>
      <c r="D414" s="139" t="s">
        <v>860</v>
      </c>
      <c r="E414" s="140">
        <v>21</v>
      </c>
      <c r="F414" s="132">
        <v>2</v>
      </c>
      <c r="G414" s="132">
        <v>12</v>
      </c>
      <c r="H414" s="139" t="s">
        <v>18</v>
      </c>
      <c r="I414" s="132">
        <v>86</v>
      </c>
      <c r="J414" s="132">
        <v>52</v>
      </c>
      <c r="K414" s="132">
        <v>37</v>
      </c>
      <c r="L414" s="139" t="s">
        <v>52</v>
      </c>
      <c r="M414" s="132"/>
      <c r="N414" s="141"/>
      <c r="O414" s="141"/>
      <c r="P414" s="141"/>
      <c r="Q414" s="141"/>
      <c r="R414" s="141"/>
      <c r="S414" s="141"/>
      <c r="T414" s="141"/>
      <c r="U414" s="141"/>
      <c r="V414" s="141"/>
      <c r="W414" s="141"/>
      <c r="X414" s="141"/>
      <c r="Y414" s="141"/>
      <c r="Z414" s="141"/>
    </row>
    <row r="415" ht="12.75" customHeight="1" spans="1:26">
      <c r="A415" s="132"/>
      <c r="B415" s="140" t="s">
        <v>856</v>
      </c>
      <c r="C415" s="132" t="s">
        <v>861</v>
      </c>
      <c r="D415" s="139" t="s">
        <v>862</v>
      </c>
      <c r="E415" s="140">
        <v>19</v>
      </c>
      <c r="F415" s="132">
        <v>26</v>
      </c>
      <c r="G415" s="132">
        <v>11</v>
      </c>
      <c r="H415" s="139" t="s">
        <v>18</v>
      </c>
      <c r="I415" s="132">
        <v>99</v>
      </c>
      <c r="J415" s="132">
        <v>4</v>
      </c>
      <c r="K415" s="132">
        <v>20</v>
      </c>
      <c r="L415" s="139" t="s">
        <v>52</v>
      </c>
      <c r="M415" s="132"/>
      <c r="N415" s="141"/>
      <c r="O415" s="141"/>
      <c r="P415" s="141"/>
      <c r="Q415" s="141"/>
      <c r="R415" s="141"/>
      <c r="S415" s="141"/>
      <c r="T415" s="141"/>
      <c r="U415" s="141"/>
      <c r="V415" s="141"/>
      <c r="W415" s="141"/>
      <c r="X415" s="141"/>
      <c r="Y415" s="141"/>
      <c r="Z415" s="141"/>
    </row>
    <row r="416" ht="12.75" customHeight="1" spans="1:26">
      <c r="A416" s="132"/>
      <c r="B416" s="140" t="s">
        <v>856</v>
      </c>
      <c r="C416" s="132" t="s">
        <v>863</v>
      </c>
      <c r="D416" s="139" t="s">
        <v>864</v>
      </c>
      <c r="E416" s="140">
        <v>31</v>
      </c>
      <c r="F416" s="132">
        <v>38</v>
      </c>
      <c r="G416" s="132">
        <v>10</v>
      </c>
      <c r="H416" s="139" t="s">
        <v>18</v>
      </c>
      <c r="I416" s="132">
        <v>106</v>
      </c>
      <c r="J416" s="132">
        <v>25</v>
      </c>
      <c r="K416" s="132">
        <v>43</v>
      </c>
      <c r="L416" s="139" t="s">
        <v>52</v>
      </c>
      <c r="M416" s="132"/>
      <c r="N416" s="141"/>
      <c r="O416" s="141"/>
      <c r="P416" s="141"/>
      <c r="Q416" s="141"/>
      <c r="R416" s="141"/>
      <c r="S416" s="141"/>
      <c r="T416" s="141"/>
      <c r="U416" s="141"/>
      <c r="V416" s="141"/>
      <c r="W416" s="141"/>
      <c r="X416" s="141"/>
      <c r="Y416" s="141"/>
      <c r="Z416" s="141"/>
    </row>
    <row r="417" ht="12.75" customHeight="1" spans="1:26">
      <c r="A417" s="132"/>
      <c r="B417" s="140" t="s">
        <v>856</v>
      </c>
      <c r="C417" s="132" t="s">
        <v>865</v>
      </c>
      <c r="D417" s="139" t="s">
        <v>866</v>
      </c>
      <c r="E417" s="140">
        <v>21</v>
      </c>
      <c r="F417" s="132">
        <v>27</v>
      </c>
      <c r="G417" s="132">
        <v>17</v>
      </c>
      <c r="H417" s="139" t="s">
        <v>18</v>
      </c>
      <c r="I417" s="132">
        <v>103</v>
      </c>
      <c r="J417" s="132">
        <v>18</v>
      </c>
      <c r="K417" s="132">
        <v>4</v>
      </c>
      <c r="L417" s="139" t="s">
        <v>52</v>
      </c>
      <c r="M417" s="132"/>
      <c r="N417" s="141"/>
      <c r="O417" s="141"/>
      <c r="P417" s="141"/>
      <c r="Q417" s="141"/>
      <c r="R417" s="141"/>
      <c r="S417" s="141"/>
      <c r="T417" s="141"/>
      <c r="U417" s="141"/>
      <c r="V417" s="141"/>
      <c r="W417" s="141"/>
      <c r="X417" s="141"/>
      <c r="Y417" s="141"/>
      <c r="Z417" s="141"/>
    </row>
    <row r="418" ht="12.75" customHeight="1" spans="1:26">
      <c r="A418" s="132"/>
      <c r="B418" s="140" t="s">
        <v>856</v>
      </c>
      <c r="C418" s="132" t="s">
        <v>867</v>
      </c>
      <c r="D418" s="139" t="s">
        <v>868</v>
      </c>
      <c r="E418" s="140">
        <v>22</v>
      </c>
      <c r="F418" s="132">
        <v>3</v>
      </c>
      <c r="G418" s="132">
        <v>25</v>
      </c>
      <c r="H418" s="139" t="s">
        <v>18</v>
      </c>
      <c r="I418" s="132">
        <v>104</v>
      </c>
      <c r="J418" s="132">
        <v>4</v>
      </c>
      <c r="K418" s="132">
        <v>15</v>
      </c>
      <c r="L418" s="139" t="s">
        <v>52</v>
      </c>
      <c r="M418" s="132"/>
      <c r="N418" s="141"/>
      <c r="O418" s="141"/>
      <c r="P418" s="141"/>
      <c r="Q418" s="141"/>
      <c r="R418" s="141"/>
      <c r="S418" s="141"/>
      <c r="T418" s="141"/>
      <c r="U418" s="141"/>
      <c r="V418" s="141"/>
      <c r="W418" s="141"/>
      <c r="X418" s="141"/>
      <c r="Y418" s="141"/>
      <c r="Z418" s="141"/>
    </row>
    <row r="419" ht="12.75" customHeight="1" spans="1:26">
      <c r="A419" s="132"/>
      <c r="B419" s="140" t="s">
        <v>856</v>
      </c>
      <c r="C419" s="132" t="s">
        <v>869</v>
      </c>
      <c r="D419" s="139" t="s">
        <v>870</v>
      </c>
      <c r="E419" s="140">
        <v>20</v>
      </c>
      <c r="F419" s="132">
        <v>59</v>
      </c>
      <c r="G419" s="132">
        <v>36</v>
      </c>
      <c r="H419" s="139" t="s">
        <v>18</v>
      </c>
      <c r="I419" s="132">
        <v>101</v>
      </c>
      <c r="J419" s="132">
        <v>28</v>
      </c>
      <c r="K419" s="132">
        <v>51</v>
      </c>
      <c r="L419" s="139" t="s">
        <v>52</v>
      </c>
      <c r="M419" s="132"/>
      <c r="N419" s="141"/>
      <c r="O419" s="141"/>
      <c r="P419" s="141"/>
      <c r="Q419" s="141"/>
      <c r="R419" s="141"/>
      <c r="S419" s="141"/>
      <c r="T419" s="141"/>
      <c r="U419" s="141"/>
      <c r="V419" s="141"/>
      <c r="W419" s="141"/>
      <c r="X419" s="141"/>
      <c r="Y419" s="141"/>
      <c r="Z419" s="141"/>
    </row>
    <row r="420" ht="12.75" customHeight="1" spans="1:26">
      <c r="A420" s="132"/>
      <c r="B420" s="140" t="s">
        <v>856</v>
      </c>
      <c r="C420" s="132" t="s">
        <v>871</v>
      </c>
      <c r="D420" s="139" t="s">
        <v>872</v>
      </c>
      <c r="E420" s="140">
        <v>25</v>
      </c>
      <c r="F420" s="132">
        <v>46</v>
      </c>
      <c r="G420" s="132">
        <v>42</v>
      </c>
      <c r="H420" s="139" t="s">
        <v>18</v>
      </c>
      <c r="I420" s="132">
        <v>100</v>
      </c>
      <c r="J420" s="132">
        <v>6</v>
      </c>
      <c r="K420" s="132">
        <v>23</v>
      </c>
      <c r="L420" s="139" t="s">
        <v>52</v>
      </c>
      <c r="M420" s="132"/>
      <c r="N420" s="141"/>
      <c r="O420" s="141"/>
      <c r="P420" s="141"/>
      <c r="Q420" s="141"/>
      <c r="R420" s="141"/>
      <c r="S420" s="141"/>
      <c r="T420" s="141"/>
      <c r="U420" s="141"/>
      <c r="V420" s="141"/>
      <c r="W420" s="141"/>
      <c r="X420" s="141"/>
      <c r="Y420" s="141"/>
      <c r="Z420" s="141"/>
    </row>
    <row r="421" ht="12.75" customHeight="1" spans="1:26">
      <c r="A421" s="132"/>
      <c r="B421" s="140" t="s">
        <v>856</v>
      </c>
      <c r="C421" s="132" t="s">
        <v>873</v>
      </c>
      <c r="D421" s="139" t="s">
        <v>874</v>
      </c>
      <c r="E421" s="140">
        <v>27</v>
      </c>
      <c r="F421" s="132">
        <v>27</v>
      </c>
      <c r="G421" s="132">
        <v>0</v>
      </c>
      <c r="H421" s="139" t="s">
        <v>18</v>
      </c>
      <c r="I421" s="132">
        <v>99</v>
      </c>
      <c r="J421" s="132">
        <v>31</v>
      </c>
      <c r="K421" s="132">
        <v>0</v>
      </c>
      <c r="L421" s="139" t="s">
        <v>52</v>
      </c>
      <c r="M421" s="132"/>
      <c r="N421" s="141"/>
      <c r="O421" s="141"/>
      <c r="P421" s="141"/>
      <c r="Q421" s="141"/>
      <c r="R421" s="141"/>
      <c r="S421" s="141"/>
      <c r="T421" s="141"/>
      <c r="U421" s="141"/>
      <c r="V421" s="141"/>
      <c r="W421" s="141"/>
      <c r="X421" s="141"/>
      <c r="Y421" s="141"/>
      <c r="Z421" s="141"/>
    </row>
    <row r="422" ht="12.75" customHeight="1" spans="1:26">
      <c r="A422" s="132"/>
      <c r="B422" s="140" t="s">
        <v>856</v>
      </c>
      <c r="C422" s="132" t="s">
        <v>875</v>
      </c>
      <c r="D422" s="139" t="s">
        <v>876</v>
      </c>
      <c r="E422" s="140">
        <v>25</v>
      </c>
      <c r="F422" s="132">
        <v>34</v>
      </c>
      <c r="G422" s="132">
        <v>6</v>
      </c>
      <c r="H422" s="139" t="s">
        <v>18</v>
      </c>
      <c r="I422" s="132">
        <v>103</v>
      </c>
      <c r="J422" s="132">
        <v>24</v>
      </c>
      <c r="K422" s="132">
        <v>38</v>
      </c>
      <c r="L422" s="139" t="s">
        <v>52</v>
      </c>
      <c r="M422" s="132"/>
      <c r="N422" s="141"/>
      <c r="O422" s="141"/>
      <c r="P422" s="141"/>
      <c r="Q422" s="141"/>
      <c r="R422" s="141"/>
      <c r="S422" s="141"/>
      <c r="T422" s="141"/>
      <c r="U422" s="141"/>
      <c r="V422" s="141"/>
      <c r="W422" s="141"/>
      <c r="X422" s="141"/>
      <c r="Y422" s="141"/>
      <c r="Z422" s="141"/>
    </row>
    <row r="423" ht="12.75" customHeight="1" spans="1:26">
      <c r="A423" s="132"/>
      <c r="B423" s="140" t="s">
        <v>877</v>
      </c>
      <c r="C423" s="132" t="s">
        <v>878</v>
      </c>
      <c r="D423" s="139" t="s">
        <v>879</v>
      </c>
      <c r="E423" s="140">
        <v>25</v>
      </c>
      <c r="F423" s="132">
        <v>55</v>
      </c>
      <c r="G423" s="132">
        <v>15</v>
      </c>
      <c r="H423" s="139" t="s">
        <v>11</v>
      </c>
      <c r="I423" s="132">
        <v>32</v>
      </c>
      <c r="J423" s="132">
        <v>34</v>
      </c>
      <c r="K423" s="132">
        <v>21</v>
      </c>
      <c r="L423" s="139" t="s">
        <v>12</v>
      </c>
      <c r="M423" s="132"/>
      <c r="N423" s="141"/>
      <c r="O423" s="141"/>
      <c r="P423" s="141"/>
      <c r="Q423" s="141"/>
      <c r="R423" s="141"/>
      <c r="S423" s="141"/>
      <c r="T423" s="141"/>
      <c r="U423" s="141"/>
      <c r="V423" s="141"/>
      <c r="W423" s="141"/>
      <c r="X423" s="141"/>
      <c r="Y423" s="141"/>
      <c r="Z423" s="141"/>
    </row>
    <row r="424" ht="12.75" customHeight="1" spans="1:26">
      <c r="A424" s="132"/>
      <c r="B424" s="140" t="s">
        <v>880</v>
      </c>
      <c r="C424" s="132" t="s">
        <v>881</v>
      </c>
      <c r="D424" s="139" t="s">
        <v>882</v>
      </c>
      <c r="E424" s="140">
        <v>12</v>
      </c>
      <c r="F424" s="132">
        <v>8</v>
      </c>
      <c r="G424" s="132">
        <v>29</v>
      </c>
      <c r="H424" s="139" t="s">
        <v>18</v>
      </c>
      <c r="I424" s="132">
        <v>86</v>
      </c>
      <c r="J424" s="132">
        <v>10</v>
      </c>
      <c r="K424" s="132">
        <v>6</v>
      </c>
      <c r="L424" s="139" t="s">
        <v>52</v>
      </c>
      <c r="M424" s="132"/>
      <c r="N424" s="141"/>
      <c r="O424" s="141"/>
      <c r="P424" s="141"/>
      <c r="Q424" s="141"/>
      <c r="R424" s="141"/>
      <c r="S424" s="141"/>
      <c r="T424" s="141"/>
      <c r="U424" s="141"/>
      <c r="V424" s="141"/>
      <c r="W424" s="141"/>
      <c r="X424" s="141"/>
      <c r="Y424" s="141"/>
      <c r="Z424" s="141"/>
    </row>
    <row r="425" ht="12.75" customHeight="1" spans="1:26">
      <c r="A425" s="132"/>
      <c r="B425" s="140" t="s">
        <v>883</v>
      </c>
      <c r="C425" s="132" t="s">
        <v>884</v>
      </c>
      <c r="D425" s="139" t="s">
        <v>885</v>
      </c>
      <c r="E425" s="140">
        <v>60</v>
      </c>
      <c r="F425" s="132">
        <v>11</v>
      </c>
      <c r="G425" s="132">
        <v>38</v>
      </c>
      <c r="H425" s="139" t="s">
        <v>18</v>
      </c>
      <c r="I425" s="132">
        <v>11</v>
      </c>
      <c r="J425" s="132">
        <v>6</v>
      </c>
      <c r="K425" s="132">
        <v>1</v>
      </c>
      <c r="L425" s="139" t="s">
        <v>12</v>
      </c>
      <c r="M425" s="132"/>
      <c r="N425" s="141"/>
      <c r="O425" s="141"/>
      <c r="P425" s="141"/>
      <c r="Q425" s="141"/>
      <c r="R425" s="141"/>
      <c r="S425" s="141"/>
      <c r="T425" s="141"/>
      <c r="U425" s="141"/>
      <c r="V425" s="141"/>
      <c r="W425" s="141"/>
      <c r="X425" s="141"/>
      <c r="Y425" s="141"/>
      <c r="Z425" s="141"/>
    </row>
    <row r="426" ht="12.75" customHeight="1" spans="1:26">
      <c r="A426" s="132"/>
      <c r="B426" s="140" t="s">
        <v>883</v>
      </c>
      <c r="C426" s="132" t="s">
        <v>886</v>
      </c>
      <c r="D426" s="139" t="s">
        <v>887</v>
      </c>
      <c r="E426" s="140">
        <v>59</v>
      </c>
      <c r="F426" s="132">
        <v>47</v>
      </c>
      <c r="G426" s="132">
        <v>34</v>
      </c>
      <c r="H426" s="139" t="s">
        <v>18</v>
      </c>
      <c r="I426" s="132">
        <v>5</v>
      </c>
      <c r="J426" s="132">
        <v>20</v>
      </c>
      <c r="K426" s="132">
        <v>23</v>
      </c>
      <c r="L426" s="139" t="s">
        <v>12</v>
      </c>
      <c r="M426" s="132"/>
      <c r="N426" s="141"/>
      <c r="O426" s="141"/>
      <c r="P426" s="141"/>
      <c r="Q426" s="141"/>
      <c r="R426" s="141"/>
      <c r="S426" s="141"/>
      <c r="T426" s="141"/>
      <c r="U426" s="141"/>
      <c r="V426" s="141"/>
      <c r="W426" s="141"/>
      <c r="X426" s="141"/>
      <c r="Y426" s="141"/>
      <c r="Z426" s="141"/>
    </row>
    <row r="427" ht="12.75" customHeight="1" spans="1:26">
      <c r="A427" s="132"/>
      <c r="B427" s="140" t="s">
        <v>883</v>
      </c>
      <c r="C427" s="132" t="s">
        <v>888</v>
      </c>
      <c r="D427" s="139" t="s">
        <v>889</v>
      </c>
      <c r="E427" s="140">
        <v>69</v>
      </c>
      <c r="F427" s="132">
        <v>58</v>
      </c>
      <c r="G427" s="132">
        <v>34</v>
      </c>
      <c r="H427" s="139" t="s">
        <v>18</v>
      </c>
      <c r="I427" s="132">
        <v>23</v>
      </c>
      <c r="J427" s="132">
        <v>22</v>
      </c>
      <c r="K427" s="132">
        <v>18</v>
      </c>
      <c r="L427" s="139" t="s">
        <v>12</v>
      </c>
      <c r="M427" s="132"/>
      <c r="N427" s="141"/>
      <c r="O427" s="141"/>
      <c r="P427" s="141"/>
      <c r="Q427" s="141"/>
      <c r="R427" s="141"/>
      <c r="S427" s="141"/>
      <c r="T427" s="141"/>
      <c r="U427" s="141"/>
      <c r="V427" s="141"/>
      <c r="W427" s="141"/>
      <c r="X427" s="141"/>
      <c r="Y427" s="141"/>
      <c r="Z427" s="141"/>
    </row>
    <row r="428" ht="12.75" customHeight="1" spans="1:26">
      <c r="A428" s="132"/>
      <c r="B428" s="140" t="s">
        <v>883</v>
      </c>
      <c r="C428" s="132" t="s">
        <v>890</v>
      </c>
      <c r="D428" s="139" t="s">
        <v>891</v>
      </c>
      <c r="E428" s="140">
        <v>60</v>
      </c>
      <c r="F428" s="132">
        <v>17</v>
      </c>
      <c r="G428" s="132">
        <v>13</v>
      </c>
      <c r="H428" s="139" t="s">
        <v>18</v>
      </c>
      <c r="I428" s="132">
        <v>5</v>
      </c>
      <c r="J428" s="132">
        <v>13</v>
      </c>
      <c r="K428" s="132">
        <v>5</v>
      </c>
      <c r="L428" s="139" t="s">
        <v>12</v>
      </c>
      <c r="M428" s="132"/>
      <c r="N428" s="141"/>
      <c r="O428" s="141"/>
      <c r="P428" s="141"/>
      <c r="Q428" s="141"/>
      <c r="R428" s="141"/>
      <c r="S428" s="141"/>
      <c r="T428" s="141"/>
      <c r="U428" s="141"/>
      <c r="V428" s="141"/>
      <c r="W428" s="141"/>
      <c r="X428" s="141"/>
      <c r="Y428" s="141"/>
      <c r="Z428" s="141"/>
    </row>
    <row r="429" ht="12.75" customHeight="1" spans="1:26">
      <c r="A429" s="132"/>
      <c r="B429" s="140" t="s">
        <v>892</v>
      </c>
      <c r="C429" s="132" t="s">
        <v>893</v>
      </c>
      <c r="D429" s="139" t="s">
        <v>894</v>
      </c>
      <c r="E429" s="140">
        <v>41</v>
      </c>
      <c r="F429" s="132">
        <v>19</v>
      </c>
      <c r="G429" s="132">
        <v>38</v>
      </c>
      <c r="H429" s="139" t="s">
        <v>11</v>
      </c>
      <c r="I429" s="132">
        <v>174</v>
      </c>
      <c r="J429" s="132">
        <v>48</v>
      </c>
      <c r="K429" s="132">
        <v>19</v>
      </c>
      <c r="L429" s="139" t="s">
        <v>12</v>
      </c>
      <c r="M429" s="132"/>
      <c r="N429" s="141"/>
      <c r="O429" s="141"/>
      <c r="P429" s="141"/>
      <c r="Q429" s="141"/>
      <c r="R429" s="141"/>
      <c r="S429" s="141"/>
      <c r="T429" s="141"/>
      <c r="U429" s="141"/>
      <c r="V429" s="141"/>
      <c r="W429" s="141"/>
      <c r="X429" s="141"/>
      <c r="Y429" s="141"/>
      <c r="Z429" s="141"/>
    </row>
    <row r="430" ht="12.75" customHeight="1" spans="1:26">
      <c r="A430" s="132"/>
      <c r="B430" s="140" t="s">
        <v>892</v>
      </c>
      <c r="C430" s="132" t="s">
        <v>895</v>
      </c>
      <c r="D430" s="139" t="s">
        <v>896</v>
      </c>
      <c r="E430" s="140">
        <v>37</v>
      </c>
      <c r="F430" s="132">
        <v>0</v>
      </c>
      <c r="G430" s="132">
        <v>29</v>
      </c>
      <c r="H430" s="139" t="s">
        <v>11</v>
      </c>
      <c r="I430" s="132">
        <v>174</v>
      </c>
      <c r="J430" s="132">
        <v>47</v>
      </c>
      <c r="K430" s="132">
        <v>30</v>
      </c>
      <c r="L430" s="139" t="s">
        <v>12</v>
      </c>
      <c r="M430" s="132"/>
      <c r="N430" s="141"/>
      <c r="O430" s="141"/>
      <c r="P430" s="141"/>
      <c r="Q430" s="141"/>
      <c r="R430" s="141"/>
      <c r="S430" s="141"/>
      <c r="T430" s="141"/>
      <c r="U430" s="141"/>
      <c r="V430" s="141"/>
      <c r="W430" s="141"/>
      <c r="X430" s="141"/>
      <c r="Y430" s="141"/>
      <c r="Z430" s="141"/>
    </row>
    <row r="431" ht="12.75" customHeight="1" spans="1:26">
      <c r="A431" s="132"/>
      <c r="B431" s="140" t="s">
        <v>892</v>
      </c>
      <c r="C431" s="132" t="s">
        <v>897</v>
      </c>
      <c r="D431" s="139" t="s">
        <v>898</v>
      </c>
      <c r="E431" s="140">
        <v>45</v>
      </c>
      <c r="F431" s="132">
        <v>55</v>
      </c>
      <c r="G431" s="132">
        <v>41</v>
      </c>
      <c r="H431" s="139" t="s">
        <v>11</v>
      </c>
      <c r="I431" s="132">
        <v>170</v>
      </c>
      <c r="J431" s="132">
        <v>11</v>
      </c>
      <c r="K431" s="132">
        <v>54</v>
      </c>
      <c r="L431" s="139" t="s">
        <v>12</v>
      </c>
      <c r="M431" s="132"/>
      <c r="N431" s="141"/>
      <c r="O431" s="141"/>
      <c r="P431" s="141"/>
      <c r="Q431" s="141"/>
      <c r="R431" s="141"/>
      <c r="S431" s="141"/>
      <c r="T431" s="141"/>
      <c r="U431" s="141"/>
      <c r="V431" s="141"/>
      <c r="W431" s="141"/>
      <c r="X431" s="141"/>
      <c r="Y431" s="141"/>
      <c r="Z431" s="141"/>
    </row>
    <row r="432" ht="12.75" customHeight="1" spans="1:26">
      <c r="A432" s="132"/>
      <c r="B432" s="140" t="s">
        <v>899</v>
      </c>
      <c r="C432" s="132" t="s">
        <v>900</v>
      </c>
      <c r="D432" s="139" t="s">
        <v>901</v>
      </c>
      <c r="E432" s="140">
        <v>51</v>
      </c>
      <c r="F432" s="132">
        <v>23</v>
      </c>
      <c r="G432" s="132">
        <v>48</v>
      </c>
      <c r="H432" s="139" t="s">
        <v>18</v>
      </c>
      <c r="I432" s="132">
        <v>3</v>
      </c>
      <c r="J432" s="132">
        <v>20</v>
      </c>
      <c r="K432" s="132">
        <v>36</v>
      </c>
      <c r="L432" s="139" t="s">
        <v>52</v>
      </c>
      <c r="M432" s="132"/>
      <c r="N432" s="141"/>
      <c r="O432" s="141"/>
      <c r="P432" s="141"/>
      <c r="Q432" s="141"/>
      <c r="R432" s="141"/>
      <c r="S432" s="141"/>
      <c r="T432" s="141"/>
      <c r="U432" s="141"/>
      <c r="V432" s="141"/>
      <c r="W432" s="141"/>
      <c r="X432" s="141"/>
      <c r="Y432" s="141"/>
      <c r="Z432" s="141"/>
    </row>
    <row r="433" ht="12.75" customHeight="1" spans="1:26">
      <c r="A433" s="132"/>
      <c r="B433" s="140" t="s">
        <v>902</v>
      </c>
      <c r="C433" s="132" t="s">
        <v>903</v>
      </c>
      <c r="D433" s="139" t="s">
        <v>904</v>
      </c>
      <c r="E433" s="140">
        <v>52</v>
      </c>
      <c r="F433" s="132">
        <v>18</v>
      </c>
      <c r="G433" s="132">
        <v>31</v>
      </c>
      <c r="H433" s="139" t="s">
        <v>18</v>
      </c>
      <c r="I433" s="132">
        <v>4</v>
      </c>
      <c r="J433" s="132">
        <v>45</v>
      </c>
      <c r="K433" s="132">
        <v>50</v>
      </c>
      <c r="L433" s="139" t="s">
        <v>12</v>
      </c>
      <c r="M433" s="132"/>
      <c r="N433" s="141"/>
      <c r="O433" s="141"/>
      <c r="P433" s="141"/>
      <c r="Q433" s="141"/>
      <c r="R433" s="141"/>
      <c r="S433" s="141"/>
      <c r="T433" s="141"/>
      <c r="U433" s="141"/>
      <c r="V433" s="141"/>
      <c r="W433" s="141"/>
      <c r="X433" s="141"/>
      <c r="Y433" s="141"/>
      <c r="Z433" s="141"/>
    </row>
    <row r="434" ht="12.75" customHeight="1" spans="1:26">
      <c r="A434" s="132"/>
      <c r="B434" s="140" t="s">
        <v>902</v>
      </c>
      <c r="C434" s="132" t="s">
        <v>905</v>
      </c>
      <c r="D434" s="139" t="s">
        <v>906</v>
      </c>
      <c r="E434" s="140">
        <v>51</v>
      </c>
      <c r="F434" s="132">
        <v>57</v>
      </c>
      <c r="G434" s="132">
        <v>25</v>
      </c>
      <c r="H434" s="139" t="s">
        <v>18</v>
      </c>
      <c r="I434" s="132">
        <v>4</v>
      </c>
      <c r="J434" s="132">
        <v>26</v>
      </c>
      <c r="K434" s="132">
        <v>14</v>
      </c>
      <c r="L434" s="139" t="s">
        <v>12</v>
      </c>
      <c r="M434" s="132"/>
      <c r="N434" s="141"/>
      <c r="O434" s="141"/>
      <c r="P434" s="141"/>
      <c r="Q434" s="141"/>
      <c r="R434" s="141"/>
      <c r="S434" s="141"/>
      <c r="T434" s="141"/>
      <c r="U434" s="141"/>
      <c r="V434" s="141"/>
      <c r="W434" s="141"/>
      <c r="X434" s="141"/>
      <c r="Y434" s="141"/>
      <c r="Z434" s="141"/>
    </row>
    <row r="435" ht="12.75" customHeight="1" spans="1:26">
      <c r="A435" s="132"/>
      <c r="B435" s="140" t="s">
        <v>902</v>
      </c>
      <c r="C435" s="132" t="s">
        <v>907</v>
      </c>
      <c r="D435" s="139" t="s">
        <v>908</v>
      </c>
      <c r="E435" s="140">
        <v>53</v>
      </c>
      <c r="F435" s="132">
        <v>7</v>
      </c>
      <c r="G435" s="132">
        <v>30</v>
      </c>
      <c r="H435" s="139" t="s">
        <v>18</v>
      </c>
      <c r="I435" s="132">
        <v>6</v>
      </c>
      <c r="J435" s="132">
        <v>35</v>
      </c>
      <c r="K435" s="132">
        <v>0</v>
      </c>
      <c r="L435" s="139" t="s">
        <v>12</v>
      </c>
      <c r="M435" s="132"/>
      <c r="N435" s="141"/>
      <c r="O435" s="141"/>
      <c r="P435" s="141"/>
      <c r="Q435" s="141"/>
      <c r="R435" s="141"/>
      <c r="S435" s="141"/>
      <c r="T435" s="141"/>
      <c r="U435" s="141"/>
      <c r="V435" s="141"/>
      <c r="W435" s="141"/>
      <c r="X435" s="141"/>
      <c r="Y435" s="141"/>
      <c r="Z435" s="141"/>
    </row>
    <row r="436" ht="12.75" customHeight="1" spans="1:26">
      <c r="A436" s="132"/>
      <c r="B436" s="140" t="s">
        <v>909</v>
      </c>
      <c r="C436" s="132" t="s">
        <v>910</v>
      </c>
      <c r="D436" s="139" t="s">
        <v>911</v>
      </c>
      <c r="E436" s="140">
        <v>9</v>
      </c>
      <c r="F436" s="132">
        <v>4</v>
      </c>
      <c r="G436" s="132">
        <v>17</v>
      </c>
      <c r="H436" s="139" t="s">
        <v>18</v>
      </c>
      <c r="I436" s="132">
        <v>79</v>
      </c>
      <c r="J436" s="132">
        <v>23</v>
      </c>
      <c r="K436" s="132">
        <v>0</v>
      </c>
      <c r="L436" s="139" t="s">
        <v>52</v>
      </c>
      <c r="M436" s="132"/>
      <c r="N436" s="141"/>
      <c r="O436" s="141"/>
      <c r="P436" s="141"/>
      <c r="Q436" s="141"/>
      <c r="R436" s="141"/>
      <c r="S436" s="141"/>
      <c r="T436" s="141"/>
      <c r="U436" s="141"/>
      <c r="V436" s="141"/>
      <c r="W436" s="141"/>
      <c r="X436" s="141"/>
      <c r="Y436" s="141"/>
      <c r="Z436" s="141"/>
    </row>
    <row r="437" ht="12.75" customHeight="1" spans="1:26">
      <c r="A437" s="132"/>
      <c r="B437" s="140" t="s">
        <v>912</v>
      </c>
      <c r="C437" s="132" t="s">
        <v>913</v>
      </c>
      <c r="D437" s="139" t="s">
        <v>914</v>
      </c>
      <c r="E437" s="140">
        <v>9</v>
      </c>
      <c r="F437" s="132">
        <v>59</v>
      </c>
      <c r="G437" s="132">
        <v>0</v>
      </c>
      <c r="H437" s="139" t="s">
        <v>11</v>
      </c>
      <c r="I437" s="132">
        <v>149</v>
      </c>
      <c r="J437" s="132">
        <v>50</v>
      </c>
      <c r="K437" s="132">
        <v>0</v>
      </c>
      <c r="L437" s="139" t="s">
        <v>12</v>
      </c>
      <c r="M437" s="132"/>
      <c r="N437" s="141"/>
      <c r="O437" s="141"/>
      <c r="P437" s="141"/>
      <c r="Q437" s="141"/>
      <c r="R437" s="141"/>
      <c r="S437" s="141"/>
      <c r="T437" s="141"/>
      <c r="U437" s="141"/>
      <c r="V437" s="141"/>
      <c r="W437" s="141"/>
      <c r="X437" s="141"/>
      <c r="Y437" s="141"/>
      <c r="Z437" s="141"/>
    </row>
    <row r="438" ht="12.75" customHeight="1" spans="1:26">
      <c r="A438" s="132"/>
      <c r="B438" s="140" t="s">
        <v>912</v>
      </c>
      <c r="C438" s="132" t="s">
        <v>915</v>
      </c>
      <c r="D438" s="139" t="s">
        <v>916</v>
      </c>
      <c r="E438" s="140">
        <v>5</v>
      </c>
      <c r="F438" s="132">
        <v>37</v>
      </c>
      <c r="G438" s="132">
        <v>42</v>
      </c>
      <c r="H438" s="139" t="s">
        <v>11</v>
      </c>
      <c r="I438" s="132">
        <v>146</v>
      </c>
      <c r="J438" s="132">
        <v>27</v>
      </c>
      <c r="K438" s="132">
        <v>54</v>
      </c>
      <c r="L438" s="139" t="s">
        <v>12</v>
      </c>
      <c r="M438" s="132"/>
      <c r="N438" s="141"/>
      <c r="O438" s="141"/>
      <c r="P438" s="141"/>
      <c r="Q438" s="141"/>
      <c r="R438" s="141"/>
      <c r="S438" s="141"/>
      <c r="T438" s="141"/>
      <c r="U438" s="141"/>
      <c r="V438" s="141"/>
      <c r="W438" s="141"/>
      <c r="X438" s="141"/>
      <c r="Y438" s="141"/>
      <c r="Z438" s="141"/>
    </row>
    <row r="439" ht="12.75" customHeight="1" spans="1:26">
      <c r="A439" s="132"/>
      <c r="B439" s="140" t="s">
        <v>912</v>
      </c>
      <c r="C439" s="132" t="s">
        <v>917</v>
      </c>
      <c r="D439" s="139" t="s">
        <v>918</v>
      </c>
      <c r="E439" s="140">
        <v>10</v>
      </c>
      <c r="F439" s="132">
        <v>18</v>
      </c>
      <c r="G439" s="132">
        <v>38</v>
      </c>
      <c r="H439" s="139" t="s">
        <v>11</v>
      </c>
      <c r="I439" s="132">
        <v>150</v>
      </c>
      <c r="J439" s="132">
        <v>20</v>
      </c>
      <c r="K439" s="132">
        <v>3</v>
      </c>
      <c r="L439" s="139" t="s">
        <v>12</v>
      </c>
      <c r="M439" s="132"/>
      <c r="N439" s="141"/>
      <c r="O439" s="141"/>
      <c r="P439" s="141"/>
      <c r="Q439" s="141"/>
      <c r="R439" s="141"/>
      <c r="S439" s="141"/>
      <c r="T439" s="141"/>
      <c r="U439" s="141"/>
      <c r="V439" s="141"/>
      <c r="W439" s="141"/>
      <c r="X439" s="141"/>
      <c r="Y439" s="141"/>
      <c r="Z439" s="141"/>
    </row>
    <row r="440" ht="12.75" customHeight="1" spans="1:26">
      <c r="A440" s="132"/>
      <c r="B440" s="140" t="s">
        <v>919</v>
      </c>
      <c r="C440" s="132" t="s">
        <v>920</v>
      </c>
      <c r="D440" s="139" t="s">
        <v>921</v>
      </c>
      <c r="E440" s="140">
        <v>34</v>
      </c>
      <c r="F440" s="132">
        <v>48</v>
      </c>
      <c r="G440" s="132">
        <v>48</v>
      </c>
      <c r="H440" s="139" t="s">
        <v>18</v>
      </c>
      <c r="I440" s="132">
        <v>72</v>
      </c>
      <c r="J440" s="132">
        <v>21</v>
      </c>
      <c r="K440" s="132">
        <v>8</v>
      </c>
      <c r="L440" s="139" t="s">
        <v>12</v>
      </c>
      <c r="M440" s="132"/>
      <c r="N440" s="141"/>
      <c r="O440" s="141"/>
      <c r="P440" s="141"/>
      <c r="Q440" s="141"/>
      <c r="R440" s="141"/>
      <c r="S440" s="141"/>
      <c r="T440" s="141"/>
      <c r="U440" s="141"/>
      <c r="V440" s="141"/>
      <c r="W440" s="141"/>
      <c r="X440" s="141"/>
      <c r="Y440" s="141"/>
      <c r="Z440" s="141"/>
    </row>
    <row r="441" ht="12.75" customHeight="1" spans="1:26">
      <c r="A441" s="132"/>
      <c r="B441" s="140" t="s">
        <v>922</v>
      </c>
      <c r="C441" s="132" t="s">
        <v>923</v>
      </c>
      <c r="D441" s="139" t="s">
        <v>924</v>
      </c>
      <c r="E441" s="140">
        <v>25</v>
      </c>
      <c r="F441" s="132">
        <v>14</v>
      </c>
      <c r="G441" s="132">
        <v>23</v>
      </c>
      <c r="H441" s="139" t="s">
        <v>11</v>
      </c>
      <c r="I441" s="132">
        <v>57</v>
      </c>
      <c r="J441" s="132">
        <v>31</v>
      </c>
      <c r="K441" s="132">
        <v>9</v>
      </c>
      <c r="L441" s="139" t="s">
        <v>52</v>
      </c>
      <c r="M441" s="132"/>
      <c r="N441" s="141"/>
      <c r="O441" s="141"/>
      <c r="P441" s="141"/>
      <c r="Q441" s="141"/>
      <c r="R441" s="141"/>
      <c r="S441" s="141"/>
      <c r="T441" s="141"/>
      <c r="U441" s="141"/>
      <c r="V441" s="141"/>
      <c r="W441" s="141"/>
      <c r="X441" s="141"/>
      <c r="Y441" s="141"/>
      <c r="Z441" s="141"/>
    </row>
    <row r="442" ht="12.75" customHeight="1" spans="1:26">
      <c r="A442" s="132"/>
      <c r="B442" s="140" t="s">
        <v>922</v>
      </c>
      <c r="C442" s="132" t="s">
        <v>925</v>
      </c>
      <c r="D442" s="139" t="s">
        <v>926</v>
      </c>
      <c r="E442" s="140">
        <v>25</v>
      </c>
      <c r="F442" s="132">
        <v>27</v>
      </c>
      <c r="G442" s="132">
        <v>36</v>
      </c>
      <c r="H442" s="139" t="s">
        <v>11</v>
      </c>
      <c r="I442" s="132">
        <v>54</v>
      </c>
      <c r="J442" s="132">
        <v>50</v>
      </c>
      <c r="K442" s="132">
        <v>24</v>
      </c>
      <c r="L442" s="139" t="s">
        <v>52</v>
      </c>
      <c r="M442" s="132"/>
      <c r="N442" s="141"/>
      <c r="O442" s="141"/>
      <c r="P442" s="141"/>
      <c r="Q442" s="141"/>
      <c r="R442" s="141"/>
      <c r="S442" s="141"/>
      <c r="T442" s="141"/>
      <c r="U442" s="141"/>
      <c r="V442" s="141"/>
      <c r="W442" s="141"/>
      <c r="X442" s="141"/>
      <c r="Y442" s="141"/>
      <c r="Z442" s="141"/>
    </row>
    <row r="443" ht="12.75" customHeight="1" spans="1:26">
      <c r="A443" s="132"/>
      <c r="B443" s="140" t="s">
        <v>927</v>
      </c>
      <c r="C443" s="132" t="s">
        <v>928</v>
      </c>
      <c r="D443" s="139" t="s">
        <v>929</v>
      </c>
      <c r="E443" s="140">
        <v>13</v>
      </c>
      <c r="F443" s="132">
        <v>32</v>
      </c>
      <c r="G443" s="132">
        <v>9</v>
      </c>
      <c r="H443" s="139" t="s">
        <v>11</v>
      </c>
      <c r="I443" s="132">
        <v>71</v>
      </c>
      <c r="J443" s="132">
        <v>56</v>
      </c>
      <c r="K443" s="132">
        <v>20</v>
      </c>
      <c r="L443" s="139" t="s">
        <v>52</v>
      </c>
      <c r="M443" s="132"/>
      <c r="N443" s="141"/>
      <c r="O443" s="141"/>
      <c r="P443" s="141"/>
      <c r="Q443" s="141"/>
      <c r="R443" s="141"/>
      <c r="S443" s="141"/>
      <c r="T443" s="141"/>
      <c r="U443" s="141"/>
      <c r="V443" s="141"/>
      <c r="W443" s="141"/>
      <c r="X443" s="141"/>
      <c r="Y443" s="141"/>
      <c r="Z443" s="141"/>
    </row>
    <row r="444" ht="12.75" customHeight="1" spans="1:26">
      <c r="A444" s="132"/>
      <c r="B444" s="140" t="s">
        <v>927</v>
      </c>
      <c r="C444" s="132" t="s">
        <v>930</v>
      </c>
      <c r="D444" s="139" t="s">
        <v>931</v>
      </c>
      <c r="E444" s="140">
        <v>12</v>
      </c>
      <c r="F444" s="132">
        <v>1</v>
      </c>
      <c r="G444" s="132">
        <v>19</v>
      </c>
      <c r="H444" s="139" t="s">
        <v>11</v>
      </c>
      <c r="I444" s="132">
        <v>77</v>
      </c>
      <c r="J444" s="132">
        <v>6</v>
      </c>
      <c r="K444" s="132">
        <v>52</v>
      </c>
      <c r="L444" s="139" t="s">
        <v>52</v>
      </c>
      <c r="M444" s="132"/>
      <c r="N444" s="141"/>
      <c r="O444" s="141"/>
      <c r="P444" s="141"/>
      <c r="Q444" s="141"/>
      <c r="R444" s="141"/>
      <c r="S444" s="141"/>
      <c r="T444" s="141"/>
      <c r="U444" s="141"/>
      <c r="V444" s="141"/>
      <c r="W444" s="141"/>
      <c r="X444" s="141"/>
      <c r="Y444" s="141"/>
      <c r="Z444" s="141"/>
    </row>
    <row r="445" ht="12.75" customHeight="1" spans="1:26">
      <c r="A445" s="132"/>
      <c r="B445" s="140" t="s">
        <v>927</v>
      </c>
      <c r="C445" s="132" t="s">
        <v>932</v>
      </c>
      <c r="D445" s="139" t="s">
        <v>933</v>
      </c>
      <c r="E445" s="140">
        <v>16</v>
      </c>
      <c r="F445" s="132">
        <v>20</v>
      </c>
      <c r="G445" s="132">
        <v>26</v>
      </c>
      <c r="H445" s="139" t="s">
        <v>11</v>
      </c>
      <c r="I445" s="132">
        <v>71</v>
      </c>
      <c r="J445" s="132">
        <v>34</v>
      </c>
      <c r="K445" s="132">
        <v>15</v>
      </c>
      <c r="L445" s="139" t="s">
        <v>52</v>
      </c>
      <c r="M445" s="132"/>
      <c r="N445" s="141"/>
      <c r="O445" s="141"/>
      <c r="P445" s="141"/>
      <c r="Q445" s="141"/>
      <c r="R445" s="141"/>
      <c r="S445" s="141"/>
      <c r="T445" s="141"/>
      <c r="U445" s="141"/>
      <c r="V445" s="141"/>
      <c r="W445" s="141"/>
      <c r="X445" s="141"/>
      <c r="Y445" s="141"/>
      <c r="Z445" s="141"/>
    </row>
    <row r="446" ht="12.75" customHeight="1" spans="1:26">
      <c r="A446" s="132"/>
      <c r="B446" s="140" t="s">
        <v>927</v>
      </c>
      <c r="C446" s="132" t="s">
        <v>934</v>
      </c>
      <c r="D446" s="139" t="s">
        <v>935</v>
      </c>
      <c r="E446" s="140">
        <v>8</v>
      </c>
      <c r="F446" s="132">
        <v>4</v>
      </c>
      <c r="G446" s="132">
        <v>54</v>
      </c>
      <c r="H446" s="139" t="s">
        <v>11</v>
      </c>
      <c r="I446" s="132">
        <v>79</v>
      </c>
      <c r="J446" s="132">
        <v>6</v>
      </c>
      <c r="K446" s="132">
        <v>31</v>
      </c>
      <c r="L446" s="139" t="s">
        <v>52</v>
      </c>
      <c r="M446" s="132"/>
      <c r="N446" s="141"/>
      <c r="O446" s="141"/>
      <c r="P446" s="141"/>
      <c r="Q446" s="141"/>
      <c r="R446" s="141"/>
      <c r="S446" s="141"/>
      <c r="T446" s="141"/>
      <c r="U446" s="141"/>
      <c r="V446" s="141"/>
      <c r="W446" s="141"/>
      <c r="X446" s="141"/>
      <c r="Y446" s="141"/>
      <c r="Z446" s="141"/>
    </row>
    <row r="447" ht="12.75" customHeight="1" spans="1:26">
      <c r="A447" s="132"/>
      <c r="B447" s="140" t="s">
        <v>936</v>
      </c>
      <c r="C447" s="132" t="s">
        <v>937</v>
      </c>
      <c r="D447" s="139" t="s">
        <v>938</v>
      </c>
      <c r="E447" s="140">
        <v>17</v>
      </c>
      <c r="F447" s="132">
        <v>21</v>
      </c>
      <c r="G447" s="132">
        <v>18</v>
      </c>
      <c r="H447" s="139" t="s">
        <v>11</v>
      </c>
      <c r="I447" s="132">
        <v>145</v>
      </c>
      <c r="J447" s="132">
        <v>30</v>
      </c>
      <c r="K447" s="132">
        <v>30</v>
      </c>
      <c r="L447" s="139" t="s">
        <v>12</v>
      </c>
      <c r="M447" s="132"/>
      <c r="N447" s="141"/>
      <c r="O447" s="141"/>
      <c r="P447" s="141"/>
      <c r="Q447" s="141"/>
      <c r="R447" s="141"/>
      <c r="S447" s="141"/>
      <c r="T447" s="141"/>
      <c r="U447" s="141"/>
      <c r="V447" s="141"/>
      <c r="W447" s="141"/>
      <c r="X447" s="141"/>
      <c r="Y447" s="141"/>
      <c r="Z447" s="141"/>
    </row>
    <row r="448" ht="12.75" customHeight="1" spans="1:26">
      <c r="A448" s="132"/>
      <c r="B448" s="140" t="s">
        <v>936</v>
      </c>
      <c r="C448" s="132" t="s">
        <v>939</v>
      </c>
      <c r="D448" s="139" t="s">
        <v>940</v>
      </c>
      <c r="E448" s="140">
        <v>16</v>
      </c>
      <c r="F448" s="132">
        <v>25</v>
      </c>
      <c r="G448" s="132">
        <v>35</v>
      </c>
      <c r="H448" s="139" t="s">
        <v>11</v>
      </c>
      <c r="I448" s="132">
        <v>152</v>
      </c>
      <c r="J448" s="132">
        <v>14</v>
      </c>
      <c r="K448" s="132">
        <v>37</v>
      </c>
      <c r="L448" s="139" t="s">
        <v>52</v>
      </c>
      <c r="M448" s="132"/>
      <c r="N448" s="141"/>
      <c r="O448" s="141"/>
      <c r="P448" s="141"/>
      <c r="Q448" s="141"/>
      <c r="R448" s="141"/>
      <c r="S448" s="141"/>
      <c r="T448" s="141"/>
      <c r="U448" s="141"/>
      <c r="V448" s="141"/>
      <c r="W448" s="141"/>
      <c r="X448" s="141"/>
      <c r="Y448" s="141"/>
      <c r="Z448" s="141"/>
    </row>
    <row r="449" ht="12.75" customHeight="1" spans="1:26">
      <c r="A449" s="132"/>
      <c r="B449" s="140" t="s">
        <v>941</v>
      </c>
      <c r="C449" s="132" t="s">
        <v>942</v>
      </c>
      <c r="D449" s="139" t="s">
        <v>943</v>
      </c>
      <c r="E449" s="140">
        <v>50</v>
      </c>
      <c r="F449" s="132">
        <v>5</v>
      </c>
      <c r="G449" s="132">
        <v>19</v>
      </c>
      <c r="H449" s="139" t="s">
        <v>18</v>
      </c>
      <c r="I449" s="132">
        <v>20</v>
      </c>
      <c r="J449" s="132">
        <v>13</v>
      </c>
      <c r="K449" s="132">
        <v>14</v>
      </c>
      <c r="L449" s="139" t="s">
        <v>12</v>
      </c>
      <c r="M449" s="132"/>
      <c r="N449" s="141"/>
      <c r="O449" s="141"/>
      <c r="P449" s="141"/>
      <c r="Q449" s="141"/>
      <c r="R449" s="141"/>
      <c r="S449" s="141"/>
      <c r="T449" s="141"/>
      <c r="U449" s="141"/>
      <c r="V449" s="141"/>
      <c r="W449" s="141"/>
      <c r="X449" s="141"/>
      <c r="Y449" s="141"/>
      <c r="Z449" s="141"/>
    </row>
    <row r="450" ht="12.75" customHeight="1" spans="1:26">
      <c r="A450" s="132"/>
      <c r="B450" s="140" t="s">
        <v>941</v>
      </c>
      <c r="C450" s="132" t="s">
        <v>944</v>
      </c>
      <c r="D450" s="139" t="s">
        <v>945</v>
      </c>
      <c r="E450" s="140">
        <v>52</v>
      </c>
      <c r="F450" s="132">
        <v>9</v>
      </c>
      <c r="G450" s="132">
        <v>57</v>
      </c>
      <c r="H450" s="139" t="s">
        <v>18</v>
      </c>
      <c r="I450" s="132">
        <v>20</v>
      </c>
      <c r="J450" s="132">
        <v>58</v>
      </c>
      <c r="K450" s="132">
        <v>2</v>
      </c>
      <c r="L450" s="139" t="s">
        <v>12</v>
      </c>
      <c r="M450" s="132"/>
      <c r="N450" s="141"/>
      <c r="O450" s="141"/>
      <c r="P450" s="141"/>
      <c r="Q450" s="141"/>
      <c r="R450" s="141"/>
      <c r="S450" s="141"/>
      <c r="T450" s="141"/>
      <c r="U450" s="141"/>
      <c r="V450" s="141"/>
      <c r="W450" s="141"/>
      <c r="X450" s="141"/>
      <c r="Y450" s="141"/>
      <c r="Z450" s="141"/>
    </row>
    <row r="451" ht="12.75" customHeight="1" spans="1:26">
      <c r="A451" s="132"/>
      <c r="B451" s="140" t="s">
        <v>946</v>
      </c>
      <c r="C451" s="132" t="s">
        <v>947</v>
      </c>
      <c r="D451" s="139" t="s">
        <v>71</v>
      </c>
      <c r="E451" s="140">
        <v>18</v>
      </c>
      <c r="F451" s="132">
        <v>26</v>
      </c>
      <c r="G451" s="132">
        <v>21</v>
      </c>
      <c r="H451" s="139" t="s">
        <v>18</v>
      </c>
      <c r="I451" s="132">
        <v>66</v>
      </c>
      <c r="J451" s="132">
        <v>0</v>
      </c>
      <c r="K451" s="132">
        <v>7</v>
      </c>
      <c r="L451" s="139" t="s">
        <v>52</v>
      </c>
      <c r="M451" s="132"/>
      <c r="N451" s="141"/>
      <c r="O451" s="141"/>
      <c r="P451" s="141"/>
      <c r="Q451" s="141"/>
      <c r="R451" s="141"/>
      <c r="S451" s="141"/>
      <c r="T451" s="141"/>
      <c r="U451" s="141"/>
      <c r="V451" s="141"/>
      <c r="W451" s="141"/>
      <c r="X451" s="141"/>
      <c r="Y451" s="141"/>
      <c r="Z451" s="141"/>
    </row>
    <row r="452" ht="12.75" customHeight="1" spans="1:26">
      <c r="A452" s="132"/>
      <c r="B452" s="140" t="s">
        <v>948</v>
      </c>
      <c r="C452" s="132" t="s">
        <v>949</v>
      </c>
      <c r="D452" s="139" t="s">
        <v>950</v>
      </c>
      <c r="E452" s="140">
        <v>32</v>
      </c>
      <c r="F452" s="132">
        <v>41</v>
      </c>
      <c r="G452" s="132">
        <v>52</v>
      </c>
      <c r="H452" s="139" t="s">
        <v>18</v>
      </c>
      <c r="I452" s="132">
        <v>16</v>
      </c>
      <c r="J452" s="132">
        <v>46</v>
      </c>
      <c r="K452" s="132">
        <v>28</v>
      </c>
      <c r="L452" s="139" t="s">
        <v>52</v>
      </c>
      <c r="M452" s="132"/>
      <c r="N452" s="141"/>
      <c r="O452" s="141"/>
      <c r="P452" s="141"/>
      <c r="Q452" s="141"/>
      <c r="R452" s="141"/>
      <c r="S452" s="141"/>
      <c r="T452" s="141"/>
      <c r="U452" s="141"/>
      <c r="V452" s="141"/>
      <c r="W452" s="141"/>
      <c r="X452" s="141"/>
      <c r="Y452" s="141"/>
      <c r="Z452" s="141"/>
    </row>
    <row r="453" ht="12.75" customHeight="1" spans="1:26">
      <c r="A453" s="132"/>
      <c r="B453" s="140" t="s">
        <v>948</v>
      </c>
      <c r="C453" s="132" t="s">
        <v>951</v>
      </c>
      <c r="D453" s="139" t="s">
        <v>952</v>
      </c>
      <c r="E453" s="140">
        <v>38</v>
      </c>
      <c r="F453" s="132">
        <v>46</v>
      </c>
      <c r="G453" s="132">
        <v>53</v>
      </c>
      <c r="H453" s="139" t="s">
        <v>18</v>
      </c>
      <c r="I453" s="132">
        <v>9</v>
      </c>
      <c r="J453" s="132">
        <v>8</v>
      </c>
      <c r="K453" s="132">
        <v>9</v>
      </c>
      <c r="L453" s="139" t="s">
        <v>52</v>
      </c>
      <c r="M453" s="132"/>
      <c r="N453" s="141"/>
      <c r="O453" s="141"/>
      <c r="P453" s="141"/>
      <c r="Q453" s="141"/>
      <c r="R453" s="141"/>
      <c r="S453" s="141"/>
      <c r="T453" s="141"/>
      <c r="U453" s="141"/>
      <c r="V453" s="141"/>
      <c r="W453" s="141"/>
      <c r="X453" s="141"/>
      <c r="Y453" s="141"/>
      <c r="Z453" s="141"/>
    </row>
    <row r="454" ht="12.75" customHeight="1" spans="1:26">
      <c r="A454" s="132"/>
      <c r="B454" s="140" t="s">
        <v>948</v>
      </c>
      <c r="C454" s="132" t="s">
        <v>953</v>
      </c>
      <c r="D454" s="139" t="s">
        <v>954</v>
      </c>
      <c r="E454" s="140">
        <v>41</v>
      </c>
      <c r="F454" s="132">
        <v>14</v>
      </c>
      <c r="G454" s="132">
        <v>53</v>
      </c>
      <c r="H454" s="139" t="s">
        <v>18</v>
      </c>
      <c r="I454" s="132">
        <v>8</v>
      </c>
      <c r="J454" s="132">
        <v>40</v>
      </c>
      <c r="K454" s="132">
        <v>53</v>
      </c>
      <c r="L454" s="139" t="s">
        <v>52</v>
      </c>
      <c r="M454" s="132"/>
      <c r="N454" s="141"/>
      <c r="O454" s="141"/>
      <c r="P454" s="141"/>
      <c r="Q454" s="141"/>
      <c r="R454" s="141"/>
      <c r="S454" s="141"/>
      <c r="T454" s="141"/>
      <c r="U454" s="141"/>
      <c r="V454" s="141"/>
      <c r="W454" s="141"/>
      <c r="X454" s="141"/>
      <c r="Y454" s="141"/>
      <c r="Z454" s="141"/>
    </row>
    <row r="455" ht="12.75" customHeight="1" spans="1:26">
      <c r="A455" s="132"/>
      <c r="B455" s="140" t="s">
        <v>955</v>
      </c>
      <c r="C455" s="132" t="s">
        <v>956</v>
      </c>
      <c r="D455" s="139" t="s">
        <v>957</v>
      </c>
      <c r="E455" s="140">
        <v>0</v>
      </c>
      <c r="F455" s="132">
        <v>5</v>
      </c>
      <c r="G455" s="132">
        <v>10</v>
      </c>
      <c r="H455" s="139" t="s">
        <v>11</v>
      </c>
      <c r="I455" s="132">
        <v>34</v>
      </c>
      <c r="J455" s="132">
        <v>43</v>
      </c>
      <c r="K455" s="132">
        <v>44</v>
      </c>
      <c r="L455" s="139" t="s">
        <v>12</v>
      </c>
      <c r="M455" s="132"/>
      <c r="N455" s="141"/>
      <c r="O455" s="141"/>
      <c r="P455" s="141"/>
      <c r="Q455" s="141"/>
      <c r="R455" s="141"/>
      <c r="S455" s="141"/>
      <c r="T455" s="141"/>
      <c r="U455" s="141"/>
      <c r="V455" s="141"/>
      <c r="W455" s="141"/>
      <c r="X455" s="141"/>
      <c r="Y455" s="141"/>
      <c r="Z455" s="141"/>
    </row>
    <row r="456" ht="12.75" customHeight="1" spans="1:26">
      <c r="A456" s="132"/>
      <c r="B456" s="140" t="s">
        <v>955</v>
      </c>
      <c r="C456" s="132" t="s">
        <v>958</v>
      </c>
      <c r="D456" s="139" t="s">
        <v>959</v>
      </c>
      <c r="E456" s="140">
        <v>1</v>
      </c>
      <c r="F456" s="132">
        <v>19</v>
      </c>
      <c r="G456" s="132">
        <v>9</v>
      </c>
      <c r="H456" s="139" t="s">
        <v>11</v>
      </c>
      <c r="I456" s="132">
        <v>36</v>
      </c>
      <c r="J456" s="132">
        <v>55</v>
      </c>
      <c r="K456" s="132">
        <v>40</v>
      </c>
      <c r="L456" s="139" t="s">
        <v>12</v>
      </c>
      <c r="M456" s="132"/>
      <c r="N456" s="141"/>
      <c r="O456" s="141"/>
      <c r="P456" s="141"/>
      <c r="Q456" s="141"/>
      <c r="R456" s="141"/>
      <c r="S456" s="141"/>
      <c r="T456" s="141"/>
      <c r="U456" s="141"/>
      <c r="V456" s="141"/>
      <c r="W456" s="141"/>
      <c r="X456" s="141"/>
      <c r="Y456" s="141"/>
      <c r="Z456" s="141"/>
    </row>
    <row r="457" ht="12.75" customHeight="1" spans="1:26">
      <c r="A457" s="132"/>
      <c r="B457" s="140" t="s">
        <v>960</v>
      </c>
      <c r="C457" s="132" t="s">
        <v>961</v>
      </c>
      <c r="D457" s="139" t="s">
        <v>962</v>
      </c>
      <c r="E457" s="140">
        <v>53</v>
      </c>
      <c r="F457" s="132">
        <v>51</v>
      </c>
      <c r="G457" s="132">
        <v>57</v>
      </c>
      <c r="H457" s="139" t="s">
        <v>18</v>
      </c>
      <c r="I457" s="132">
        <v>1</v>
      </c>
      <c r="J457" s="132">
        <v>39</v>
      </c>
      <c r="K457" s="132">
        <v>38</v>
      </c>
      <c r="L457" s="139" t="s">
        <v>52</v>
      </c>
      <c r="M457" s="132"/>
      <c r="N457" s="141"/>
      <c r="O457" s="141"/>
      <c r="P457" s="141"/>
      <c r="Q457" s="141"/>
      <c r="R457" s="141"/>
      <c r="S457" s="141"/>
      <c r="T457" s="141"/>
      <c r="U457" s="141"/>
      <c r="V457" s="141"/>
      <c r="W457" s="141"/>
      <c r="X457" s="141"/>
      <c r="Y457" s="141"/>
      <c r="Z457" s="141"/>
    </row>
    <row r="458" ht="12.75" customHeight="1" spans="1:26">
      <c r="A458" s="132"/>
      <c r="B458" s="140" t="s">
        <v>960</v>
      </c>
      <c r="C458" s="132" t="s">
        <v>963</v>
      </c>
      <c r="D458" s="139" t="s">
        <v>964</v>
      </c>
      <c r="E458" s="140">
        <v>55</v>
      </c>
      <c r="F458" s="132">
        <v>52</v>
      </c>
      <c r="G458" s="132">
        <v>19</v>
      </c>
      <c r="H458" s="139" t="s">
        <v>18</v>
      </c>
      <c r="I458" s="132">
        <v>4</v>
      </c>
      <c r="J458" s="132">
        <v>25</v>
      </c>
      <c r="K458" s="132">
        <v>59</v>
      </c>
      <c r="L458" s="139" t="s">
        <v>52</v>
      </c>
      <c r="M458" s="132"/>
      <c r="N458" s="141"/>
      <c r="O458" s="141"/>
      <c r="P458" s="141"/>
      <c r="Q458" s="141"/>
      <c r="R458" s="141"/>
      <c r="S458" s="141"/>
      <c r="T458" s="141"/>
      <c r="U458" s="141"/>
      <c r="V458" s="141"/>
      <c r="W458" s="141"/>
      <c r="X458" s="141"/>
      <c r="Y458" s="141"/>
      <c r="Z458" s="141"/>
    </row>
    <row r="459" ht="12.75" customHeight="1" spans="1:26">
      <c r="A459" s="132"/>
      <c r="B459" s="140" t="s">
        <v>960</v>
      </c>
      <c r="C459" s="132" t="s">
        <v>965</v>
      </c>
      <c r="D459" s="139" t="s">
        <v>754</v>
      </c>
      <c r="E459" s="140">
        <v>51</v>
      </c>
      <c r="F459" s="132">
        <v>52</v>
      </c>
      <c r="G459" s="132">
        <v>29</v>
      </c>
      <c r="H459" s="139" t="s">
        <v>18</v>
      </c>
      <c r="I459" s="132">
        <v>0</v>
      </c>
      <c r="J459" s="132">
        <v>22</v>
      </c>
      <c r="K459" s="132">
        <v>6</v>
      </c>
      <c r="L459" s="139" t="s">
        <v>52</v>
      </c>
      <c r="M459" s="132"/>
      <c r="N459" s="141"/>
      <c r="O459" s="141"/>
      <c r="P459" s="141"/>
      <c r="Q459" s="141"/>
      <c r="R459" s="141"/>
      <c r="S459" s="141"/>
      <c r="T459" s="141"/>
      <c r="U459" s="141"/>
      <c r="V459" s="141"/>
      <c r="W459" s="141"/>
      <c r="X459" s="141"/>
      <c r="Y459" s="141"/>
      <c r="Z459" s="141"/>
    </row>
    <row r="460" ht="12.75" customHeight="1" spans="1:26">
      <c r="A460" s="132"/>
      <c r="B460" s="140" t="s">
        <v>966</v>
      </c>
      <c r="C460" s="132" t="s">
        <v>967</v>
      </c>
      <c r="D460" s="139" t="s">
        <v>968</v>
      </c>
      <c r="E460" s="140">
        <v>18</v>
      </c>
      <c r="F460" s="132">
        <v>25</v>
      </c>
      <c r="G460" s="132">
        <v>47</v>
      </c>
      <c r="H460" s="139" t="s">
        <v>18</v>
      </c>
      <c r="I460" s="132">
        <v>69</v>
      </c>
      <c r="J460" s="132">
        <v>40</v>
      </c>
      <c r="K460" s="132">
        <v>8</v>
      </c>
      <c r="L460" s="139" t="s">
        <v>52</v>
      </c>
      <c r="M460" s="132"/>
      <c r="N460" s="141"/>
      <c r="O460" s="141"/>
      <c r="P460" s="141"/>
      <c r="Q460" s="141"/>
      <c r="R460" s="141"/>
      <c r="S460" s="141"/>
      <c r="T460" s="141"/>
      <c r="U460" s="141"/>
      <c r="V460" s="141"/>
      <c r="W460" s="141"/>
      <c r="X460" s="141"/>
      <c r="Y460" s="141"/>
      <c r="Z460" s="141"/>
    </row>
    <row r="461" ht="12.75" customHeight="1" spans="1:26">
      <c r="A461" s="132"/>
      <c r="B461" s="140" t="s">
        <v>966</v>
      </c>
      <c r="C461" s="132" t="s">
        <v>969</v>
      </c>
      <c r="D461" s="139" t="s">
        <v>970</v>
      </c>
      <c r="E461" s="140">
        <v>18</v>
      </c>
      <c r="F461" s="132">
        <v>34</v>
      </c>
      <c r="G461" s="132">
        <v>15</v>
      </c>
      <c r="H461" s="139" t="s">
        <v>18</v>
      </c>
      <c r="I461" s="132">
        <v>68</v>
      </c>
      <c r="J461" s="132">
        <v>21</v>
      </c>
      <c r="K461" s="132">
        <v>58</v>
      </c>
      <c r="L461" s="139" t="s">
        <v>52</v>
      </c>
      <c r="M461" s="132"/>
      <c r="N461" s="141"/>
      <c r="O461" s="141"/>
      <c r="P461" s="141"/>
      <c r="Q461" s="141"/>
      <c r="R461" s="141"/>
      <c r="S461" s="141"/>
      <c r="T461" s="141"/>
      <c r="U461" s="141"/>
      <c r="V461" s="141"/>
      <c r="W461" s="141"/>
      <c r="X461" s="141"/>
      <c r="Y461" s="141"/>
      <c r="Z461" s="141"/>
    </row>
    <row r="462" ht="12.75" customHeight="1" spans="1:26">
      <c r="A462" s="132"/>
      <c r="B462" s="140" t="s">
        <v>971</v>
      </c>
      <c r="C462" s="132" t="s">
        <v>972</v>
      </c>
      <c r="D462" s="139" t="s">
        <v>973</v>
      </c>
      <c r="E462" s="140">
        <v>50</v>
      </c>
      <c r="F462" s="132">
        <v>6</v>
      </c>
      <c r="G462" s="132">
        <v>3</v>
      </c>
      <c r="H462" s="139" t="s">
        <v>18</v>
      </c>
      <c r="I462" s="132">
        <v>14</v>
      </c>
      <c r="J462" s="132">
        <v>15</v>
      </c>
      <c r="K462" s="132">
        <v>36</v>
      </c>
      <c r="L462" s="139" t="s">
        <v>12</v>
      </c>
      <c r="M462" s="132"/>
      <c r="N462" s="141"/>
      <c r="O462" s="141"/>
      <c r="P462" s="141"/>
      <c r="Q462" s="141"/>
      <c r="R462" s="141"/>
      <c r="S462" s="141"/>
      <c r="T462" s="141"/>
      <c r="U462" s="141"/>
      <c r="V462" s="141"/>
      <c r="W462" s="141"/>
      <c r="X462" s="141"/>
      <c r="Y462" s="141"/>
      <c r="Z462" s="141"/>
    </row>
    <row r="463" ht="12.75" customHeight="1" spans="1:26">
      <c r="A463" s="132"/>
      <c r="B463" s="140" t="s">
        <v>974</v>
      </c>
      <c r="C463" s="132" t="s">
        <v>975</v>
      </c>
      <c r="D463" s="139" t="s">
        <v>976</v>
      </c>
      <c r="E463" s="140">
        <v>55</v>
      </c>
      <c r="F463" s="132">
        <v>25</v>
      </c>
      <c r="G463" s="132">
        <v>10</v>
      </c>
      <c r="H463" s="139" t="s">
        <v>18</v>
      </c>
      <c r="I463" s="132">
        <v>37</v>
      </c>
      <c r="J463" s="132">
        <v>53</v>
      </c>
      <c r="K463" s="132">
        <v>9</v>
      </c>
      <c r="L463" s="139" t="s">
        <v>12</v>
      </c>
      <c r="M463" s="132"/>
      <c r="N463" s="141"/>
      <c r="O463" s="141"/>
      <c r="P463" s="141"/>
      <c r="Q463" s="141"/>
      <c r="R463" s="141"/>
      <c r="S463" s="141"/>
      <c r="T463" s="141"/>
      <c r="U463" s="141"/>
      <c r="V463" s="141"/>
      <c r="W463" s="141"/>
      <c r="X463" s="141"/>
      <c r="Y463" s="141"/>
      <c r="Z463" s="141"/>
    </row>
    <row r="464" ht="12.75" customHeight="1" spans="1:26">
      <c r="A464" s="132"/>
      <c r="B464" s="140" t="s">
        <v>974</v>
      </c>
      <c r="C464" s="132" t="s">
        <v>977</v>
      </c>
      <c r="D464" s="139" t="s">
        <v>976</v>
      </c>
      <c r="E464" s="140">
        <v>55</v>
      </c>
      <c r="F464" s="132">
        <v>45</v>
      </c>
      <c r="G464" s="132">
        <v>0</v>
      </c>
      <c r="H464" s="139" t="s">
        <v>18</v>
      </c>
      <c r="I464" s="132">
        <v>37</v>
      </c>
      <c r="J464" s="132">
        <v>35</v>
      </c>
      <c r="K464" s="132">
        <v>0</v>
      </c>
      <c r="L464" s="139" t="s">
        <v>12</v>
      </c>
      <c r="M464" s="132"/>
      <c r="N464" s="141"/>
      <c r="O464" s="141"/>
      <c r="P464" s="141"/>
      <c r="Q464" s="141"/>
      <c r="R464" s="141"/>
      <c r="S464" s="141"/>
      <c r="T464" s="141"/>
      <c r="U464" s="141"/>
      <c r="V464" s="141"/>
      <c r="W464" s="141"/>
      <c r="X464" s="141"/>
      <c r="Y464" s="141"/>
      <c r="Z464" s="141"/>
    </row>
    <row r="465" ht="12.75" customHeight="1" spans="1:26">
      <c r="A465" s="132"/>
      <c r="B465" s="140" t="s">
        <v>974</v>
      </c>
      <c r="C465" s="132" t="s">
        <v>978</v>
      </c>
      <c r="D465" s="139" t="s">
        <v>976</v>
      </c>
      <c r="E465" s="140">
        <v>55</v>
      </c>
      <c r="F465" s="132">
        <v>35</v>
      </c>
      <c r="G465" s="132">
        <v>0</v>
      </c>
      <c r="H465" s="139" t="s">
        <v>18</v>
      </c>
      <c r="I465" s="132">
        <v>37</v>
      </c>
      <c r="J465" s="132">
        <v>16</v>
      </c>
      <c r="K465" s="132">
        <v>0</v>
      </c>
      <c r="L465" s="139" t="s">
        <v>12</v>
      </c>
      <c r="M465" s="132"/>
      <c r="N465" s="141"/>
      <c r="O465" s="141"/>
      <c r="P465" s="141"/>
      <c r="Q465" s="141"/>
      <c r="R465" s="141"/>
      <c r="S465" s="141"/>
      <c r="T465" s="141"/>
      <c r="U465" s="141"/>
      <c r="V465" s="141"/>
      <c r="W465" s="141"/>
      <c r="X465" s="141"/>
      <c r="Y465" s="141"/>
      <c r="Z465" s="141"/>
    </row>
    <row r="466" ht="12.75" customHeight="1" spans="1:26">
      <c r="A466" s="132"/>
      <c r="B466" s="140" t="s">
        <v>974</v>
      </c>
      <c r="C466" s="132" t="s">
        <v>979</v>
      </c>
      <c r="D466" s="139" t="s">
        <v>980</v>
      </c>
      <c r="E466" s="140">
        <v>59</v>
      </c>
      <c r="F466" s="132">
        <v>48</v>
      </c>
      <c r="G466" s="132">
        <v>1</v>
      </c>
      <c r="H466" s="139" t="s">
        <v>18</v>
      </c>
      <c r="I466" s="132">
        <v>30</v>
      </c>
      <c r="J466" s="132">
        <v>15</v>
      </c>
      <c r="K466" s="132">
        <v>45</v>
      </c>
      <c r="L466" s="139" t="s">
        <v>12</v>
      </c>
      <c r="M466" s="132"/>
      <c r="N466" s="141"/>
      <c r="O466" s="141"/>
      <c r="P466" s="141"/>
      <c r="Q466" s="141"/>
      <c r="R466" s="141"/>
      <c r="S466" s="141"/>
      <c r="T466" s="141"/>
      <c r="U466" s="141"/>
      <c r="V466" s="141"/>
      <c r="W466" s="141"/>
      <c r="X466" s="141"/>
      <c r="Y466" s="141"/>
      <c r="Z466" s="141"/>
    </row>
    <row r="467" ht="12.75" customHeight="1" spans="1:26">
      <c r="A467" s="132"/>
      <c r="B467" s="140" t="s">
        <v>974</v>
      </c>
      <c r="C467" s="132" t="s">
        <v>981</v>
      </c>
      <c r="D467" s="139" t="s">
        <v>976</v>
      </c>
      <c r="E467" s="140">
        <v>55</v>
      </c>
      <c r="F467" s="132">
        <v>58</v>
      </c>
      <c r="G467" s="132">
        <v>21</v>
      </c>
      <c r="H467" s="139" t="s">
        <v>18</v>
      </c>
      <c r="I467" s="132">
        <v>37</v>
      </c>
      <c r="J467" s="132">
        <v>24</v>
      </c>
      <c r="K467" s="132">
        <v>53</v>
      </c>
      <c r="L467" s="139" t="s">
        <v>12</v>
      </c>
      <c r="M467" s="132"/>
      <c r="N467" s="141"/>
      <c r="O467" s="141"/>
      <c r="P467" s="141"/>
      <c r="Q467" s="141"/>
      <c r="R467" s="141"/>
      <c r="S467" s="141"/>
      <c r="T467" s="141"/>
      <c r="U467" s="141"/>
      <c r="V467" s="141"/>
      <c r="W467" s="141"/>
      <c r="X467" s="141"/>
      <c r="Y467" s="141"/>
      <c r="Z467" s="141"/>
    </row>
    <row r="468" ht="12.75" customHeight="1" spans="1:26">
      <c r="A468" s="132"/>
      <c r="B468" s="140" t="s">
        <v>982</v>
      </c>
      <c r="C468" s="132" t="s">
        <v>983</v>
      </c>
      <c r="D468" s="139" t="s">
        <v>982</v>
      </c>
      <c r="E468" s="140">
        <v>1</v>
      </c>
      <c r="F468" s="132">
        <v>21</v>
      </c>
      <c r="G468" s="132">
        <v>1</v>
      </c>
      <c r="H468" s="139" t="s">
        <v>18</v>
      </c>
      <c r="I468" s="132">
        <v>103</v>
      </c>
      <c r="J468" s="132">
        <v>59</v>
      </c>
      <c r="K468" s="132">
        <v>40</v>
      </c>
      <c r="L468" s="139" t="s">
        <v>12</v>
      </c>
      <c r="M468" s="132"/>
      <c r="N468" s="141"/>
      <c r="O468" s="141"/>
      <c r="P468" s="141"/>
      <c r="Q468" s="141"/>
      <c r="R468" s="141"/>
      <c r="S468" s="141"/>
      <c r="T468" s="141"/>
      <c r="U468" s="141"/>
      <c r="V468" s="141"/>
      <c r="W468" s="141"/>
      <c r="X468" s="141"/>
      <c r="Y468" s="141"/>
      <c r="Z468" s="141"/>
    </row>
    <row r="469" ht="12.75" customHeight="1" spans="1:26">
      <c r="A469" s="132"/>
      <c r="B469" s="140" t="s">
        <v>984</v>
      </c>
      <c r="C469" s="132" t="s">
        <v>985</v>
      </c>
      <c r="D469" s="139" t="s">
        <v>986</v>
      </c>
      <c r="E469" s="140">
        <v>59</v>
      </c>
      <c r="F469" s="132">
        <v>39</v>
      </c>
      <c r="G469" s="132">
        <v>7</v>
      </c>
      <c r="H469" s="139" t="s">
        <v>18</v>
      </c>
      <c r="I469" s="132">
        <v>17</v>
      </c>
      <c r="J469" s="132">
        <v>55</v>
      </c>
      <c r="K469" s="132">
        <v>7</v>
      </c>
      <c r="L469" s="139" t="s">
        <v>12</v>
      </c>
      <c r="M469" s="132"/>
      <c r="N469" s="141"/>
      <c r="O469" s="141"/>
      <c r="P469" s="141"/>
      <c r="Q469" s="141"/>
      <c r="R469" s="141"/>
      <c r="S469" s="141"/>
      <c r="T469" s="141"/>
      <c r="U469" s="141"/>
      <c r="V469" s="141"/>
      <c r="W469" s="141"/>
      <c r="X469" s="141"/>
      <c r="Y469" s="141"/>
      <c r="Z469" s="141"/>
    </row>
    <row r="470" ht="12.75" customHeight="1" spans="1:26">
      <c r="A470" s="132"/>
      <c r="B470" s="140" t="s">
        <v>984</v>
      </c>
      <c r="C470" s="132" t="s">
        <v>987</v>
      </c>
      <c r="D470" s="139" t="s">
        <v>988</v>
      </c>
      <c r="E470" s="140">
        <v>57</v>
      </c>
      <c r="F470" s="132">
        <v>39</v>
      </c>
      <c r="G470" s="132">
        <v>36</v>
      </c>
      <c r="H470" s="139" t="s">
        <v>18</v>
      </c>
      <c r="I470" s="132">
        <v>12</v>
      </c>
      <c r="J470" s="132">
        <v>17</v>
      </c>
      <c r="K470" s="132">
        <v>28</v>
      </c>
      <c r="L470" s="139" t="s">
        <v>12</v>
      </c>
      <c r="M470" s="132"/>
      <c r="N470" s="141"/>
      <c r="O470" s="141"/>
      <c r="P470" s="141"/>
      <c r="Q470" s="141"/>
      <c r="R470" s="141"/>
      <c r="S470" s="141"/>
      <c r="T470" s="141"/>
      <c r="U470" s="141"/>
      <c r="V470" s="141"/>
      <c r="W470" s="141"/>
      <c r="X470" s="141"/>
      <c r="Y470" s="141"/>
      <c r="Z470" s="141"/>
    </row>
    <row r="471" ht="12.75" customHeight="1" spans="1:26">
      <c r="A471" s="132"/>
      <c r="B471" s="140" t="s">
        <v>984</v>
      </c>
      <c r="C471" s="132" t="s">
        <v>989</v>
      </c>
      <c r="D471" s="139" t="s">
        <v>990</v>
      </c>
      <c r="E471" s="140">
        <v>58</v>
      </c>
      <c r="F471" s="132">
        <v>24</v>
      </c>
      <c r="G471" s="132">
        <v>23</v>
      </c>
      <c r="H471" s="139" t="s">
        <v>18</v>
      </c>
      <c r="I471" s="132">
        <v>15</v>
      </c>
      <c r="J471" s="132">
        <v>40</v>
      </c>
      <c r="K471" s="132">
        <v>47</v>
      </c>
      <c r="L471" s="139" t="s">
        <v>12</v>
      </c>
      <c r="M471" s="132"/>
      <c r="N471" s="141"/>
      <c r="O471" s="141"/>
      <c r="P471" s="141"/>
      <c r="Q471" s="141"/>
      <c r="R471" s="141"/>
      <c r="S471" s="141"/>
      <c r="T471" s="141"/>
      <c r="U471" s="141"/>
      <c r="V471" s="141"/>
      <c r="W471" s="141"/>
      <c r="X471" s="141"/>
      <c r="Y471" s="141"/>
      <c r="Z471" s="141"/>
    </row>
    <row r="472" ht="12.75" customHeight="1" spans="1:26">
      <c r="A472" s="132"/>
      <c r="B472" s="140" t="s">
        <v>991</v>
      </c>
      <c r="C472" s="132" t="s">
        <v>992</v>
      </c>
      <c r="D472" s="139" t="s">
        <v>993</v>
      </c>
      <c r="E472" s="140">
        <v>46</v>
      </c>
      <c r="F472" s="132">
        <v>14</v>
      </c>
      <c r="G472" s="132">
        <v>17</v>
      </c>
      <c r="H472" s="139" t="s">
        <v>18</v>
      </c>
      <c r="I472" s="132">
        <v>6</v>
      </c>
      <c r="J472" s="132">
        <v>6</v>
      </c>
      <c r="K472" s="132">
        <v>32</v>
      </c>
      <c r="L472" s="139" t="s">
        <v>12</v>
      </c>
      <c r="M472" s="132"/>
      <c r="N472" s="141"/>
      <c r="O472" s="141"/>
      <c r="P472" s="141"/>
      <c r="Q472" s="141"/>
      <c r="R472" s="141"/>
      <c r="S472" s="141"/>
      <c r="T472" s="141"/>
      <c r="U472" s="141"/>
      <c r="V472" s="141"/>
      <c r="W472" s="141"/>
      <c r="X472" s="141"/>
      <c r="Y472" s="141"/>
      <c r="Z472" s="141"/>
    </row>
    <row r="473" ht="12.75" customHeight="1" spans="1:26">
      <c r="A473" s="132"/>
      <c r="B473" s="140" t="s">
        <v>991</v>
      </c>
      <c r="C473" s="132" t="s">
        <v>994</v>
      </c>
      <c r="D473" s="139" t="s">
        <v>995</v>
      </c>
      <c r="E473" s="140">
        <v>47</v>
      </c>
      <c r="F473" s="132">
        <v>27</v>
      </c>
      <c r="G473" s="132">
        <v>53</v>
      </c>
      <c r="H473" s="139" t="s">
        <v>18</v>
      </c>
      <c r="I473" s="132">
        <v>8</v>
      </c>
      <c r="J473" s="132">
        <v>32</v>
      </c>
      <c r="K473" s="132">
        <v>57</v>
      </c>
      <c r="L473" s="139" t="s">
        <v>12</v>
      </c>
      <c r="M473" s="132"/>
      <c r="N473" s="141"/>
      <c r="O473" s="141"/>
      <c r="P473" s="141"/>
      <c r="Q473" s="141"/>
      <c r="R473" s="141"/>
      <c r="S473" s="141"/>
      <c r="T473" s="141"/>
      <c r="U473" s="141"/>
      <c r="V473" s="141"/>
      <c r="W473" s="141"/>
      <c r="X473" s="141"/>
      <c r="Y473" s="141"/>
      <c r="Z473" s="141"/>
    </row>
    <row r="474" ht="12.75" customHeight="1" spans="1:26">
      <c r="A474" s="132"/>
      <c r="B474" s="140" t="s">
        <v>996</v>
      </c>
      <c r="C474" s="132" t="s">
        <v>997</v>
      </c>
      <c r="D474" s="139" t="s">
        <v>998</v>
      </c>
      <c r="E474" s="140">
        <v>13</v>
      </c>
      <c r="F474" s="132">
        <v>41</v>
      </c>
      <c r="G474" s="132">
        <v>9</v>
      </c>
      <c r="H474" s="139" t="s">
        <v>18</v>
      </c>
      <c r="I474" s="132">
        <v>100</v>
      </c>
      <c r="J474" s="132">
        <v>44</v>
      </c>
      <c r="K474" s="132">
        <v>56</v>
      </c>
      <c r="L474" s="139" t="s">
        <v>12</v>
      </c>
      <c r="M474" s="132"/>
      <c r="N474" s="141"/>
      <c r="O474" s="141"/>
      <c r="P474" s="141"/>
      <c r="Q474" s="141"/>
      <c r="R474" s="141"/>
      <c r="S474" s="141"/>
      <c r="T474" s="141"/>
      <c r="U474" s="141"/>
      <c r="V474" s="141"/>
      <c r="W474" s="141"/>
      <c r="X474" s="141"/>
      <c r="Y474" s="141"/>
      <c r="Z474" s="141"/>
    </row>
    <row r="475" ht="12.75" customHeight="1" spans="1:26">
      <c r="A475" s="132"/>
      <c r="B475" s="140" t="s">
        <v>999</v>
      </c>
      <c r="C475" s="132" t="s">
        <v>1000</v>
      </c>
      <c r="D475" s="139" t="s">
        <v>1001</v>
      </c>
      <c r="E475" s="140">
        <v>25</v>
      </c>
      <c r="F475" s="132">
        <v>4</v>
      </c>
      <c r="G475" s="132">
        <v>40</v>
      </c>
      <c r="H475" s="139" t="s">
        <v>18</v>
      </c>
      <c r="I475" s="132">
        <v>121</v>
      </c>
      <c r="J475" s="132">
        <v>13</v>
      </c>
      <c r="K475" s="132">
        <v>58</v>
      </c>
      <c r="L475" s="139" t="s">
        <v>12</v>
      </c>
      <c r="M475" s="132"/>
      <c r="N475" s="141"/>
      <c r="O475" s="141"/>
      <c r="P475" s="141"/>
      <c r="Q475" s="141"/>
      <c r="R475" s="141"/>
      <c r="S475" s="141"/>
      <c r="T475" s="141"/>
      <c r="U475" s="141"/>
      <c r="V475" s="141"/>
      <c r="W475" s="141"/>
      <c r="X475" s="141"/>
      <c r="Y475" s="141"/>
      <c r="Z475" s="141"/>
    </row>
    <row r="476" ht="12.75" customHeight="1" spans="1:26">
      <c r="A476" s="132"/>
      <c r="B476" s="140" t="s">
        <v>1002</v>
      </c>
      <c r="C476" s="132" t="s">
        <v>1003</v>
      </c>
      <c r="D476" s="139" t="s">
        <v>1004</v>
      </c>
      <c r="E476" s="140">
        <v>36</v>
      </c>
      <c r="F476" s="132">
        <v>51</v>
      </c>
      <c r="G476" s="132">
        <v>4</v>
      </c>
      <c r="H476" s="139" t="s">
        <v>18</v>
      </c>
      <c r="I476" s="132">
        <v>10</v>
      </c>
      <c r="J476" s="132">
        <v>13</v>
      </c>
      <c r="K476" s="132">
        <v>37</v>
      </c>
      <c r="L476" s="139" t="s">
        <v>12</v>
      </c>
      <c r="M476" s="132"/>
      <c r="N476" s="141"/>
      <c r="O476" s="141"/>
      <c r="P476" s="141"/>
      <c r="Q476" s="141"/>
      <c r="R476" s="141"/>
      <c r="S476" s="141"/>
      <c r="T476" s="141"/>
      <c r="U476" s="141"/>
      <c r="V476" s="141"/>
      <c r="W476" s="141"/>
      <c r="X476" s="141"/>
      <c r="Y476" s="141"/>
      <c r="Z476" s="141"/>
    </row>
    <row r="477" ht="12.75" customHeight="1" spans="1:26">
      <c r="A477" s="132"/>
      <c r="B477" s="140" t="s">
        <v>1005</v>
      </c>
      <c r="C477" s="132" t="s">
        <v>1006</v>
      </c>
      <c r="D477" s="139" t="s">
        <v>1007</v>
      </c>
      <c r="E477" s="140">
        <v>36</v>
      </c>
      <c r="F477" s="132">
        <v>58</v>
      </c>
      <c r="G477" s="132">
        <v>56</v>
      </c>
      <c r="H477" s="139" t="s">
        <v>18</v>
      </c>
      <c r="I477" s="132">
        <v>35</v>
      </c>
      <c r="J477" s="132">
        <v>16</v>
      </c>
      <c r="K477" s="132">
        <v>49</v>
      </c>
      <c r="L477" s="139" t="s">
        <v>12</v>
      </c>
      <c r="M477" s="132"/>
      <c r="N477" s="141"/>
      <c r="O477" s="141"/>
      <c r="P477" s="141"/>
      <c r="Q477" s="141"/>
      <c r="R477" s="141"/>
      <c r="S477" s="141"/>
      <c r="T477" s="141"/>
      <c r="U477" s="141"/>
      <c r="V477" s="141"/>
      <c r="W477" s="141"/>
      <c r="X477" s="141"/>
      <c r="Y477" s="141"/>
      <c r="Z477" s="141"/>
    </row>
    <row r="478" ht="12.75" customHeight="1" spans="1:26">
      <c r="A478" s="132"/>
      <c r="B478" s="140" t="s">
        <v>1005</v>
      </c>
      <c r="C478" s="132" t="s">
        <v>1008</v>
      </c>
      <c r="D478" s="139" t="s">
        <v>1009</v>
      </c>
      <c r="E478" s="140">
        <v>40</v>
      </c>
      <c r="F478" s="132">
        <v>58</v>
      </c>
      <c r="G478" s="132">
        <v>37</v>
      </c>
      <c r="H478" s="139" t="s">
        <v>18</v>
      </c>
      <c r="I478" s="132">
        <v>28</v>
      </c>
      <c r="J478" s="132">
        <v>48</v>
      </c>
      <c r="K478" s="132">
        <v>53</v>
      </c>
      <c r="L478" s="139" t="s">
        <v>12</v>
      </c>
      <c r="M478" s="132"/>
      <c r="N478" s="141"/>
      <c r="O478" s="141"/>
      <c r="P478" s="141"/>
      <c r="Q478" s="141"/>
      <c r="R478" s="141"/>
      <c r="S478" s="141"/>
      <c r="T478" s="141"/>
      <c r="U478" s="141"/>
      <c r="V478" s="141"/>
      <c r="W478" s="141"/>
      <c r="X478" s="141"/>
      <c r="Y478" s="141"/>
      <c r="Z478" s="141"/>
    </row>
    <row r="479" ht="12.75" customHeight="1" spans="1:26">
      <c r="A479" s="132"/>
      <c r="B479" s="140" t="s">
        <v>1005</v>
      </c>
      <c r="C479" s="132" t="s">
        <v>1010</v>
      </c>
      <c r="D479" s="139" t="s">
        <v>1011</v>
      </c>
      <c r="E479" s="140">
        <v>40</v>
      </c>
      <c r="F479" s="132">
        <v>7</v>
      </c>
      <c r="G479" s="132">
        <v>41</v>
      </c>
      <c r="H479" s="139" t="s">
        <v>18</v>
      </c>
      <c r="I479" s="132">
        <v>32</v>
      </c>
      <c r="J479" s="132">
        <v>59</v>
      </c>
      <c r="K479" s="132">
        <v>41</v>
      </c>
      <c r="L479" s="139" t="s">
        <v>12</v>
      </c>
      <c r="M479" s="132"/>
      <c r="N479" s="141"/>
      <c r="O479" s="141"/>
      <c r="P479" s="141"/>
      <c r="Q479" s="141"/>
      <c r="R479" s="141"/>
      <c r="S479" s="141"/>
      <c r="T479" s="141"/>
      <c r="U479" s="141"/>
      <c r="V479" s="141"/>
      <c r="W479" s="141"/>
      <c r="X479" s="141"/>
      <c r="Y479" s="141"/>
      <c r="Z479" s="141"/>
    </row>
    <row r="480" ht="12.75" customHeight="1" spans="1:26">
      <c r="A480" s="132"/>
      <c r="B480" s="140" t="s">
        <v>1012</v>
      </c>
      <c r="C480" s="132" t="s">
        <v>1013</v>
      </c>
      <c r="D480" s="139" t="s">
        <v>1014</v>
      </c>
      <c r="E480" s="140">
        <v>49</v>
      </c>
      <c r="F480" s="132">
        <v>31</v>
      </c>
      <c r="G480" s="132">
        <v>30</v>
      </c>
      <c r="H480" s="139" t="s">
        <v>18</v>
      </c>
      <c r="I480" s="132">
        <v>25</v>
      </c>
      <c r="J480" s="132">
        <v>42</v>
      </c>
      <c r="K480" s="132">
        <v>0</v>
      </c>
      <c r="L480" s="139" t="s">
        <v>52</v>
      </c>
      <c r="M480" s="132"/>
      <c r="N480" s="141"/>
      <c r="O480" s="141"/>
      <c r="P480" s="141"/>
      <c r="Q480" s="141"/>
      <c r="R480" s="141"/>
      <c r="S480" s="141"/>
      <c r="T480" s="141"/>
      <c r="U480" s="141"/>
      <c r="V480" s="141"/>
      <c r="W480" s="141"/>
      <c r="X480" s="141"/>
      <c r="Y480" s="141"/>
      <c r="Z480" s="141"/>
    </row>
    <row r="481" ht="12.75" customHeight="1" spans="1:26">
      <c r="A481" s="132"/>
      <c r="B481" s="140" t="s">
        <v>1015</v>
      </c>
      <c r="C481" s="132" t="s">
        <v>1016</v>
      </c>
      <c r="D481" s="139" t="s">
        <v>1017</v>
      </c>
      <c r="E481" s="140">
        <v>34</v>
      </c>
      <c r="F481" s="132">
        <v>51</v>
      </c>
      <c r="G481" s="132">
        <v>30</v>
      </c>
      <c r="H481" s="139" t="s">
        <v>11</v>
      </c>
      <c r="I481" s="132">
        <v>55</v>
      </c>
      <c r="J481" s="132">
        <v>5</v>
      </c>
      <c r="K481" s="132">
        <v>30</v>
      </c>
      <c r="L481" s="139" t="s">
        <v>52</v>
      </c>
      <c r="M481" s="132"/>
      <c r="N481" s="141"/>
      <c r="O481" s="141"/>
      <c r="P481" s="141"/>
      <c r="Q481" s="141"/>
      <c r="R481" s="141"/>
      <c r="S481" s="141"/>
      <c r="T481" s="141"/>
      <c r="U481" s="141"/>
      <c r="V481" s="141"/>
      <c r="W481" s="141"/>
      <c r="X481" s="141"/>
      <c r="Y481" s="141"/>
      <c r="Z481" s="141"/>
    </row>
    <row r="482" ht="12.75" customHeight="1" spans="1:26">
      <c r="A482" s="132"/>
      <c r="B482" s="140" t="s">
        <v>1015</v>
      </c>
      <c r="C482" s="132" t="s">
        <v>1018</v>
      </c>
      <c r="D482" s="139" t="s">
        <v>1019</v>
      </c>
      <c r="E482" s="140">
        <v>34</v>
      </c>
      <c r="F482" s="132">
        <v>50</v>
      </c>
      <c r="G482" s="132">
        <v>18</v>
      </c>
      <c r="H482" s="139" t="s">
        <v>11</v>
      </c>
      <c r="I482" s="132">
        <v>56</v>
      </c>
      <c r="J482" s="132">
        <v>1</v>
      </c>
      <c r="K482" s="132">
        <v>51</v>
      </c>
      <c r="L482" s="139" t="s">
        <v>52</v>
      </c>
      <c r="M482" s="132"/>
      <c r="N482" s="141"/>
      <c r="O482" s="141"/>
      <c r="P482" s="141"/>
      <c r="Q482" s="141"/>
      <c r="R482" s="141"/>
      <c r="S482" s="141"/>
      <c r="T482" s="141"/>
      <c r="U482" s="141"/>
      <c r="V482" s="141"/>
      <c r="W482" s="141"/>
      <c r="X482" s="141"/>
      <c r="Y482" s="141"/>
      <c r="Z482" s="141"/>
    </row>
    <row r="483" ht="12.75" customHeight="1" spans="1:26">
      <c r="A483" s="132"/>
      <c r="B483" s="140" t="s">
        <v>1020</v>
      </c>
      <c r="C483" s="132" t="s">
        <v>1021</v>
      </c>
      <c r="D483" s="139" t="s">
        <v>1022</v>
      </c>
      <c r="E483" s="140">
        <v>10</v>
      </c>
      <c r="F483" s="132">
        <v>36</v>
      </c>
      <c r="G483" s="132">
        <v>11</v>
      </c>
      <c r="H483" s="139" t="s">
        <v>18</v>
      </c>
      <c r="I483" s="132">
        <v>66</v>
      </c>
      <c r="J483" s="132">
        <v>59</v>
      </c>
      <c r="K483" s="132">
        <v>26</v>
      </c>
      <c r="L483" s="139" t="s">
        <v>52</v>
      </c>
      <c r="M483" s="132"/>
      <c r="N483" s="141"/>
      <c r="O483" s="141"/>
      <c r="P483" s="141"/>
      <c r="Q483" s="141"/>
      <c r="R483" s="141"/>
      <c r="S483" s="141"/>
      <c r="T483" s="141"/>
      <c r="U483" s="141"/>
      <c r="V483" s="141"/>
      <c r="W483" s="141"/>
      <c r="X483" s="141"/>
      <c r="Y483" s="141"/>
      <c r="Z483" s="141"/>
    </row>
    <row r="484" ht="12.75" customHeight="1" spans="1:26">
      <c r="A484" s="132"/>
      <c r="B484" s="140" t="s">
        <v>1020</v>
      </c>
      <c r="C484" s="132" t="s">
        <v>1023</v>
      </c>
      <c r="D484" s="139" t="s">
        <v>1024</v>
      </c>
      <c r="E484" s="140">
        <v>10</v>
      </c>
      <c r="F484" s="132">
        <v>36</v>
      </c>
      <c r="G484" s="132">
        <v>0</v>
      </c>
      <c r="H484" s="139" t="s">
        <v>18</v>
      </c>
      <c r="I484" s="132">
        <v>66</v>
      </c>
      <c r="J484" s="132">
        <v>56</v>
      </c>
      <c r="K484" s="132">
        <v>0</v>
      </c>
      <c r="L484" s="139" t="s">
        <v>52</v>
      </c>
      <c r="M484" s="132"/>
      <c r="N484" s="141"/>
      <c r="O484" s="141"/>
      <c r="P484" s="141"/>
      <c r="Q484" s="141"/>
      <c r="R484" s="141"/>
      <c r="S484" s="141"/>
      <c r="T484" s="141"/>
      <c r="U484" s="141"/>
      <c r="V484" s="141"/>
      <c r="W484" s="141"/>
      <c r="X484" s="141"/>
      <c r="Y484" s="141"/>
      <c r="Z484" s="141"/>
    </row>
    <row r="485" ht="12.75" customHeight="1" spans="1:26">
      <c r="A485" s="132"/>
      <c r="B485" s="140" t="s">
        <v>1020</v>
      </c>
      <c r="C485" s="132" t="s">
        <v>1025</v>
      </c>
      <c r="D485" s="139" t="s">
        <v>1026</v>
      </c>
      <c r="E485" s="140">
        <v>26</v>
      </c>
      <c r="F485" s="132">
        <v>46</v>
      </c>
      <c r="G485" s="132">
        <v>60</v>
      </c>
      <c r="H485" s="139" t="s">
        <v>18</v>
      </c>
      <c r="I485" s="132">
        <v>77</v>
      </c>
      <c r="J485" s="132">
        <v>19</v>
      </c>
      <c r="K485" s="132">
        <v>60</v>
      </c>
      <c r="L485" s="139" t="s">
        <v>52</v>
      </c>
      <c r="M485" s="132"/>
      <c r="N485" s="141"/>
      <c r="O485" s="141"/>
      <c r="P485" s="141"/>
      <c r="Q485" s="141"/>
      <c r="R485" s="141"/>
      <c r="S485" s="141"/>
      <c r="T485" s="141"/>
      <c r="U485" s="141"/>
      <c r="V485" s="141"/>
      <c r="W485" s="141"/>
      <c r="X485" s="141"/>
      <c r="Y485" s="141"/>
      <c r="Z485" s="141"/>
    </row>
    <row r="486" ht="12.75" customHeight="1" spans="1:26">
      <c r="A486" s="132"/>
      <c r="B486" s="140" t="s">
        <v>1027</v>
      </c>
      <c r="C486" s="132" t="s">
        <v>1028</v>
      </c>
      <c r="D486" s="139" t="s">
        <v>1029</v>
      </c>
      <c r="E486" s="140">
        <v>21</v>
      </c>
      <c r="F486" s="132">
        <v>13</v>
      </c>
      <c r="G486" s="132">
        <v>18</v>
      </c>
      <c r="H486" s="139" t="s">
        <v>18</v>
      </c>
      <c r="I486" s="132">
        <v>105</v>
      </c>
      <c r="J486" s="132">
        <v>48</v>
      </c>
      <c r="K486" s="132">
        <v>20</v>
      </c>
      <c r="L486" s="139" t="s">
        <v>12</v>
      </c>
      <c r="M486" s="132"/>
      <c r="N486" s="141"/>
      <c r="O486" s="141"/>
      <c r="P486" s="141"/>
      <c r="Q486" s="141"/>
      <c r="R486" s="141"/>
      <c r="S486" s="141"/>
      <c r="T486" s="141"/>
      <c r="U486" s="141"/>
      <c r="V486" s="141"/>
      <c r="W486" s="141"/>
      <c r="X486" s="141"/>
      <c r="Y486" s="141"/>
      <c r="Z486" s="141"/>
    </row>
    <row r="487" ht="12.75" customHeight="1" spans="1:26">
      <c r="A487" s="132"/>
      <c r="B487" s="140" t="s">
        <v>1027</v>
      </c>
      <c r="C487" s="132" t="s">
        <v>1030</v>
      </c>
      <c r="D487" s="139" t="s">
        <v>1031</v>
      </c>
      <c r="E487" s="140">
        <v>16</v>
      </c>
      <c r="F487" s="132">
        <v>24</v>
      </c>
      <c r="G487" s="132">
        <v>2</v>
      </c>
      <c r="H487" s="139" t="s">
        <v>18</v>
      </c>
      <c r="I487" s="132">
        <v>107</v>
      </c>
      <c r="J487" s="132">
        <v>42</v>
      </c>
      <c r="K487" s="132">
        <v>23</v>
      </c>
      <c r="L487" s="139" t="s">
        <v>12</v>
      </c>
      <c r="M487" s="132"/>
      <c r="N487" s="141"/>
      <c r="O487" s="141"/>
      <c r="P487" s="141"/>
      <c r="Q487" s="141"/>
      <c r="R487" s="141"/>
      <c r="S487" s="141"/>
      <c r="T487" s="141"/>
      <c r="U487" s="141"/>
      <c r="V487" s="141"/>
      <c r="W487" s="141"/>
      <c r="X487" s="141"/>
      <c r="Y487" s="141"/>
      <c r="Z487" s="141"/>
    </row>
    <row r="488" ht="12.75" customHeight="1" spans="1:26">
      <c r="A488" s="132"/>
      <c r="B488" s="145"/>
      <c r="C488" s="145"/>
      <c r="D488" s="145"/>
      <c r="E488" s="145"/>
      <c r="F488" s="145"/>
      <c r="G488" s="145"/>
      <c r="H488" s="145"/>
      <c r="I488" s="145"/>
      <c r="J488" s="145"/>
      <c r="K488" s="145"/>
      <c r="L488" s="145"/>
      <c r="M488" s="132"/>
      <c r="N488" s="141"/>
      <c r="O488" s="141"/>
      <c r="P488" s="141"/>
      <c r="Q488" s="141"/>
      <c r="R488" s="141"/>
      <c r="S488" s="141"/>
      <c r="T488" s="141"/>
      <c r="U488" s="141"/>
      <c r="V488" s="141"/>
      <c r="W488" s="141"/>
      <c r="X488" s="141"/>
      <c r="Y488" s="141"/>
      <c r="Z488" s="141"/>
    </row>
    <row r="489" ht="12.75" customHeight="1" spans="1:26">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ht="12.75" customHeight="1" spans="1:26">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ht="12.75" customHeight="1" spans="1:26">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ht="12.75" customHeight="1" spans="1:26">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ht="12.75" customHeight="1" spans="1:26">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ht="12.75" customHeight="1" spans="1:26">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ht="12.75" customHeight="1" spans="1:26">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ht="12.75" customHeight="1" spans="1:26">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ht="12.75" customHeight="1" spans="1:26">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ht="12.75" customHeight="1" spans="1:26">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ht="12.75" customHeight="1" spans="1:26">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ht="12.75" customHeight="1" spans="1:26">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ht="12.75" customHeight="1" spans="1:26">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ht="12.75" customHeight="1" spans="1:26">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ht="12.75" customHeight="1" spans="1:26">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ht="12.75" customHeight="1" spans="1:26">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ht="12.75" customHeight="1" spans="1:26">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ht="12.75" customHeight="1" spans="1:26">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ht="12.75" customHeight="1" spans="1:26">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ht="12.75" customHeight="1" spans="1:26">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ht="12.75" customHeight="1" spans="1:26">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ht="12.75" customHeight="1" spans="1:26">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ht="12.75" customHeight="1" spans="1:26">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ht="12.75" customHeight="1" spans="1:26">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ht="12.75" customHeight="1" spans="1:26">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ht="12.75" customHeight="1" spans="1:26">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ht="12.75" customHeight="1" spans="1:26">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ht="12.75" customHeight="1" spans="1:26">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ht="12.75" customHeight="1" spans="1:26">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ht="12.75" customHeight="1" spans="1:26">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ht="12.75" customHeight="1" spans="1:26">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ht="12.75" customHeight="1" spans="1:26">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ht="12.75" customHeight="1" spans="1:26">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ht="12.75" customHeight="1" spans="1:26">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ht="12.75" customHeight="1" spans="1:26">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ht="12.75" customHeight="1" spans="1:26">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ht="12.75" customHeight="1" spans="1:26">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ht="12.75" customHeight="1" spans="1:26">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ht="12.75" customHeight="1" spans="1:26">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ht="12.75" customHeight="1" spans="1:26">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ht="12.75" customHeight="1" spans="1:26">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ht="12.75" customHeight="1" spans="1:26">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ht="12.75" customHeight="1" spans="1:26">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ht="12.75" customHeight="1" spans="1:26">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ht="12.75" customHeight="1" spans="1:26">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ht="12.75" customHeight="1" spans="1:26">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ht="12.75" customHeight="1" spans="1:26">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ht="12.75" customHeight="1" spans="1:26">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ht="12.75" customHeight="1" spans="1:26">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ht="12.75" customHeight="1" spans="1:26">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ht="12.75" customHeight="1" spans="1:26">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ht="12.75" customHeight="1" spans="1:26">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ht="12.75" customHeight="1" spans="1:26">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ht="12.75" customHeight="1" spans="1:26">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ht="12.75" customHeight="1" spans="1:26">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ht="12.75" customHeight="1" spans="1:26">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ht="12.75" customHeight="1" spans="1:26">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ht="12.75" customHeight="1" spans="1:26">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ht="12.75" customHeight="1" spans="1:26">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ht="12.75" customHeight="1" spans="1:26">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ht="12.75" customHeight="1" spans="1:26">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ht="12.75" customHeight="1" spans="1:26">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ht="12.75" customHeight="1" spans="1:26">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ht="12.75" customHeight="1" spans="1:26">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ht="12.75" customHeight="1" spans="1:26">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ht="12.75" customHeight="1" spans="1:26">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ht="12.75" customHeight="1" spans="1:26">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ht="12.75" customHeight="1" spans="1:26">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ht="12.75" customHeight="1" spans="1:26">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ht="12.75" customHeight="1" spans="1:26">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ht="12.75" customHeight="1" spans="1:26">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ht="12.75" customHeight="1" spans="1:26">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ht="12.75" customHeight="1" spans="1:26">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ht="12.75" customHeight="1" spans="1:26">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ht="12.75" customHeight="1" spans="1:26">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ht="12.75" customHeight="1" spans="1:26">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ht="12.75" customHeight="1" spans="1:26">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ht="12.75" customHeight="1" spans="1:26">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ht="12.75" customHeight="1" spans="1:26">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ht="12.75" customHeight="1" spans="1:26">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ht="12.75" customHeight="1" spans="1:26">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ht="12.75" customHeight="1" spans="1:26">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ht="12.75" customHeight="1" spans="1:26">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ht="12.75" customHeight="1" spans="1:26">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ht="12.75" customHeight="1" spans="1:26">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ht="12.75" customHeight="1" spans="1:26">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ht="12.75" customHeight="1" spans="1:26">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ht="12.75" customHeight="1" spans="1:26">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ht="12.75" customHeight="1" spans="1:26">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ht="12.75" customHeight="1" spans="1:26">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ht="12.75" customHeight="1" spans="1:26">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ht="12.75" customHeight="1" spans="1:26">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ht="12.75" customHeight="1" spans="1:26">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ht="12.75" customHeight="1" spans="1:26">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ht="12.75" customHeight="1" spans="1:26">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ht="12.75" customHeight="1" spans="1:26">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ht="12.75" customHeight="1" spans="1:26">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ht="12.75" customHeight="1" spans="1:26">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ht="12.75" customHeight="1" spans="1:26">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ht="12.75" customHeight="1" spans="1:26">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ht="12.75" customHeight="1" spans="1:26">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ht="12.75" customHeight="1" spans="1:26">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ht="12.75" customHeight="1" spans="1:26">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ht="12.75" customHeight="1" spans="1:26">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ht="12.75" customHeight="1" spans="1:26">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ht="12.75" customHeight="1" spans="1:26">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ht="12.75" customHeight="1" spans="1:26">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ht="12.75" customHeight="1" spans="1:26">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ht="12.75" customHeight="1" spans="1:26">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ht="12.75" customHeight="1" spans="1:26">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ht="12.75" customHeight="1" spans="1:26">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ht="12.75" customHeight="1" spans="1:26">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ht="12.75" customHeight="1" spans="1:26">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ht="12.75" customHeight="1" spans="1:26">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ht="12.75" customHeight="1" spans="1:26">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ht="12.75" customHeight="1" spans="1:26">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ht="12.75" customHeight="1" spans="1:26">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ht="12.75" customHeight="1" spans="1:26">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ht="12.75" customHeight="1" spans="1:26">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ht="12.75" customHeight="1" spans="1:26">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ht="12.75" customHeight="1" spans="1:26">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ht="12.75" customHeight="1" spans="1:26">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ht="12.75" customHeight="1" spans="1:26">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ht="12.75" customHeight="1" spans="1:26">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ht="12.75" customHeight="1" spans="1:26">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ht="12.75" customHeight="1" spans="1:26">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ht="12.75" customHeight="1" spans="1:26">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ht="12.75" customHeight="1" spans="1:26">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ht="12.75" customHeight="1" spans="1:26">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ht="12.75" customHeight="1" spans="1:26">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ht="12.75" customHeight="1" spans="1:26">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ht="12.75" customHeight="1" spans="1:26">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ht="12.75" customHeight="1" spans="1:26">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ht="12.75" customHeight="1" spans="1:26">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ht="12.75" customHeight="1" spans="1:26">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ht="12.75" customHeight="1" spans="1:26">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ht="12.75" customHeight="1" spans="1:26">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ht="12.75" customHeight="1" spans="1:26">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ht="12.75" customHeight="1" spans="1:26">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ht="12.75" customHeight="1" spans="1:26">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ht="12.75" customHeight="1" spans="1:26">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ht="12.75" customHeight="1" spans="1:26">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ht="12.75" customHeight="1" spans="1:26">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ht="12.75" customHeight="1" spans="1:26">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ht="12.75" customHeight="1" spans="1:26">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ht="12.75" customHeight="1" spans="1:26">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ht="12.75" customHeight="1" spans="1:26">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ht="12.75" customHeight="1" spans="1:26">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ht="12.75" customHeight="1" spans="1:26">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ht="12.75" customHeight="1" spans="1:26">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ht="12.75" customHeight="1" spans="1:26">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ht="12.75" customHeight="1" spans="1:26">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ht="12.75" customHeight="1" spans="1:26">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ht="12.75" customHeight="1" spans="1:26">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ht="12.75" customHeight="1" spans="1:26">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ht="12.75" customHeight="1" spans="1:26">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ht="12.75" customHeight="1" spans="1:26">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ht="12.75" customHeight="1" spans="1:26">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ht="12.75" customHeight="1" spans="1:26">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ht="12.75" customHeight="1" spans="1:26">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ht="12.75" customHeight="1" spans="1:26">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ht="12.75" customHeight="1" spans="1:26">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ht="12.75" customHeight="1" spans="1:26">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ht="12.75" customHeight="1" spans="1:26">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ht="12.75" customHeight="1" spans="1:26">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ht="12.75" customHeight="1" spans="1:26">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ht="12.75" customHeight="1" spans="1:26">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ht="12.75" customHeight="1" spans="1:26">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ht="12.75" customHeight="1" spans="1:26">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ht="12.75" customHeight="1" spans="1:26">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ht="12.75" customHeight="1" spans="1:26">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ht="12.75" customHeight="1" spans="1:26">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ht="12.75" customHeight="1" spans="1:26">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ht="12.75" customHeight="1" spans="1:26">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ht="12.75" customHeight="1" spans="1:26">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ht="12.75" customHeight="1" spans="1:26">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ht="12.75" customHeight="1" spans="1:26">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ht="12.75" customHeight="1" spans="1:26">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ht="12.75" customHeight="1" spans="1:26">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ht="12.75" customHeight="1" spans="1:26">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ht="12.75" customHeight="1" spans="1:26">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ht="12.75" customHeight="1" spans="1:26">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ht="12.75" customHeight="1" spans="1:26">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ht="12.75" customHeight="1" spans="1:26">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ht="12.75" customHeight="1" spans="1:26">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ht="12.75" customHeight="1" spans="1:26">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ht="12.75" customHeight="1" spans="1:26">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ht="12.75" customHeight="1" spans="1:26">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ht="12.75" customHeight="1" spans="1:26">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ht="12.75" customHeight="1" spans="1:26">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ht="12.75" customHeight="1" spans="1:26">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ht="12.75" customHeight="1" spans="1:26">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ht="12.75" customHeight="1" spans="1:26">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ht="12.75" customHeight="1" spans="1:26">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ht="12.75" customHeight="1" spans="1:26">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ht="12.75" customHeight="1" spans="1:26">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ht="12.75" customHeight="1" spans="1:26">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ht="12.75" customHeight="1" spans="1:26">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ht="12.75" customHeight="1" spans="1:26">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ht="12.75" customHeight="1" spans="1:26">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ht="12.75" customHeight="1" spans="1:26">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ht="12.75" customHeight="1" spans="1:26">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ht="12.75" customHeight="1" spans="1:26">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ht="12.75" customHeight="1" spans="1:26">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ht="12.75" customHeight="1" spans="1:26">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ht="12.75" customHeight="1" spans="1:26">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ht="12.75" customHeight="1" spans="1:26">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ht="12.75" customHeight="1" spans="1:26">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ht="12.75" customHeight="1" spans="1:26">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ht="12.75" customHeight="1" spans="1:26">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ht="12.75" customHeight="1" spans="1:26">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ht="12.75" customHeight="1" spans="1:26">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ht="12.75" customHeight="1" spans="1:26">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ht="12.75" customHeight="1" spans="1:26">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ht="12.75" customHeight="1" spans="1:26">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ht="12.75" customHeight="1" spans="1:26">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ht="12.75" customHeight="1" spans="1:26">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ht="12.75" customHeight="1" spans="1:26">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ht="12.75" customHeight="1" spans="1:26">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ht="12.75" customHeight="1" spans="1:26">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ht="12.75" customHeight="1" spans="1:26">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ht="12.75" customHeight="1" spans="1:26">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ht="12.75" customHeight="1" spans="1:26">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ht="12.75" customHeight="1" spans="1:26">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ht="12.75" customHeight="1" spans="1:26">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ht="12.75" customHeight="1" spans="1:26">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ht="12.75" customHeight="1" spans="1:26">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ht="12.75" customHeight="1" spans="1:26">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ht="12.75" customHeight="1" spans="1:26">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ht="12.75" customHeight="1" spans="1:26">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ht="12.75" customHeight="1" spans="1:26">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ht="12.75" customHeight="1" spans="1:26">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ht="12.75" customHeight="1" spans="1:26">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ht="12.75" customHeight="1" spans="1:26">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ht="12.75" customHeight="1" spans="1:26">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ht="12.75" customHeight="1" spans="1:26">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ht="12.75" customHeight="1" spans="1:26">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ht="12.75" customHeight="1" spans="1:26">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ht="12.75" customHeight="1" spans="1:26">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ht="12.75" customHeight="1" spans="1:26">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ht="12.75" customHeight="1" spans="1:26">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ht="12.75" customHeight="1" spans="1:26">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ht="12.75" customHeight="1" spans="1:26">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ht="12.75" customHeight="1" spans="1:26">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ht="12.75" customHeight="1" spans="1:26">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ht="12.75" customHeight="1" spans="1:26">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ht="12.75" customHeight="1" spans="1:26">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ht="12.75" customHeight="1" spans="1:26">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ht="12.75" customHeight="1" spans="1:26">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ht="12.75" customHeight="1" spans="1:26">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ht="12.75" customHeight="1" spans="1:26">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ht="12.75" customHeight="1" spans="1:26">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ht="12.75" customHeight="1" spans="1:26">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ht="12.75" customHeight="1" spans="1:26">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ht="12.75" customHeight="1" spans="1:26">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ht="12.75" customHeight="1" spans="1:26">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ht="12.75" customHeight="1" spans="1:26">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ht="12.75" customHeight="1" spans="1:26">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ht="12.75" customHeight="1" spans="1:26">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ht="12.75" customHeight="1" spans="1:26">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ht="12.75" customHeight="1" spans="1:26">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ht="12.75" customHeight="1" spans="1:26">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ht="12.75" customHeight="1" spans="1:26">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ht="12.75" customHeight="1" spans="1:26">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ht="12.75" customHeight="1" spans="1:26">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ht="12.75" customHeight="1" spans="1:26">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ht="12.75" customHeight="1" spans="1:26">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ht="12.75" customHeight="1" spans="1:26">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ht="12.75" customHeight="1" spans="1:26">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ht="12.75" customHeight="1" spans="1:26">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ht="12.75" customHeight="1" spans="1:26">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ht="12.75" customHeight="1" spans="1:26">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ht="12.75" customHeight="1" spans="1:26">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ht="12.75" customHeight="1" spans="1:26">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ht="12.75" customHeight="1" spans="1:26">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ht="12.75" customHeight="1" spans="1:26">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ht="12.75" customHeight="1" spans="1:26">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ht="12.75" customHeight="1" spans="1:26">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ht="12.75" customHeight="1" spans="1:26">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ht="12.75" customHeight="1" spans="1:26">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ht="12.75" customHeight="1" spans="1:26">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ht="12.75" customHeight="1" spans="1:26">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ht="12.75" customHeight="1" spans="1:26">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ht="12.75" customHeight="1" spans="1:26">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ht="12.75" customHeight="1" spans="1:26">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ht="12.75" customHeight="1" spans="1:26">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ht="12.75" customHeight="1" spans="1:26">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ht="12.75" customHeight="1" spans="1:26">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ht="12.75" customHeight="1" spans="1:26">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ht="12.75" customHeight="1" spans="1:26">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ht="12.75" customHeight="1" spans="1:26">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ht="12.75" customHeight="1" spans="1:26">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ht="12.75" customHeight="1" spans="1:26">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ht="12.75" customHeight="1" spans="1:26">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ht="12.75" customHeight="1" spans="1:26">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ht="12.75" customHeight="1" spans="1:26">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ht="12.75" customHeight="1" spans="1:26">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ht="12.75" customHeight="1" spans="1:26">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ht="12.75" customHeight="1" spans="1:26">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ht="12.75" customHeight="1" spans="1:26">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ht="12.75" customHeight="1" spans="1:26">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ht="12.75" customHeight="1" spans="1:26">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ht="12.75" customHeight="1" spans="1:26">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ht="12.75" customHeight="1" spans="1:26">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ht="12.75" customHeight="1" spans="1:26">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ht="12.75" customHeight="1" spans="1:26">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ht="12.75" customHeight="1" spans="1:26">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ht="12.75" customHeight="1" spans="1:26">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ht="12.75" customHeight="1" spans="1:26">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ht="12.75" customHeight="1" spans="1:26">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ht="12.75" customHeight="1" spans="1:26">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ht="12.75" customHeight="1" spans="1:26">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ht="12.75" customHeight="1" spans="1:26">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ht="12.75" customHeight="1" spans="1:26">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ht="12.75" customHeight="1" spans="1:26">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ht="12.75" customHeight="1" spans="1:26">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ht="12.75" customHeight="1" spans="1:26">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ht="12.75" customHeight="1" spans="1:26">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ht="12.75" customHeight="1" spans="1:26">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ht="12.75" customHeight="1" spans="1:26">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ht="12.75" customHeight="1" spans="1:26">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ht="12.75" customHeight="1" spans="1:26">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ht="12.75" customHeight="1" spans="1:26">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ht="12.75" customHeight="1" spans="1:26">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ht="12.75" customHeight="1" spans="1:26">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ht="12.75" customHeight="1" spans="1:26">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ht="12.75" customHeight="1" spans="1:26">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ht="12.75" customHeight="1" spans="1:26">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ht="12.75" customHeight="1" spans="1:26">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ht="12.75" customHeight="1" spans="1:26">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ht="12.75" customHeight="1" spans="1:26">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ht="12.75" customHeight="1" spans="1:26">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ht="12.75" customHeight="1" spans="1:26">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ht="12.75" customHeight="1" spans="1:26">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ht="12.75" customHeight="1" spans="1:26">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ht="12.75" customHeight="1" spans="1:26">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ht="12.75" customHeight="1" spans="1:26">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ht="12.75" customHeight="1" spans="1:26">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ht="12.75" customHeight="1" spans="1:26">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ht="12.75" customHeight="1" spans="1:26">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ht="12.75" customHeight="1" spans="1:26">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ht="12.75" customHeight="1" spans="1:26">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ht="12.75" customHeight="1" spans="1:26">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ht="12.75" customHeight="1" spans="1:26">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ht="12.75" customHeight="1" spans="1:26">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ht="12.75" customHeight="1" spans="1:26">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ht="12.75" customHeight="1" spans="1:26">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ht="12.75" customHeight="1" spans="1:26">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ht="12.75" customHeight="1" spans="1:26">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ht="12.75" customHeight="1" spans="1:26">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ht="12.75" customHeight="1" spans="1:26">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ht="12.75" customHeight="1" spans="1:26">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ht="12.75" customHeight="1" spans="1:26">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ht="12.75" customHeight="1" spans="1:26">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ht="12.75" customHeight="1" spans="1:26">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ht="12.75" customHeight="1" spans="1:26">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ht="12.75" customHeight="1" spans="1:26">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ht="12.75" customHeight="1" spans="1:26">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ht="12.75" customHeight="1" spans="1:26">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ht="12.75" customHeight="1" spans="1:26">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ht="12.75" customHeight="1" spans="1:26">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ht="12.75" customHeight="1" spans="1:26">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ht="12.75" customHeight="1" spans="1:26">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ht="12.75" customHeight="1" spans="1:26">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ht="12.75" customHeight="1" spans="1:26">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ht="12.75" customHeight="1" spans="1:26">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ht="12.75" customHeight="1" spans="1:26">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ht="12.75" customHeight="1" spans="1:26">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ht="12.75" customHeight="1" spans="1:26">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ht="12.75" customHeight="1" spans="1:26">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ht="12.75" customHeight="1" spans="1:26">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ht="12.75" customHeight="1" spans="1:26">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ht="12.75" customHeight="1" spans="1:26">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ht="12.75" customHeight="1" spans="1:26">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ht="12.75" customHeight="1" spans="1:26">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ht="12.75" customHeight="1" spans="1:26">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ht="12.75" customHeight="1" spans="1:26">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ht="12.75" customHeight="1" spans="1:26">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ht="12.75" customHeight="1" spans="1:26">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ht="12.75" customHeight="1" spans="1:26">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ht="12.75" customHeight="1" spans="1:26">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ht="12.75" customHeight="1" spans="1:26">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ht="12.75" customHeight="1" spans="1:26">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ht="12.75" customHeight="1" spans="1:26">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ht="12.75" customHeight="1" spans="1:26">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ht="12.75" customHeight="1" spans="1:26">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ht="12.75" customHeight="1" spans="1:26">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ht="12.75" customHeight="1" spans="1:26">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ht="12.75" customHeight="1" spans="1:26">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ht="12.75" customHeight="1" spans="1:26">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ht="12.75" customHeight="1" spans="1:26">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ht="12.75" customHeight="1" spans="1:26">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ht="12.75" customHeight="1" spans="1:26">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ht="12.75" customHeight="1" spans="1:26">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ht="12.75" customHeight="1" spans="1:26">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ht="12.75" customHeight="1" spans="1:26">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ht="12.75" customHeight="1" spans="1:26">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ht="12.75" customHeight="1" spans="1:26">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ht="12.75" customHeight="1" spans="1:26">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ht="12.75" customHeight="1" spans="1:26">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ht="12.75" customHeight="1" spans="1:26">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ht="12.75" customHeight="1" spans="1:26">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ht="12.75" customHeight="1" spans="1:26">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ht="12.75" customHeight="1" spans="1:26">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ht="12.75" customHeight="1" spans="1:26">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ht="12.75" customHeight="1" spans="1:26">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ht="12.75" customHeight="1" spans="1:26">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ht="12.75" customHeight="1" spans="1:26">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ht="12.75" customHeight="1" spans="1:26">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ht="12.75" customHeight="1" spans="1:26">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ht="12.75" customHeight="1" spans="1:26">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ht="12.75" customHeight="1" spans="1:26">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ht="12.75" customHeight="1" spans="1:26">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ht="12.75" customHeight="1" spans="1:26">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ht="12.75" customHeight="1" spans="1:26">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ht="12.75" customHeight="1" spans="1:26">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ht="12.75" customHeight="1" spans="1:26">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ht="12.75" customHeight="1" spans="1:26">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ht="12.75" customHeight="1" spans="1:26">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ht="12.75" customHeight="1" spans="1:26">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ht="12.75" customHeight="1" spans="1:26">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ht="12.75" customHeight="1" spans="1:26">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ht="12.75" customHeight="1" spans="1:26">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ht="12.75" customHeight="1" spans="1:26">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ht="12.75" customHeight="1" spans="1:26">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sheetData>
  <dataValidations count="2">
    <dataValidation type="list" allowBlank="1" showInputMessage="1" showErrorMessage="1" prompt="ESTA NÃO É UMA LATITUTE VÁLIDA - Você deve inserir uma latitude válida: &quot;N&quot; ou &quot;S&quot;." sqref="H2:H487" showDropDown="1">
      <formula1>"N,S,n,s"</formula1>
    </dataValidation>
    <dataValidation type="list" allowBlank="1" showInputMessage="1" showErrorMessage="1" prompt="ESTA NÃO É UMA LONGITUDE VÁLIDA - Você deve inserir uma longitude válida: &quot;L&quot; ou &quot;O&quot;." sqref="L2:L487" showDropDown="1">
      <formula1>"L,O,l,o"</formula1>
    </dataValidation>
  </dataValidations>
  <pageMargins left="0.511811024" right="0.511811024" top="0.787401575" bottom="0.7874015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5"/>
  <sheetViews>
    <sheetView workbookViewId="0">
      <selection activeCell="D9" sqref="D9"/>
    </sheetView>
  </sheetViews>
  <sheetFormatPr defaultColWidth="9" defaultRowHeight="15" outlineLevelCol="3"/>
  <cols>
    <col min="1" max="2" width="9" style="120"/>
    <col min="3" max="3" width="24.7142857142857" style="129" customWidth="1"/>
    <col min="4" max="4" width="17.5714285714286" style="120" customWidth="1"/>
    <col min="5" max="16384" width="9" style="120"/>
  </cols>
  <sheetData>
    <row r="1" spans="1:4">
      <c r="A1" s="120" t="s">
        <v>1032</v>
      </c>
      <c r="C1" s="129" t="s">
        <v>1033</v>
      </c>
      <c r="D1" s="120" t="s">
        <v>1034</v>
      </c>
    </row>
    <row r="2" spans="1:4">
      <c r="A2" s="130" t="s">
        <v>246</v>
      </c>
      <c r="B2" s="130" t="s">
        <v>346</v>
      </c>
      <c r="C2" s="129">
        <v>347.001001592883</v>
      </c>
      <c r="D2" s="120" t="str">
        <f t="shared" ref="D2:D65" si="0">A2&amp;"-"&amp;B2</f>
        <v>POA-GEL</v>
      </c>
    </row>
    <row r="3" spans="1:4">
      <c r="A3" s="130" t="s">
        <v>246</v>
      </c>
      <c r="B3" s="130" t="s">
        <v>279</v>
      </c>
      <c r="C3" s="129">
        <v>836.26693696627</v>
      </c>
      <c r="D3" s="120" t="str">
        <f t="shared" si="0"/>
        <v>POA-CGH</v>
      </c>
    </row>
    <row r="4" spans="1:4">
      <c r="A4" s="130" t="s">
        <v>169</v>
      </c>
      <c r="B4" s="130" t="s">
        <v>246</v>
      </c>
      <c r="C4" s="129">
        <v>532.565527922952</v>
      </c>
      <c r="D4" s="120" t="str">
        <f t="shared" si="0"/>
        <v>CWB-POA</v>
      </c>
    </row>
    <row r="5" spans="1:4">
      <c r="A5" s="130" t="s">
        <v>173</v>
      </c>
      <c r="B5" s="130" t="s">
        <v>279</v>
      </c>
      <c r="C5" s="129">
        <v>487.66050735172</v>
      </c>
      <c r="D5" s="120" t="str">
        <f t="shared" si="0"/>
        <v>FLN-CGH</v>
      </c>
    </row>
    <row r="6" spans="1:4">
      <c r="A6" s="130" t="s">
        <v>246</v>
      </c>
      <c r="B6" s="130" t="s">
        <v>173</v>
      </c>
      <c r="C6" s="129">
        <v>362.424115584363</v>
      </c>
      <c r="D6" s="120" t="str">
        <f t="shared" si="0"/>
        <v>POA-FLN</v>
      </c>
    </row>
    <row r="7" spans="1:4">
      <c r="A7" s="130" t="s">
        <v>264</v>
      </c>
      <c r="B7" s="130" t="s">
        <v>246</v>
      </c>
      <c r="C7" s="129">
        <v>1118.51646634575</v>
      </c>
      <c r="D7" s="120" t="str">
        <f t="shared" si="0"/>
        <v>SDU-POA</v>
      </c>
    </row>
    <row r="8" spans="1:4">
      <c r="A8" s="130" t="s">
        <v>279</v>
      </c>
      <c r="B8" s="130" t="s">
        <v>246</v>
      </c>
      <c r="C8" s="129">
        <v>836.26693696627</v>
      </c>
      <c r="D8" s="120" t="str">
        <f t="shared" si="0"/>
        <v>CGH-POA</v>
      </c>
    </row>
    <row r="9" spans="1:4">
      <c r="A9" s="130" t="s">
        <v>279</v>
      </c>
      <c r="B9" s="130" t="s">
        <v>254</v>
      </c>
      <c r="C9" s="129">
        <v>2127.59435577515</v>
      </c>
      <c r="D9" s="120" t="str">
        <f t="shared" si="0"/>
        <v>CGH-REC</v>
      </c>
    </row>
    <row r="10" spans="1:4">
      <c r="A10" s="130" t="s">
        <v>184</v>
      </c>
      <c r="B10" s="130" t="s">
        <v>208</v>
      </c>
      <c r="C10" s="129">
        <v>475.795308374904</v>
      </c>
      <c r="D10" s="120" t="str">
        <f t="shared" si="0"/>
        <v>GRU-LDB</v>
      </c>
    </row>
    <row r="11" spans="1:4">
      <c r="A11" s="130" t="s">
        <v>246</v>
      </c>
      <c r="B11" s="130" t="s">
        <v>540</v>
      </c>
      <c r="C11" s="129">
        <v>6930.16752656596</v>
      </c>
      <c r="D11" s="120" t="str">
        <f t="shared" si="0"/>
        <v>POA-MIA</v>
      </c>
    </row>
    <row r="12" spans="1:4">
      <c r="A12" s="130" t="s">
        <v>246</v>
      </c>
      <c r="B12" s="130" t="s">
        <v>910</v>
      </c>
      <c r="C12" s="129">
        <v>5283.95398383548</v>
      </c>
      <c r="D12" s="120" t="str">
        <f t="shared" si="0"/>
        <v>POA-PTY</v>
      </c>
    </row>
    <row r="13" spans="1:4">
      <c r="A13" s="130" t="s">
        <v>136</v>
      </c>
      <c r="B13" s="130" t="s">
        <v>184</v>
      </c>
      <c r="C13" s="129">
        <v>853.709881808426</v>
      </c>
      <c r="D13" s="120" t="str">
        <f t="shared" si="0"/>
        <v>BSB-GRU</v>
      </c>
    </row>
    <row r="14" spans="1:4">
      <c r="A14" s="130" t="s">
        <v>173</v>
      </c>
      <c r="B14" s="130" t="s">
        <v>142</v>
      </c>
      <c r="C14" s="129">
        <v>537.215817878419</v>
      </c>
      <c r="D14" s="120" t="str">
        <f t="shared" si="0"/>
        <v>FLN-VCP</v>
      </c>
    </row>
    <row r="15" spans="1:4">
      <c r="A15" s="130" t="s">
        <v>173</v>
      </c>
      <c r="B15" s="130" t="s">
        <v>264</v>
      </c>
      <c r="C15" s="129">
        <v>756.35216076205</v>
      </c>
      <c r="D15" s="120" t="str">
        <f t="shared" si="0"/>
        <v>FLN-SDU</v>
      </c>
    </row>
    <row r="16" spans="1:4">
      <c r="A16" s="130" t="s">
        <v>246</v>
      </c>
      <c r="B16" s="130" t="s">
        <v>169</v>
      </c>
      <c r="C16" s="129">
        <v>532.565527922952</v>
      </c>
      <c r="D16" s="120" t="str">
        <f t="shared" si="0"/>
        <v>POA-CWB</v>
      </c>
    </row>
    <row r="17" spans="1:4">
      <c r="A17" s="130" t="s">
        <v>246</v>
      </c>
      <c r="B17" s="130" t="s">
        <v>142</v>
      </c>
      <c r="C17" s="129">
        <v>872.85268250236</v>
      </c>
      <c r="D17" s="120" t="str">
        <f t="shared" si="0"/>
        <v>POA-VCP</v>
      </c>
    </row>
    <row r="18" spans="1:4">
      <c r="A18" s="130" t="s">
        <v>155</v>
      </c>
      <c r="B18" s="130" t="s">
        <v>142</v>
      </c>
      <c r="C18" s="129">
        <v>720.374916904542</v>
      </c>
      <c r="D18" s="120" t="str">
        <f t="shared" si="0"/>
        <v>XAP-VCP</v>
      </c>
    </row>
    <row r="19" spans="1:4">
      <c r="A19" s="130" t="s">
        <v>246</v>
      </c>
      <c r="B19" s="130" t="s">
        <v>136</v>
      </c>
      <c r="C19" s="129">
        <v>1602.94480959559</v>
      </c>
      <c r="D19" s="120" t="str">
        <f t="shared" si="0"/>
        <v>POA-BSB</v>
      </c>
    </row>
    <row r="20" spans="1:4">
      <c r="A20" s="130" t="s">
        <v>246</v>
      </c>
      <c r="B20" s="130" t="s">
        <v>184</v>
      </c>
      <c r="C20" s="129">
        <v>864.608970428821</v>
      </c>
      <c r="D20" s="120" t="str">
        <f t="shared" si="0"/>
        <v>POA-GRU</v>
      </c>
    </row>
    <row r="21" spans="1:4">
      <c r="A21" s="130" t="s">
        <v>115</v>
      </c>
      <c r="B21" s="130" t="s">
        <v>184</v>
      </c>
      <c r="C21" s="129">
        <v>1703.94964551246</v>
      </c>
      <c r="D21" s="120" t="str">
        <f t="shared" si="0"/>
        <v>AJU-GRU</v>
      </c>
    </row>
    <row r="22" spans="1:4">
      <c r="A22" s="130" t="s">
        <v>264</v>
      </c>
      <c r="B22" s="130" t="s">
        <v>173</v>
      </c>
      <c r="C22" s="129">
        <v>756.35216076205</v>
      </c>
      <c r="D22" s="120" t="str">
        <f t="shared" si="0"/>
        <v>SDU-FLN</v>
      </c>
    </row>
    <row r="23" spans="1:4">
      <c r="A23" s="130" t="s">
        <v>173</v>
      </c>
      <c r="B23" s="130" t="s">
        <v>246</v>
      </c>
      <c r="C23" s="129">
        <v>362.424115584363</v>
      </c>
      <c r="D23" s="120" t="str">
        <f t="shared" si="0"/>
        <v>FLN-POA</v>
      </c>
    </row>
    <row r="24" spans="1:4">
      <c r="A24" s="130" t="s">
        <v>173</v>
      </c>
      <c r="B24" s="130" t="s">
        <v>155</v>
      </c>
      <c r="C24" s="129">
        <v>409.741894741543</v>
      </c>
      <c r="D24" s="120" t="str">
        <f t="shared" si="0"/>
        <v>FLN-XAP</v>
      </c>
    </row>
    <row r="25" spans="1:4">
      <c r="A25" s="130" t="s">
        <v>264</v>
      </c>
      <c r="B25" s="130" t="s">
        <v>279</v>
      </c>
      <c r="C25" s="129">
        <v>365.253603434541</v>
      </c>
      <c r="D25" s="120" t="str">
        <f t="shared" si="0"/>
        <v>SDU-CGH</v>
      </c>
    </row>
    <row r="26" spans="1:4">
      <c r="A26" s="130" t="s">
        <v>177</v>
      </c>
      <c r="B26" s="130" t="s">
        <v>169</v>
      </c>
      <c r="C26" s="129">
        <v>532.447612098574</v>
      </c>
      <c r="D26" s="120" t="str">
        <f t="shared" si="0"/>
        <v>IGU-CWB</v>
      </c>
    </row>
    <row r="27" spans="1:4">
      <c r="A27" s="130" t="s">
        <v>177</v>
      </c>
      <c r="B27" s="130" t="s">
        <v>279</v>
      </c>
      <c r="C27" s="129">
        <v>820.766240773672</v>
      </c>
      <c r="D27" s="120" t="str">
        <f t="shared" si="0"/>
        <v>IGU-CGH</v>
      </c>
    </row>
    <row r="28" spans="1:4">
      <c r="A28" s="130" t="s">
        <v>173</v>
      </c>
      <c r="B28" s="130" t="s">
        <v>184</v>
      </c>
      <c r="C28" s="129">
        <v>514.967364143615</v>
      </c>
      <c r="D28" s="120" t="str">
        <f t="shared" si="0"/>
        <v>FLN-GRU</v>
      </c>
    </row>
    <row r="29" spans="1:4">
      <c r="A29" s="130" t="s">
        <v>177</v>
      </c>
      <c r="B29" s="130" t="s">
        <v>246</v>
      </c>
      <c r="C29" s="129">
        <v>586.456613140725</v>
      </c>
      <c r="D29" s="120" t="str">
        <f t="shared" si="0"/>
        <v>IGU-POA</v>
      </c>
    </row>
    <row r="30" spans="1:4">
      <c r="A30" s="130" t="s">
        <v>246</v>
      </c>
      <c r="B30" s="130" t="s">
        <v>264</v>
      </c>
      <c r="C30" s="129">
        <v>1118.51646634575</v>
      </c>
      <c r="D30" s="120" t="str">
        <f t="shared" si="0"/>
        <v>POA-SDU</v>
      </c>
    </row>
    <row r="31" spans="1:4">
      <c r="A31" s="130" t="s">
        <v>155</v>
      </c>
      <c r="B31" s="130" t="s">
        <v>184</v>
      </c>
      <c r="C31" s="129">
        <v>745.263234982122</v>
      </c>
      <c r="D31" s="120" t="str">
        <f t="shared" si="0"/>
        <v>XAP-GRU</v>
      </c>
    </row>
    <row r="32" spans="1:4">
      <c r="A32" s="130" t="s">
        <v>184</v>
      </c>
      <c r="B32" s="130" t="s">
        <v>246</v>
      </c>
      <c r="C32" s="129">
        <v>864.608970428821</v>
      </c>
      <c r="D32" s="120" t="str">
        <f t="shared" si="0"/>
        <v>GRU-POA</v>
      </c>
    </row>
    <row r="33" spans="1:4">
      <c r="A33" s="130" t="s">
        <v>184</v>
      </c>
      <c r="B33" s="130" t="s">
        <v>287</v>
      </c>
      <c r="C33" s="129">
        <v>537.23994671237</v>
      </c>
      <c r="D33" s="120" t="str">
        <f t="shared" si="0"/>
        <v>GRU-UDI</v>
      </c>
    </row>
    <row r="34" spans="1:4">
      <c r="A34" s="130" t="s">
        <v>228</v>
      </c>
      <c r="B34" s="130" t="s">
        <v>279</v>
      </c>
      <c r="C34" s="129">
        <v>413.419001095723</v>
      </c>
      <c r="D34" s="120" t="str">
        <f t="shared" si="0"/>
        <v>NVT-CGH</v>
      </c>
    </row>
    <row r="35" spans="1:4">
      <c r="A35" s="130" t="s">
        <v>279</v>
      </c>
      <c r="B35" s="130" t="s">
        <v>264</v>
      </c>
      <c r="C35" s="129">
        <v>365.253603434541</v>
      </c>
      <c r="D35" s="120" t="str">
        <f t="shared" si="0"/>
        <v>CGH-SDU</v>
      </c>
    </row>
    <row r="36" spans="1:4">
      <c r="A36" s="130" t="s">
        <v>155</v>
      </c>
      <c r="B36" s="130" t="s">
        <v>173</v>
      </c>
      <c r="C36" s="129">
        <v>409.741894741543</v>
      </c>
      <c r="D36" s="120" t="str">
        <f t="shared" si="0"/>
        <v>XAP-FLN</v>
      </c>
    </row>
    <row r="37" spans="1:4">
      <c r="A37" s="130" t="s">
        <v>279</v>
      </c>
      <c r="B37" s="130" t="s">
        <v>173</v>
      </c>
      <c r="C37" s="129">
        <v>487.66050735172</v>
      </c>
      <c r="D37" s="120" t="str">
        <f t="shared" si="0"/>
        <v>CGH-FLN</v>
      </c>
    </row>
    <row r="38" spans="1:4">
      <c r="A38" s="130" t="s">
        <v>279</v>
      </c>
      <c r="B38" s="130" t="s">
        <v>287</v>
      </c>
      <c r="C38" s="129">
        <v>551.63456095476</v>
      </c>
      <c r="D38" s="120" t="str">
        <f t="shared" si="0"/>
        <v>CGH-UDI</v>
      </c>
    </row>
    <row r="39" spans="1:4">
      <c r="A39" s="130" t="s">
        <v>136</v>
      </c>
      <c r="B39" s="130" t="s">
        <v>246</v>
      </c>
      <c r="C39" s="129">
        <v>1602.94480959559</v>
      </c>
      <c r="D39" s="120" t="str">
        <f t="shared" si="0"/>
        <v>BSB-POA</v>
      </c>
    </row>
    <row r="40" spans="1:4">
      <c r="A40" s="130" t="s">
        <v>264</v>
      </c>
      <c r="B40" s="130" t="s">
        <v>184</v>
      </c>
      <c r="C40" s="129">
        <v>342.692291586235</v>
      </c>
      <c r="D40" s="120" t="str">
        <f t="shared" si="0"/>
        <v>SDU-GRU</v>
      </c>
    </row>
    <row r="41" spans="1:4">
      <c r="A41" s="130" t="s">
        <v>246</v>
      </c>
      <c r="B41" s="130" t="s">
        <v>951</v>
      </c>
      <c r="C41" s="129">
        <v>8793.65205983394</v>
      </c>
      <c r="D41" s="120" t="str">
        <f t="shared" si="0"/>
        <v>POA-LIS</v>
      </c>
    </row>
    <row r="42" spans="1:4">
      <c r="A42" s="130" t="s">
        <v>484</v>
      </c>
      <c r="B42" s="130" t="s">
        <v>690</v>
      </c>
      <c r="C42" s="129">
        <v>857.828202417539</v>
      </c>
      <c r="D42" s="120" t="str">
        <f t="shared" si="0"/>
        <v>BCN-CDG</v>
      </c>
    </row>
    <row r="43" spans="1:4">
      <c r="A43" s="130" t="s">
        <v>279</v>
      </c>
      <c r="B43" s="130" t="s">
        <v>136</v>
      </c>
      <c r="C43" s="129">
        <v>871.84546419309</v>
      </c>
      <c r="D43" s="120" t="str">
        <f t="shared" si="0"/>
        <v>CGH-BSB</v>
      </c>
    </row>
    <row r="44" spans="1:4">
      <c r="A44" s="130" t="s">
        <v>264</v>
      </c>
      <c r="B44" s="130" t="s">
        <v>136</v>
      </c>
      <c r="C44" s="129">
        <v>927.303994524247</v>
      </c>
      <c r="D44" s="120" t="str">
        <f t="shared" si="0"/>
        <v>SDU-BSB</v>
      </c>
    </row>
    <row r="45" spans="1:4">
      <c r="A45" s="130" t="s">
        <v>142</v>
      </c>
      <c r="B45" s="130" t="s">
        <v>246</v>
      </c>
      <c r="C45" s="129">
        <v>872.85268250236</v>
      </c>
      <c r="D45" s="120" t="str">
        <f t="shared" si="0"/>
        <v>VCP-POA</v>
      </c>
    </row>
    <row r="46" spans="1:4">
      <c r="A46" s="130" t="s">
        <v>346</v>
      </c>
      <c r="B46" s="130" t="s">
        <v>184</v>
      </c>
      <c r="C46" s="129">
        <v>939.395894313616</v>
      </c>
      <c r="D46" s="120" t="str">
        <f t="shared" si="0"/>
        <v>GEL-GRU</v>
      </c>
    </row>
    <row r="47" spans="1:4">
      <c r="A47" s="130" t="s">
        <v>208</v>
      </c>
      <c r="B47" s="130" t="s">
        <v>184</v>
      </c>
      <c r="C47" s="129">
        <v>475.795308374904</v>
      </c>
      <c r="D47" s="120" t="str">
        <f t="shared" si="0"/>
        <v>LDB-GRU</v>
      </c>
    </row>
    <row r="48" spans="1:4">
      <c r="A48" s="130" t="s">
        <v>184</v>
      </c>
      <c r="B48" s="130" t="s">
        <v>115</v>
      </c>
      <c r="C48" s="129">
        <v>1703.94964551246</v>
      </c>
      <c r="D48" s="120" t="str">
        <f t="shared" si="0"/>
        <v>GRU-AJU</v>
      </c>
    </row>
    <row r="49" spans="1:4">
      <c r="A49" s="130" t="s">
        <v>246</v>
      </c>
      <c r="B49" s="130" t="s">
        <v>312</v>
      </c>
      <c r="C49" s="129">
        <v>244.400579242158</v>
      </c>
      <c r="D49" s="120" t="str">
        <f t="shared" si="0"/>
        <v>POA-RIA</v>
      </c>
    </row>
    <row r="50" spans="1:4">
      <c r="A50" s="130" t="s">
        <v>169</v>
      </c>
      <c r="B50" s="130" t="s">
        <v>184</v>
      </c>
      <c r="C50" s="129">
        <v>359.410204039793</v>
      </c>
      <c r="D50" s="120" t="str">
        <f t="shared" si="0"/>
        <v>CWB-GRU</v>
      </c>
    </row>
    <row r="51" spans="1:4">
      <c r="A51" s="130" t="s">
        <v>262</v>
      </c>
      <c r="B51" s="130" t="s">
        <v>246</v>
      </c>
      <c r="C51" s="129">
        <v>1121.07412525836</v>
      </c>
      <c r="D51" s="120" t="str">
        <f t="shared" si="0"/>
        <v>GIG-POA</v>
      </c>
    </row>
    <row r="52" spans="1:4">
      <c r="A52" s="130" t="s">
        <v>184</v>
      </c>
      <c r="B52" s="130" t="s">
        <v>254</v>
      </c>
      <c r="C52" s="129">
        <v>2098.89334123186</v>
      </c>
      <c r="D52" s="120" t="str">
        <f t="shared" si="0"/>
        <v>GRU-REC</v>
      </c>
    </row>
    <row r="53" spans="1:4">
      <c r="A53" s="130" t="s">
        <v>136</v>
      </c>
      <c r="B53" s="130" t="s">
        <v>279</v>
      </c>
      <c r="C53" s="129">
        <v>871.84546419309</v>
      </c>
      <c r="D53" s="120" t="str">
        <f t="shared" si="0"/>
        <v>BSB-CGH</v>
      </c>
    </row>
    <row r="54" spans="1:4">
      <c r="A54" s="130" t="s">
        <v>228</v>
      </c>
      <c r="B54" s="130" t="s">
        <v>246</v>
      </c>
      <c r="C54" s="129">
        <v>423.802569698991</v>
      </c>
      <c r="D54" s="120" t="str">
        <f t="shared" si="0"/>
        <v>NVT-POA</v>
      </c>
    </row>
    <row r="55" spans="1:4">
      <c r="A55" s="130" t="s">
        <v>184</v>
      </c>
      <c r="B55" s="130" t="s">
        <v>173</v>
      </c>
      <c r="C55" s="129">
        <v>514.967364143615</v>
      </c>
      <c r="D55" s="120" t="str">
        <f t="shared" si="0"/>
        <v>GRU-FLN</v>
      </c>
    </row>
    <row r="56" spans="1:4">
      <c r="A56" s="130" t="s">
        <v>254</v>
      </c>
      <c r="B56" s="130" t="s">
        <v>184</v>
      </c>
      <c r="C56" s="129">
        <v>2098.89334123186</v>
      </c>
      <c r="D56" s="120" t="str">
        <f t="shared" si="0"/>
        <v>REC-GRU</v>
      </c>
    </row>
    <row r="57" spans="1:4">
      <c r="A57" s="130" t="s">
        <v>540</v>
      </c>
      <c r="B57" s="130" t="s">
        <v>246</v>
      </c>
      <c r="C57" s="129">
        <v>6930.16752656596</v>
      </c>
      <c r="D57" s="120" t="str">
        <f t="shared" si="0"/>
        <v>MIA-POA</v>
      </c>
    </row>
    <row r="58" spans="1:4">
      <c r="A58" s="130" t="s">
        <v>910</v>
      </c>
      <c r="B58" s="130" t="s">
        <v>540</v>
      </c>
      <c r="C58" s="129">
        <v>1860.81982361486</v>
      </c>
      <c r="D58" s="120" t="str">
        <f t="shared" si="0"/>
        <v>PTY-MIA</v>
      </c>
    </row>
    <row r="59" spans="1:4">
      <c r="A59" s="130" t="s">
        <v>184</v>
      </c>
      <c r="B59" s="130" t="s">
        <v>155</v>
      </c>
      <c r="C59" s="129">
        <v>745.263234982122</v>
      </c>
      <c r="D59" s="120" t="str">
        <f t="shared" si="0"/>
        <v>GRU-XAP</v>
      </c>
    </row>
    <row r="60" spans="1:4">
      <c r="A60" s="130" t="s">
        <v>279</v>
      </c>
      <c r="B60" s="130" t="s">
        <v>295</v>
      </c>
      <c r="C60" s="129">
        <v>756.393550836868</v>
      </c>
      <c r="D60" s="120" t="str">
        <f t="shared" si="0"/>
        <v>CGH-VIX</v>
      </c>
    </row>
    <row r="61" spans="1:4">
      <c r="A61" s="130" t="s">
        <v>279</v>
      </c>
      <c r="B61" s="130" t="s">
        <v>177</v>
      </c>
      <c r="C61" s="129">
        <v>820.766240773672</v>
      </c>
      <c r="D61" s="120" t="str">
        <f t="shared" si="0"/>
        <v>CGH-IGU</v>
      </c>
    </row>
    <row r="62" spans="1:4">
      <c r="A62" s="130" t="s">
        <v>142</v>
      </c>
      <c r="B62" s="130" t="s">
        <v>155</v>
      </c>
      <c r="C62" s="129">
        <v>720.374916904542</v>
      </c>
      <c r="D62" s="120" t="str">
        <f t="shared" si="0"/>
        <v>VCP-XAP</v>
      </c>
    </row>
    <row r="63" spans="1:4">
      <c r="A63" s="130" t="s">
        <v>279</v>
      </c>
      <c r="B63" s="130" t="s">
        <v>228</v>
      </c>
      <c r="C63" s="129">
        <v>413.419001095723</v>
      </c>
      <c r="D63" s="120" t="str">
        <f t="shared" si="0"/>
        <v>CGH-NVT</v>
      </c>
    </row>
    <row r="64" spans="1:4">
      <c r="A64" s="130" t="s">
        <v>142</v>
      </c>
      <c r="B64" s="130" t="s">
        <v>228</v>
      </c>
      <c r="C64" s="129">
        <v>456.632952450079</v>
      </c>
      <c r="D64" s="120" t="str">
        <f t="shared" si="0"/>
        <v>VCP-NVT</v>
      </c>
    </row>
    <row r="65" spans="1:4">
      <c r="A65" s="130" t="s">
        <v>169</v>
      </c>
      <c r="B65" s="130" t="s">
        <v>177</v>
      </c>
      <c r="C65" s="129">
        <v>532.447612098574</v>
      </c>
      <c r="D65" s="120" t="str">
        <f t="shared" si="0"/>
        <v>CWB-IGU</v>
      </c>
    </row>
    <row r="66" spans="1:4">
      <c r="A66" s="130" t="s">
        <v>287</v>
      </c>
      <c r="B66" s="130" t="s">
        <v>184</v>
      </c>
      <c r="C66" s="129">
        <v>537.23994671237</v>
      </c>
      <c r="D66" s="120" t="str">
        <f t="shared" ref="D66:D129" si="1">A66&amp;"-"&amp;B66</f>
        <v>UDI-GRU</v>
      </c>
    </row>
    <row r="67" spans="1:4">
      <c r="A67" s="130" t="s">
        <v>254</v>
      </c>
      <c r="B67" s="130" t="s">
        <v>279</v>
      </c>
      <c r="C67" s="129">
        <v>2127.59435577515</v>
      </c>
      <c r="D67" s="120" t="str">
        <f t="shared" si="1"/>
        <v>REC-CGH</v>
      </c>
    </row>
    <row r="68" spans="1:4">
      <c r="A68" s="130" t="s">
        <v>279</v>
      </c>
      <c r="B68" s="130" t="s">
        <v>175</v>
      </c>
      <c r="C68" s="129">
        <v>2371.75153700828</v>
      </c>
      <c r="D68" s="120" t="str">
        <f t="shared" si="1"/>
        <v>CGH-FOR</v>
      </c>
    </row>
    <row r="69" spans="1:4">
      <c r="A69" s="130" t="s">
        <v>264</v>
      </c>
      <c r="B69" s="130" t="s">
        <v>254</v>
      </c>
      <c r="C69" s="129">
        <v>1863.28504321752</v>
      </c>
      <c r="D69" s="120" t="str">
        <f t="shared" si="1"/>
        <v>SDU-REC</v>
      </c>
    </row>
    <row r="70" spans="1:4">
      <c r="A70" s="130" t="s">
        <v>142</v>
      </c>
      <c r="B70" s="130" t="s">
        <v>173</v>
      </c>
      <c r="C70" s="129">
        <v>537.215817878419</v>
      </c>
      <c r="D70" s="120" t="str">
        <f t="shared" si="1"/>
        <v>VCP-FLN</v>
      </c>
    </row>
    <row r="71" spans="1:4">
      <c r="A71" s="130" t="s">
        <v>142</v>
      </c>
      <c r="B71" s="130" t="s">
        <v>287</v>
      </c>
      <c r="C71" s="129">
        <v>472.110591154858</v>
      </c>
      <c r="D71" s="120" t="str">
        <f t="shared" si="1"/>
        <v>VCP-UDI</v>
      </c>
    </row>
    <row r="72" spans="1:4">
      <c r="A72" s="130" t="s">
        <v>184</v>
      </c>
      <c r="B72" s="130" t="s">
        <v>374</v>
      </c>
      <c r="C72" s="129">
        <v>8187.99538569192</v>
      </c>
      <c r="D72" s="120" t="str">
        <f t="shared" si="1"/>
        <v>GRU-YYZ</v>
      </c>
    </row>
    <row r="73" spans="1:4">
      <c r="A73" s="130" t="s">
        <v>184</v>
      </c>
      <c r="B73" s="130" t="s">
        <v>951</v>
      </c>
      <c r="C73" s="129">
        <v>7929.40970524564</v>
      </c>
      <c r="D73" s="120" t="str">
        <f t="shared" si="1"/>
        <v>GRU-LIS</v>
      </c>
    </row>
    <row r="74" spans="1:4">
      <c r="A74" s="130" t="s">
        <v>951</v>
      </c>
      <c r="B74" s="130" t="s">
        <v>484</v>
      </c>
      <c r="C74" s="129">
        <v>993.306013483756</v>
      </c>
      <c r="D74" s="120" t="str">
        <f t="shared" si="1"/>
        <v>LIS-BCN</v>
      </c>
    </row>
    <row r="75" spans="1:4">
      <c r="A75" s="130" t="s">
        <v>690</v>
      </c>
      <c r="B75" s="130" t="s">
        <v>184</v>
      </c>
      <c r="C75" s="129">
        <v>9397.97063618583</v>
      </c>
      <c r="D75" s="120" t="str">
        <f t="shared" si="1"/>
        <v>CDG-GRU</v>
      </c>
    </row>
    <row r="76" spans="1:4">
      <c r="A76" s="130" t="s">
        <v>136</v>
      </c>
      <c r="B76" s="130" t="s">
        <v>264</v>
      </c>
      <c r="C76" s="129">
        <v>927.303994524247</v>
      </c>
      <c r="D76" s="120" t="str">
        <f t="shared" si="1"/>
        <v>BSB-SDU</v>
      </c>
    </row>
    <row r="77" spans="1:4">
      <c r="A77" s="130" t="s">
        <v>169</v>
      </c>
      <c r="B77" s="130" t="s">
        <v>151</v>
      </c>
      <c r="C77" s="129">
        <v>437.681631675935</v>
      </c>
      <c r="D77" s="120" t="str">
        <f t="shared" si="1"/>
        <v>CWB-CAC</v>
      </c>
    </row>
    <row r="78" spans="1:4">
      <c r="A78" s="130" t="s">
        <v>184</v>
      </c>
      <c r="B78" s="130" t="s">
        <v>486</v>
      </c>
      <c r="C78" s="129">
        <v>8373.02455444656</v>
      </c>
      <c r="D78" s="120" t="str">
        <f t="shared" si="1"/>
        <v>GRU-MAD</v>
      </c>
    </row>
    <row r="79" spans="1:4">
      <c r="A79" s="130" t="s">
        <v>312</v>
      </c>
      <c r="B79" s="130" t="s">
        <v>246</v>
      </c>
      <c r="C79" s="129">
        <v>244.400579242158</v>
      </c>
      <c r="D79" s="120" t="str">
        <f t="shared" si="1"/>
        <v>RIA-POA</v>
      </c>
    </row>
    <row r="80" spans="1:4">
      <c r="A80" s="130" t="s">
        <v>184</v>
      </c>
      <c r="B80" s="130" t="s">
        <v>153</v>
      </c>
      <c r="C80" s="129">
        <v>794.276665370552</v>
      </c>
      <c r="D80" s="120" t="str">
        <f t="shared" si="1"/>
        <v>GRU-CXJ</v>
      </c>
    </row>
    <row r="81" spans="1:4">
      <c r="A81" s="130" t="s">
        <v>184</v>
      </c>
      <c r="B81" s="130" t="s">
        <v>169</v>
      </c>
      <c r="C81" s="129">
        <v>359.410204039793</v>
      </c>
      <c r="D81" s="120" t="str">
        <f t="shared" si="1"/>
        <v>GRU-CWB</v>
      </c>
    </row>
    <row r="82" spans="1:4">
      <c r="A82" s="130" t="s">
        <v>142</v>
      </c>
      <c r="B82" s="130" t="s">
        <v>151</v>
      </c>
      <c r="C82" s="129">
        <v>679.683588458363</v>
      </c>
      <c r="D82" s="120" t="str">
        <f t="shared" si="1"/>
        <v>VCP-CAC</v>
      </c>
    </row>
    <row r="83" spans="1:4">
      <c r="A83" s="130" t="s">
        <v>246</v>
      </c>
      <c r="B83" s="130" t="s">
        <v>262</v>
      </c>
      <c r="C83" s="129">
        <v>1121.07412525836</v>
      </c>
      <c r="D83" s="120" t="str">
        <f t="shared" si="1"/>
        <v>POA-GIG</v>
      </c>
    </row>
    <row r="84" spans="1:4">
      <c r="A84" s="130" t="s">
        <v>279</v>
      </c>
      <c r="B84" s="130" t="s">
        <v>179</v>
      </c>
      <c r="C84" s="129">
        <v>821.966571102945</v>
      </c>
      <c r="D84" s="120" t="str">
        <f t="shared" si="1"/>
        <v>CGH-GYN</v>
      </c>
    </row>
    <row r="85" spans="1:4">
      <c r="A85" s="130" t="s">
        <v>184</v>
      </c>
      <c r="B85" s="130" t="s">
        <v>175</v>
      </c>
      <c r="C85" s="129">
        <v>2344.49208835382</v>
      </c>
      <c r="D85" s="120" t="str">
        <f t="shared" si="1"/>
        <v>GRU-FOR</v>
      </c>
    </row>
    <row r="86" spans="1:4">
      <c r="A86" s="130" t="s">
        <v>246</v>
      </c>
      <c r="B86" s="130" t="s">
        <v>228</v>
      </c>
      <c r="C86" s="129">
        <v>423.802569698991</v>
      </c>
      <c r="D86" s="120" t="str">
        <f t="shared" si="1"/>
        <v>POA-NVT</v>
      </c>
    </row>
    <row r="87" spans="1:4">
      <c r="A87" s="130" t="s">
        <v>540</v>
      </c>
      <c r="B87" s="130" t="s">
        <v>910</v>
      </c>
      <c r="C87" s="129">
        <v>1860.81982361486</v>
      </c>
      <c r="D87" s="120" t="str">
        <f t="shared" si="1"/>
        <v>MIA-PTY</v>
      </c>
    </row>
    <row r="88" spans="1:4">
      <c r="A88" s="130" t="s">
        <v>295</v>
      </c>
      <c r="B88" s="130" t="s">
        <v>279</v>
      </c>
      <c r="C88" s="129">
        <v>756.393550836868</v>
      </c>
      <c r="D88" s="120" t="str">
        <f t="shared" si="1"/>
        <v>VIX-CGH</v>
      </c>
    </row>
    <row r="89" spans="1:4">
      <c r="A89" s="130" t="s">
        <v>295</v>
      </c>
      <c r="B89" s="130" t="s">
        <v>264</v>
      </c>
      <c r="C89" s="129">
        <v>417.969361534467</v>
      </c>
      <c r="D89" s="120" t="str">
        <f t="shared" si="1"/>
        <v>VIX-SDU</v>
      </c>
    </row>
    <row r="90" spans="1:4">
      <c r="A90" s="130" t="s">
        <v>177</v>
      </c>
      <c r="B90" s="130" t="s">
        <v>184</v>
      </c>
      <c r="C90" s="129">
        <v>845.360783863113</v>
      </c>
      <c r="D90" s="120" t="str">
        <f t="shared" si="1"/>
        <v>IGU-GRU</v>
      </c>
    </row>
    <row r="91" spans="1:4">
      <c r="A91" s="130" t="s">
        <v>175</v>
      </c>
      <c r="B91" s="130" t="s">
        <v>279</v>
      </c>
      <c r="C91" s="129">
        <v>2371.75153700828</v>
      </c>
      <c r="D91" s="120" t="str">
        <f t="shared" si="1"/>
        <v>FOR-CGH</v>
      </c>
    </row>
    <row r="92" spans="1:4">
      <c r="A92" s="130" t="s">
        <v>287</v>
      </c>
      <c r="B92" s="130" t="s">
        <v>142</v>
      </c>
      <c r="C92" s="129">
        <v>472.110591154858</v>
      </c>
      <c r="D92" s="120" t="str">
        <f t="shared" si="1"/>
        <v>UDI-VCP</v>
      </c>
    </row>
    <row r="93" spans="1:4">
      <c r="A93" s="130" t="s">
        <v>374</v>
      </c>
      <c r="B93" s="130" t="s">
        <v>184</v>
      </c>
      <c r="C93" s="129">
        <v>8187.99538569192</v>
      </c>
      <c r="D93" s="120" t="str">
        <f t="shared" si="1"/>
        <v>YYZ-GRU</v>
      </c>
    </row>
    <row r="94" spans="1:4">
      <c r="A94" s="130" t="s">
        <v>151</v>
      </c>
      <c r="B94" s="130" t="s">
        <v>142</v>
      </c>
      <c r="C94" s="129">
        <v>679.683588458363</v>
      </c>
      <c r="D94" s="120" t="str">
        <f t="shared" si="1"/>
        <v>CAC-VCP</v>
      </c>
    </row>
    <row r="95" spans="1:4">
      <c r="A95" s="130" t="s">
        <v>486</v>
      </c>
      <c r="B95" s="130" t="s">
        <v>786</v>
      </c>
      <c r="C95" s="129">
        <v>3541.91543990805</v>
      </c>
      <c r="D95" s="120" t="str">
        <f t="shared" si="1"/>
        <v>MAD-TLV</v>
      </c>
    </row>
    <row r="96" spans="1:4">
      <c r="A96" s="130" t="s">
        <v>115</v>
      </c>
      <c r="B96" s="130" t="s">
        <v>262</v>
      </c>
      <c r="C96" s="129">
        <v>1468.13103840441</v>
      </c>
      <c r="D96" s="120" t="str">
        <f t="shared" si="1"/>
        <v>AJU-GIG</v>
      </c>
    </row>
    <row r="97" spans="1:4">
      <c r="A97" s="130" t="s">
        <v>151</v>
      </c>
      <c r="B97" s="130" t="s">
        <v>169</v>
      </c>
      <c r="C97" s="129">
        <v>437.681631675935</v>
      </c>
      <c r="D97" s="120" t="str">
        <f t="shared" si="1"/>
        <v>CAC-CWB</v>
      </c>
    </row>
    <row r="98" spans="1:4">
      <c r="A98" s="130" t="s">
        <v>179</v>
      </c>
      <c r="B98" s="130" t="s">
        <v>184</v>
      </c>
      <c r="C98" s="129">
        <v>808.274176395045</v>
      </c>
      <c r="D98" s="120" t="str">
        <f t="shared" si="1"/>
        <v>GYN-GRU</v>
      </c>
    </row>
    <row r="99" spans="1:4">
      <c r="A99" s="130" t="s">
        <v>175</v>
      </c>
      <c r="B99" s="130" t="s">
        <v>262</v>
      </c>
      <c r="C99" s="129">
        <v>2174.74734335784</v>
      </c>
      <c r="D99" s="120" t="str">
        <f t="shared" si="1"/>
        <v>FOR-GIG</v>
      </c>
    </row>
    <row r="100" spans="1:4">
      <c r="A100" s="130" t="s">
        <v>910</v>
      </c>
      <c r="B100" s="130" t="s">
        <v>246</v>
      </c>
      <c r="C100" s="129">
        <v>5283.95398383548</v>
      </c>
      <c r="D100" s="120" t="str">
        <f t="shared" si="1"/>
        <v>PTY-POA</v>
      </c>
    </row>
    <row r="101" spans="1:4">
      <c r="A101" s="130" t="s">
        <v>786</v>
      </c>
      <c r="B101" s="130" t="s">
        <v>486</v>
      </c>
      <c r="C101" s="129">
        <v>3541.91543990805</v>
      </c>
      <c r="D101" s="120" t="str">
        <f t="shared" si="1"/>
        <v>TLV-MAD</v>
      </c>
    </row>
    <row r="102" spans="1:4">
      <c r="A102" s="130" t="s">
        <v>246</v>
      </c>
      <c r="B102" s="130" t="s">
        <v>177</v>
      </c>
      <c r="C102" s="129">
        <v>586.456613140725</v>
      </c>
      <c r="D102" s="120" t="str">
        <f t="shared" si="1"/>
        <v>POA-IGU</v>
      </c>
    </row>
    <row r="103" spans="1:4">
      <c r="A103" s="130" t="s">
        <v>246</v>
      </c>
      <c r="B103" s="130" t="s">
        <v>289</v>
      </c>
      <c r="C103" s="129">
        <v>565.612581066857</v>
      </c>
      <c r="D103" s="120" t="str">
        <f t="shared" si="1"/>
        <v>POA-URG</v>
      </c>
    </row>
    <row r="104" spans="1:4">
      <c r="A104" s="130" t="s">
        <v>536</v>
      </c>
      <c r="B104" s="130" t="s">
        <v>540</v>
      </c>
      <c r="C104" s="129">
        <v>3491.76373799808</v>
      </c>
      <c r="D104" s="120" t="str">
        <f t="shared" si="1"/>
        <v>LAS-MIA</v>
      </c>
    </row>
    <row r="105" spans="1:4">
      <c r="A105" s="130" t="s">
        <v>173</v>
      </c>
      <c r="B105" s="130" t="s">
        <v>262</v>
      </c>
      <c r="C105" s="129">
        <v>758.744761089156</v>
      </c>
      <c r="D105" s="120" t="str">
        <f t="shared" si="1"/>
        <v>FLN-GIG</v>
      </c>
    </row>
    <row r="106" spans="1:4">
      <c r="A106" s="130" t="s">
        <v>264</v>
      </c>
      <c r="B106" s="130" t="s">
        <v>142</v>
      </c>
      <c r="C106" s="129">
        <v>406.472982626679</v>
      </c>
      <c r="D106" s="120" t="str">
        <f t="shared" si="1"/>
        <v>SDU-VCP</v>
      </c>
    </row>
    <row r="107" spans="1:4">
      <c r="A107" s="130" t="s">
        <v>262</v>
      </c>
      <c r="B107" s="130" t="s">
        <v>184</v>
      </c>
      <c r="C107" s="129">
        <v>336.846670742272</v>
      </c>
      <c r="D107" s="120" t="str">
        <f t="shared" si="1"/>
        <v>GIG-GRU</v>
      </c>
    </row>
    <row r="108" spans="1:4">
      <c r="A108" s="130" t="s">
        <v>246</v>
      </c>
      <c r="B108" s="130" t="s">
        <v>930</v>
      </c>
      <c r="C108" s="129">
        <v>3335.33387953856</v>
      </c>
      <c r="D108" s="120" t="str">
        <f t="shared" si="1"/>
        <v>POA-LIM</v>
      </c>
    </row>
    <row r="109" spans="1:4">
      <c r="A109" s="130" t="s">
        <v>155</v>
      </c>
      <c r="B109" s="130" t="s">
        <v>279</v>
      </c>
      <c r="C109" s="129">
        <v>717.407563257884</v>
      </c>
      <c r="D109" s="120" t="str">
        <f t="shared" si="1"/>
        <v>XAP-CGH</v>
      </c>
    </row>
    <row r="110" spans="1:4">
      <c r="A110" s="130" t="s">
        <v>228</v>
      </c>
      <c r="B110" s="130" t="s">
        <v>262</v>
      </c>
      <c r="C110" s="129">
        <v>708.347123470746</v>
      </c>
      <c r="D110" s="120" t="str">
        <f t="shared" si="1"/>
        <v>NVT-GIG</v>
      </c>
    </row>
    <row r="111" spans="1:4">
      <c r="A111" s="130" t="s">
        <v>153</v>
      </c>
      <c r="B111" s="130" t="s">
        <v>279</v>
      </c>
      <c r="C111" s="129">
        <v>765.683677796409</v>
      </c>
      <c r="D111" s="120" t="str">
        <f t="shared" si="1"/>
        <v>CXJ-CGH</v>
      </c>
    </row>
    <row r="112" spans="1:4">
      <c r="A112" s="130" t="s">
        <v>279</v>
      </c>
      <c r="B112" s="130" t="s">
        <v>153</v>
      </c>
      <c r="C112" s="129">
        <v>765.683677796409</v>
      </c>
      <c r="D112" s="120" t="str">
        <f t="shared" si="1"/>
        <v>CGH-CXJ</v>
      </c>
    </row>
    <row r="113" spans="1:4">
      <c r="A113" s="130" t="s">
        <v>279</v>
      </c>
      <c r="B113" s="130" t="s">
        <v>169</v>
      </c>
      <c r="C113" s="129">
        <v>330.954708154496</v>
      </c>
      <c r="D113" s="120" t="str">
        <f t="shared" si="1"/>
        <v>CGH-CWB</v>
      </c>
    </row>
    <row r="114" spans="1:4">
      <c r="A114" s="130" t="s">
        <v>169</v>
      </c>
      <c r="B114" s="130" t="s">
        <v>279</v>
      </c>
      <c r="C114" s="129">
        <v>330.954708154496</v>
      </c>
      <c r="D114" s="120" t="str">
        <f t="shared" si="1"/>
        <v>CWB-CGH</v>
      </c>
    </row>
    <row r="115" spans="1:4">
      <c r="A115" s="130" t="s">
        <v>173</v>
      </c>
      <c r="B115" s="130" t="s">
        <v>136</v>
      </c>
      <c r="C115" s="129">
        <v>1312.74958438638</v>
      </c>
      <c r="D115" s="120" t="str">
        <f t="shared" si="1"/>
        <v>FLN-BSB</v>
      </c>
    </row>
    <row r="116" spans="1:4">
      <c r="A116" s="130" t="s">
        <v>173</v>
      </c>
      <c r="B116" s="130" t="s">
        <v>169</v>
      </c>
      <c r="C116" s="129">
        <v>246.069758973684</v>
      </c>
      <c r="D116" s="120" t="str">
        <f t="shared" si="1"/>
        <v>FLN-CWB</v>
      </c>
    </row>
    <row r="117" spans="1:4">
      <c r="A117" s="130" t="s">
        <v>136</v>
      </c>
      <c r="B117" s="130" t="s">
        <v>173</v>
      </c>
      <c r="C117" s="129">
        <v>1312.74958438638</v>
      </c>
      <c r="D117" s="120" t="str">
        <f t="shared" si="1"/>
        <v>BSB-FLN</v>
      </c>
    </row>
    <row r="118" spans="1:4">
      <c r="A118" s="130" t="s">
        <v>136</v>
      </c>
      <c r="B118" s="130" t="s">
        <v>142</v>
      </c>
      <c r="C118" s="129">
        <v>797.233782489751</v>
      </c>
      <c r="D118" s="120" t="str">
        <f t="shared" si="1"/>
        <v>BSB-VCP</v>
      </c>
    </row>
    <row r="119" spans="1:4">
      <c r="A119" s="130" t="s">
        <v>173</v>
      </c>
      <c r="B119" s="130" t="s">
        <v>177</v>
      </c>
      <c r="C119" s="129">
        <v>633.345466106953</v>
      </c>
      <c r="D119" s="120" t="str">
        <f t="shared" si="1"/>
        <v>FLN-IGU</v>
      </c>
    </row>
    <row r="120" spans="1:4">
      <c r="A120" s="130" t="s">
        <v>262</v>
      </c>
      <c r="B120" s="130" t="s">
        <v>173</v>
      </c>
      <c r="C120" s="129">
        <v>758.744761089156</v>
      </c>
      <c r="D120" s="120" t="str">
        <f t="shared" si="1"/>
        <v>GIG-FLN</v>
      </c>
    </row>
    <row r="121" spans="1:4">
      <c r="A121" s="130" t="s">
        <v>246</v>
      </c>
      <c r="B121" s="130" t="s">
        <v>131</v>
      </c>
      <c r="C121" s="129">
        <v>1359.49062312975</v>
      </c>
      <c r="D121" s="120" t="str">
        <f t="shared" si="1"/>
        <v>POA-CNF</v>
      </c>
    </row>
    <row r="122" spans="1:4">
      <c r="A122" s="130" t="s">
        <v>198</v>
      </c>
      <c r="B122" s="130" t="s">
        <v>246</v>
      </c>
      <c r="C122" s="129">
        <v>478.713189643917</v>
      </c>
      <c r="D122" s="120" t="str">
        <f t="shared" si="1"/>
        <v>JOI-POA</v>
      </c>
    </row>
    <row r="123" spans="1:4">
      <c r="A123" s="130" t="s">
        <v>246</v>
      </c>
      <c r="B123" s="130" t="s">
        <v>198</v>
      </c>
      <c r="C123" s="129">
        <v>478.713189643917</v>
      </c>
      <c r="D123" s="120" t="str">
        <f t="shared" si="1"/>
        <v>POA-JOI</v>
      </c>
    </row>
    <row r="124" spans="1:4">
      <c r="A124" s="130" t="s">
        <v>184</v>
      </c>
      <c r="B124" s="130" t="s">
        <v>544</v>
      </c>
      <c r="C124" s="129">
        <v>7658.57187053248</v>
      </c>
      <c r="D124" s="120" t="str">
        <f t="shared" si="1"/>
        <v>GRU-JFK</v>
      </c>
    </row>
    <row r="125" spans="1:4">
      <c r="A125" s="130" t="s">
        <v>289</v>
      </c>
      <c r="B125" s="130" t="s">
        <v>246</v>
      </c>
      <c r="C125" s="129">
        <v>565.612581066857</v>
      </c>
      <c r="D125" s="120" t="str">
        <f t="shared" si="1"/>
        <v>URG-POA</v>
      </c>
    </row>
    <row r="126" spans="1:4">
      <c r="A126" s="130" t="s">
        <v>1035</v>
      </c>
      <c r="B126" s="130" t="s">
        <v>184</v>
      </c>
      <c r="C126" s="129">
        <v>859.600509308627</v>
      </c>
      <c r="D126" s="120" t="str">
        <f t="shared" si="1"/>
        <v>QNS-GRU</v>
      </c>
    </row>
    <row r="127" spans="1:4">
      <c r="A127" s="130" t="s">
        <v>184</v>
      </c>
      <c r="B127" s="130" t="s">
        <v>1035</v>
      </c>
      <c r="C127" s="129">
        <v>859.600509308627</v>
      </c>
      <c r="D127" s="120" t="str">
        <f t="shared" si="1"/>
        <v>GRU-QNS</v>
      </c>
    </row>
    <row r="128" spans="1:4">
      <c r="A128" s="130" t="s">
        <v>1035</v>
      </c>
      <c r="B128" s="130" t="s">
        <v>279</v>
      </c>
      <c r="C128" s="129">
        <v>831.257261250925</v>
      </c>
      <c r="D128" s="120" t="str">
        <f t="shared" si="1"/>
        <v>QNS-CGH</v>
      </c>
    </row>
    <row r="129" spans="1:4">
      <c r="A129" s="130" t="s">
        <v>279</v>
      </c>
      <c r="B129" s="130" t="s">
        <v>1035</v>
      </c>
      <c r="C129" s="129">
        <v>831.257261250925</v>
      </c>
      <c r="D129" s="120" t="str">
        <f t="shared" si="1"/>
        <v>CGH-QNS</v>
      </c>
    </row>
    <row r="130" spans="1:4">
      <c r="A130" s="130" t="s">
        <v>1035</v>
      </c>
      <c r="B130" s="130" t="s">
        <v>142</v>
      </c>
      <c r="C130" s="129">
        <v>867.845361041509</v>
      </c>
      <c r="D130" s="120" t="str">
        <f t="shared" ref="D130:D155" si="2">A130&amp;"-"&amp;B130</f>
        <v>QNS-VCP</v>
      </c>
    </row>
    <row r="131" spans="1:4">
      <c r="A131" s="130" t="s">
        <v>142</v>
      </c>
      <c r="B131" s="130" t="s">
        <v>1035</v>
      </c>
      <c r="C131" s="129">
        <v>867.845361041509</v>
      </c>
      <c r="D131" s="120" t="str">
        <f t="shared" si="2"/>
        <v>VCP-QNS</v>
      </c>
    </row>
    <row r="132" spans="1:4">
      <c r="A132" s="130" t="s">
        <v>131</v>
      </c>
      <c r="B132" s="130" t="s">
        <v>246</v>
      </c>
      <c r="C132" s="129">
        <v>1359.49062312975</v>
      </c>
      <c r="D132" s="120" t="str">
        <f t="shared" si="2"/>
        <v>CNF-POA</v>
      </c>
    </row>
    <row r="133" spans="1:4">
      <c r="A133" s="130" t="s">
        <v>177</v>
      </c>
      <c r="B133" s="130" t="s">
        <v>173</v>
      </c>
      <c r="C133" s="129">
        <v>633.345466106953</v>
      </c>
      <c r="D133" s="120" t="str">
        <f t="shared" si="2"/>
        <v>IGU-FLN</v>
      </c>
    </row>
    <row r="134" spans="1:4">
      <c r="A134" s="130" t="s">
        <v>184</v>
      </c>
      <c r="B134" s="130" t="s">
        <v>136</v>
      </c>
      <c r="C134" s="129">
        <v>853.709881808426</v>
      </c>
      <c r="D134" s="120" t="str">
        <f t="shared" si="2"/>
        <v>GRU-BSB</v>
      </c>
    </row>
    <row r="135" spans="1:4">
      <c r="A135" s="130" t="s">
        <v>142</v>
      </c>
      <c r="B135" s="130" t="s">
        <v>136</v>
      </c>
      <c r="C135" s="129">
        <v>797.233782489751</v>
      </c>
      <c r="D135" s="120" t="str">
        <f t="shared" si="2"/>
        <v>VCP-BSB</v>
      </c>
    </row>
    <row r="136" spans="1:4">
      <c r="A136" s="130" t="s">
        <v>544</v>
      </c>
      <c r="B136" s="130" t="s">
        <v>536</v>
      </c>
      <c r="C136" s="129">
        <v>3606.87486722149</v>
      </c>
      <c r="D136" s="120" t="str">
        <f t="shared" si="2"/>
        <v>JFK-LAS</v>
      </c>
    </row>
    <row r="137" spans="1:4">
      <c r="A137" s="130" t="s">
        <v>184</v>
      </c>
      <c r="B137" s="130" t="s">
        <v>264</v>
      </c>
      <c r="C137" s="129">
        <v>342.692291586235</v>
      </c>
      <c r="D137" s="120" t="str">
        <f t="shared" si="2"/>
        <v>GRU-SDU</v>
      </c>
    </row>
    <row r="138" spans="1:4">
      <c r="A138" s="130" t="s">
        <v>169</v>
      </c>
      <c r="B138" s="130" t="s">
        <v>220</v>
      </c>
      <c r="C138" s="129">
        <v>367.049847968692</v>
      </c>
      <c r="D138" s="120" t="str">
        <f t="shared" si="2"/>
        <v>CWB-MGF</v>
      </c>
    </row>
    <row r="139" spans="1:4">
      <c r="A139" s="130" t="s">
        <v>220</v>
      </c>
      <c r="B139" s="130" t="s">
        <v>142</v>
      </c>
      <c r="C139" s="129">
        <v>495.556895736884</v>
      </c>
      <c r="D139" s="120" t="str">
        <f t="shared" si="2"/>
        <v>MGF-VCP</v>
      </c>
    </row>
    <row r="140" spans="1:4">
      <c r="A140" s="130" t="s">
        <v>262</v>
      </c>
      <c r="B140" s="130" t="s">
        <v>136</v>
      </c>
      <c r="C140" s="129">
        <v>913.333308071712</v>
      </c>
      <c r="D140" s="120" t="str">
        <f t="shared" si="2"/>
        <v>GIG-BSB</v>
      </c>
    </row>
    <row r="141" spans="1:4">
      <c r="A141" s="130" t="s">
        <v>540</v>
      </c>
      <c r="B141" s="130" t="s">
        <v>184</v>
      </c>
      <c r="C141" s="129">
        <v>6569.19440342299</v>
      </c>
      <c r="D141" s="120" t="str">
        <f t="shared" si="2"/>
        <v>MIA-GRU</v>
      </c>
    </row>
    <row r="142" spans="1:4">
      <c r="A142" s="130" t="s">
        <v>279</v>
      </c>
      <c r="B142" s="130" t="s">
        <v>258</v>
      </c>
      <c r="C142" s="129">
        <v>299.874039772255</v>
      </c>
      <c r="D142" s="120" t="str">
        <f t="shared" si="2"/>
        <v>CGH-RAO</v>
      </c>
    </row>
    <row r="143" spans="1:4">
      <c r="A143" s="130" t="s">
        <v>930</v>
      </c>
      <c r="B143" s="130" t="s">
        <v>431</v>
      </c>
      <c r="C143" s="129">
        <v>2029.80359303815</v>
      </c>
      <c r="D143" s="120" t="str">
        <f t="shared" si="2"/>
        <v>LIM-MDE</v>
      </c>
    </row>
    <row r="144" spans="1:4">
      <c r="A144" s="130" t="s">
        <v>431</v>
      </c>
      <c r="B144" s="130" t="s">
        <v>930</v>
      </c>
      <c r="C144" s="129">
        <v>2029.80359303815</v>
      </c>
      <c r="D144" s="120" t="str">
        <f t="shared" si="2"/>
        <v>MDE-LIM</v>
      </c>
    </row>
    <row r="145" spans="1:4">
      <c r="A145" s="130" t="s">
        <v>930</v>
      </c>
      <c r="B145" s="130" t="s">
        <v>246</v>
      </c>
      <c r="C145" s="129">
        <v>3335.33387953856</v>
      </c>
      <c r="D145" s="120" t="str">
        <f t="shared" si="2"/>
        <v>LIM-POA</v>
      </c>
    </row>
    <row r="146" spans="1:4">
      <c r="A146" s="130" t="s">
        <v>142</v>
      </c>
      <c r="B146" s="130" t="s">
        <v>264</v>
      </c>
      <c r="C146" s="129">
        <v>406.472982626679</v>
      </c>
      <c r="D146" s="120" t="str">
        <f t="shared" si="2"/>
        <v>VCP-SDU</v>
      </c>
    </row>
    <row r="147" spans="1:4">
      <c r="A147" s="130" t="s">
        <v>169</v>
      </c>
      <c r="B147" s="130" t="s">
        <v>173</v>
      </c>
      <c r="C147" s="129">
        <v>246.069758973684</v>
      </c>
      <c r="D147" s="120" t="str">
        <f t="shared" si="2"/>
        <v>CWB-FLN</v>
      </c>
    </row>
    <row r="148" spans="1:4">
      <c r="A148" s="130" t="s">
        <v>279</v>
      </c>
      <c r="B148" s="130" t="s">
        <v>155</v>
      </c>
      <c r="C148" s="129">
        <v>717.407563257884</v>
      </c>
      <c r="D148" s="120" t="str">
        <f t="shared" si="2"/>
        <v>CGH-XAP</v>
      </c>
    </row>
    <row r="149" spans="1:4">
      <c r="A149" s="130" t="s">
        <v>184</v>
      </c>
      <c r="B149" s="130" t="s">
        <v>262</v>
      </c>
      <c r="C149" s="129">
        <v>336.846670742272</v>
      </c>
      <c r="D149" s="120" t="str">
        <f t="shared" si="2"/>
        <v>GRU-GIG</v>
      </c>
    </row>
    <row r="150" spans="1:4">
      <c r="A150" s="130" t="s">
        <v>184</v>
      </c>
      <c r="B150" s="130" t="s">
        <v>236</v>
      </c>
      <c r="C150" s="129">
        <v>793.816261183885</v>
      </c>
      <c r="D150" s="120" t="str">
        <f t="shared" si="2"/>
        <v>GRU-PFB</v>
      </c>
    </row>
    <row r="151" spans="1:4">
      <c r="A151" s="130" t="s">
        <v>142</v>
      </c>
      <c r="B151" s="130" t="s">
        <v>198</v>
      </c>
      <c r="C151" s="129">
        <v>394.413948234371</v>
      </c>
      <c r="D151" s="120" t="str">
        <f t="shared" si="2"/>
        <v>VCP-JOI</v>
      </c>
    </row>
    <row r="152" spans="1:4">
      <c r="A152" s="130" t="s">
        <v>198</v>
      </c>
      <c r="B152" s="130" t="s">
        <v>142</v>
      </c>
      <c r="C152" s="129">
        <v>394.413948234371</v>
      </c>
      <c r="D152" s="120" t="str">
        <f t="shared" si="2"/>
        <v>JOI-VCP</v>
      </c>
    </row>
    <row r="153" spans="1:4">
      <c r="A153" s="130" t="s">
        <v>228</v>
      </c>
      <c r="B153" s="130" t="s">
        <v>184</v>
      </c>
      <c r="C153" s="129">
        <v>441.520651951546</v>
      </c>
      <c r="D153" s="120" t="str">
        <f t="shared" si="2"/>
        <v>NVT-GRU</v>
      </c>
    </row>
    <row r="154" spans="1:4">
      <c r="A154" s="130" t="s">
        <v>184</v>
      </c>
      <c r="B154" s="130" t="s">
        <v>228</v>
      </c>
      <c r="C154" s="129">
        <v>441.520651951546</v>
      </c>
      <c r="D154" s="120" t="str">
        <f t="shared" si="2"/>
        <v>GRU-NVT</v>
      </c>
    </row>
    <row r="155" spans="1:4">
      <c r="A155" s="130" t="s">
        <v>346</v>
      </c>
      <c r="B155" s="130" t="s">
        <v>246</v>
      </c>
      <c r="C155" s="129">
        <v>347.001001592883</v>
      </c>
      <c r="D155" s="120" t="str">
        <f t="shared" si="2"/>
        <v>GEL-POA</v>
      </c>
    </row>
  </sheetData>
  <autoFilter xmlns:etc="http://www.wps.cn/officeDocument/2017/etCustomData" ref="A1:D155" etc:filterBottomFollowUsedRange="0">
    <extLst/>
  </autoFilter>
  <pageMargins left="0.511811024" right="0.511811024" top="0.787401575" bottom="0.787401575" header="0.31496062" footer="0.31496062"/>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8" sqref="A8"/>
    </sheetView>
  </sheetViews>
  <sheetFormatPr defaultColWidth="9" defaultRowHeight="15" outlineLevelRow="3" outlineLevelCol="7"/>
  <cols>
    <col min="1" max="1" width="28.7142857142857" style="120" customWidth="1"/>
    <col min="2" max="2" width="22.5714285714286" style="120" customWidth="1"/>
    <col min="3" max="3" width="35.8571428571429" style="120" customWidth="1"/>
    <col min="4" max="4" width="36" style="120" customWidth="1"/>
    <col min="5" max="5" width="35.4285714285714" style="120" customWidth="1"/>
    <col min="6" max="6" width="28.1428571428571" style="120" customWidth="1"/>
    <col min="7" max="7" width="31.5714285714286" style="120" customWidth="1"/>
    <col min="8" max="8" width="29.4285714285714" style="120" customWidth="1"/>
    <col min="9" max="16384" width="9" style="120"/>
  </cols>
  <sheetData>
    <row r="1" ht="53.25" customHeight="1" spans="1:8">
      <c r="A1" s="121" t="s">
        <v>1036</v>
      </c>
      <c r="B1" s="121" t="s">
        <v>1037</v>
      </c>
      <c r="C1" s="122" t="s">
        <v>1038</v>
      </c>
      <c r="D1" s="122" t="s">
        <v>1039</v>
      </c>
      <c r="E1" s="122" t="s">
        <v>1040</v>
      </c>
      <c r="F1" s="122" t="s">
        <v>1041</v>
      </c>
      <c r="G1" s="122" t="s">
        <v>1042</v>
      </c>
      <c r="H1" s="122" t="s">
        <v>1043</v>
      </c>
    </row>
    <row r="2" ht="15.75" spans="1:8">
      <c r="A2" s="123" t="s">
        <v>1044</v>
      </c>
      <c r="B2" s="124">
        <v>0.08</v>
      </c>
      <c r="C2" s="125">
        <v>0.15942</v>
      </c>
      <c r="D2" s="125">
        <v>0.00022</v>
      </c>
      <c r="E2" s="125">
        <v>0.00134</v>
      </c>
      <c r="F2" s="126">
        <v>0.147611111111111</v>
      </c>
      <c r="G2" s="127">
        <v>7.27513227513228e-6</v>
      </c>
      <c r="H2" s="128">
        <v>4.68204053109714e-6</v>
      </c>
    </row>
    <row r="3" ht="31.5" spans="1:8">
      <c r="A3" s="123" t="s">
        <v>1045</v>
      </c>
      <c r="B3" s="124">
        <v>0.08</v>
      </c>
      <c r="C3" s="125">
        <v>0.10881</v>
      </c>
      <c r="D3" s="125">
        <v>1e-5</v>
      </c>
      <c r="E3" s="125">
        <v>0.00092</v>
      </c>
      <c r="F3" s="126">
        <v>0.10075</v>
      </c>
      <c r="G3" s="127">
        <v>3.30687830687831e-7</v>
      </c>
      <c r="H3" s="128">
        <v>3.21453529000699e-6</v>
      </c>
    </row>
    <row r="4" ht="31.5" spans="1:8">
      <c r="A4" s="123" t="s">
        <v>1046</v>
      </c>
      <c r="B4" s="124">
        <v>0.08</v>
      </c>
      <c r="C4" s="125">
        <v>0.15293</v>
      </c>
      <c r="D4" s="125">
        <v>1e-5</v>
      </c>
      <c r="E4" s="125">
        <v>0.00129</v>
      </c>
      <c r="F4" s="126">
        <v>0.141601851851852</v>
      </c>
      <c r="G4" s="127">
        <v>3.30687830687831e-7</v>
      </c>
      <c r="H4" s="128">
        <v>4.50733752620545e-6</v>
      </c>
    </row>
  </sheetData>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B7" sqref="B7"/>
    </sheetView>
  </sheetViews>
  <sheetFormatPr defaultColWidth="14.4285714285714" defaultRowHeight="15" customHeight="1" outlineLevelCol="3"/>
  <cols>
    <col min="1" max="1" width="8.71428571428571" customWidth="1"/>
    <col min="2" max="2" width="41.5714285714286" customWidth="1"/>
    <col min="3" max="3" width="44" customWidth="1"/>
    <col min="4" max="4" width="23.1428571428571" customWidth="1"/>
    <col min="5" max="26" width="8.71428571428571" customWidth="1"/>
  </cols>
  <sheetData>
    <row r="1" ht="15.75" spans="1:4">
      <c r="A1" s="119" t="s">
        <v>1047</v>
      </c>
      <c r="B1" s="119" t="s">
        <v>1048</v>
      </c>
      <c r="C1" s="119" t="s">
        <v>1049</v>
      </c>
      <c r="D1" s="119" t="s">
        <v>1050</v>
      </c>
    </row>
    <row r="2" spans="1:4">
      <c r="A2" s="3">
        <v>2024</v>
      </c>
      <c r="B2" s="3">
        <v>150</v>
      </c>
      <c r="C2" s="3">
        <f>B2*8</f>
        <v>1200</v>
      </c>
      <c r="D2" s="3">
        <v>0.0544624477334565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4.4285714285714" defaultRowHeight="15" customHeight="1" outlineLevelCol="6"/>
  <cols>
    <col min="1" max="1" width="19.4285714285714" customWidth="1"/>
    <col min="2" max="2" width="31" customWidth="1"/>
    <col min="3" max="3" width="6.42857142857143" customWidth="1"/>
    <col min="4" max="4" width="42.8571428571429" customWidth="1"/>
    <col min="5" max="5" width="37.4285714285714" customWidth="1"/>
    <col min="6" max="7" width="33.4285714285714" customWidth="1"/>
    <col min="8" max="26" width="8.71428571428571" customWidth="1"/>
  </cols>
  <sheetData>
    <row r="1" ht="30" spans="1:7">
      <c r="A1" s="60" t="s">
        <v>1051</v>
      </c>
      <c r="B1" s="13" t="s">
        <v>1052</v>
      </c>
      <c r="C1" s="13" t="s">
        <v>1053</v>
      </c>
      <c r="D1" s="117" t="s">
        <v>1054</v>
      </c>
      <c r="E1" s="117" t="s">
        <v>1055</v>
      </c>
      <c r="F1" s="117" t="s">
        <v>1056</v>
      </c>
      <c r="G1" s="117" t="s">
        <v>1057</v>
      </c>
    </row>
    <row r="2" ht="15.75" spans="1:7">
      <c r="A2" s="118" t="s">
        <v>1058</v>
      </c>
      <c r="B2" s="4" t="s">
        <v>1059</v>
      </c>
      <c r="C2" s="13">
        <v>2013</v>
      </c>
      <c r="D2" s="17" t="s">
        <v>1060</v>
      </c>
      <c r="E2" s="18" t="s">
        <v>1060</v>
      </c>
      <c r="F2" s="18" t="s">
        <v>1060</v>
      </c>
      <c r="G2" s="18" t="s">
        <v>1060</v>
      </c>
    </row>
    <row r="3" ht="15.75" spans="1:7">
      <c r="A3" s="118" t="s">
        <v>1058</v>
      </c>
      <c r="B3" s="4" t="s">
        <v>1061</v>
      </c>
      <c r="C3" s="13">
        <v>2013</v>
      </c>
      <c r="D3" s="17">
        <v>0.026</v>
      </c>
      <c r="E3" s="18">
        <v>0.017</v>
      </c>
      <c r="F3" s="18">
        <v>0.0002236</v>
      </c>
      <c r="G3" s="18">
        <v>0.0001462</v>
      </c>
    </row>
    <row r="4" ht="15.75" spans="1:7">
      <c r="A4" s="118" t="s">
        <v>1058</v>
      </c>
      <c r="B4" s="4" t="s">
        <v>1062</v>
      </c>
      <c r="C4" s="13">
        <v>2013</v>
      </c>
      <c r="D4" s="17">
        <v>0.037848</v>
      </c>
      <c r="E4" s="18">
        <v>0.002</v>
      </c>
      <c r="F4" s="18">
        <v>0.0011127312</v>
      </c>
      <c r="G4" s="18">
        <v>5.88e-5</v>
      </c>
    </row>
    <row r="5" ht="15.75" spans="1:7">
      <c r="A5" s="118" t="s">
        <v>1058</v>
      </c>
      <c r="B5" s="4" t="s">
        <v>1063</v>
      </c>
      <c r="C5" s="13">
        <v>2013</v>
      </c>
      <c r="D5" s="17" t="s">
        <v>1060</v>
      </c>
      <c r="E5" s="18" t="s">
        <v>1060</v>
      </c>
      <c r="F5" s="18" t="s">
        <v>1060</v>
      </c>
      <c r="G5" s="18" t="s">
        <v>1060</v>
      </c>
    </row>
    <row r="6" ht="31.5" spans="1:7">
      <c r="A6" s="118" t="s">
        <v>1058</v>
      </c>
      <c r="B6" s="4" t="s">
        <v>1064</v>
      </c>
      <c r="C6" s="13">
        <v>2013</v>
      </c>
      <c r="D6" s="17">
        <v>0.034</v>
      </c>
      <c r="E6" s="18">
        <v>0.017</v>
      </c>
      <c r="F6" s="18">
        <v>0.0002142</v>
      </c>
      <c r="G6" s="18">
        <v>0.0001071</v>
      </c>
    </row>
    <row r="7" ht="15.75" spans="1:7">
      <c r="A7" s="118" t="s">
        <v>1058</v>
      </c>
      <c r="B7" s="4" t="s">
        <v>1059</v>
      </c>
      <c r="C7" s="13">
        <v>2014</v>
      </c>
      <c r="D7" s="18" t="s">
        <v>1060</v>
      </c>
      <c r="E7" s="18" t="s">
        <v>1060</v>
      </c>
      <c r="F7" s="18" t="s">
        <v>1060</v>
      </c>
      <c r="G7" s="18" t="s">
        <v>1060</v>
      </c>
    </row>
    <row r="8" ht="15.75" spans="1:7">
      <c r="A8" s="118" t="s">
        <v>1058</v>
      </c>
      <c r="B8" s="4" t="s">
        <v>1061</v>
      </c>
      <c r="C8" s="13">
        <v>2014</v>
      </c>
      <c r="D8" s="18">
        <v>0.02</v>
      </c>
      <c r="E8" s="18">
        <v>0.017</v>
      </c>
      <c r="F8" s="18">
        <v>0.000176</v>
      </c>
      <c r="G8" s="18">
        <v>0.0001496</v>
      </c>
    </row>
    <row r="9" ht="15.75" spans="1:7">
      <c r="A9" s="118" t="s">
        <v>1058</v>
      </c>
      <c r="B9" s="4" t="s">
        <v>1062</v>
      </c>
      <c r="C9" s="13">
        <v>2014</v>
      </c>
      <c r="D9" s="18">
        <v>0.037848</v>
      </c>
      <c r="E9" s="18">
        <v>0.002</v>
      </c>
      <c r="F9" s="18">
        <v>0.0011127312</v>
      </c>
      <c r="G9" s="18">
        <v>5.88e-5</v>
      </c>
    </row>
    <row r="10" ht="15.75" spans="1:7">
      <c r="A10" s="118" t="s">
        <v>1058</v>
      </c>
      <c r="B10" s="4" t="s">
        <v>1063</v>
      </c>
      <c r="C10" s="13">
        <v>2014</v>
      </c>
      <c r="D10" s="18" t="s">
        <v>1060</v>
      </c>
      <c r="E10" s="18" t="s">
        <v>1060</v>
      </c>
      <c r="F10" s="18" t="s">
        <v>1060</v>
      </c>
      <c r="G10" s="18" t="s">
        <v>1060</v>
      </c>
    </row>
    <row r="11" ht="31.5" spans="1:7">
      <c r="A11" s="118" t="s">
        <v>1058</v>
      </c>
      <c r="B11" s="4" t="s">
        <v>1064</v>
      </c>
      <c r="C11" s="13">
        <v>2014</v>
      </c>
      <c r="D11" s="18">
        <v>0.022</v>
      </c>
      <c r="E11" s="18">
        <v>0.017</v>
      </c>
      <c r="F11" s="18">
        <v>0.0001386</v>
      </c>
      <c r="G11" s="18">
        <v>0.0001071</v>
      </c>
    </row>
    <row r="12" ht="15.75" spans="1:7">
      <c r="A12" s="118" t="s">
        <v>1058</v>
      </c>
      <c r="B12" s="4" t="s">
        <v>1059</v>
      </c>
      <c r="C12" s="13">
        <v>2015</v>
      </c>
      <c r="D12" s="18" t="s">
        <v>1060</v>
      </c>
      <c r="E12" s="18" t="s">
        <v>1060</v>
      </c>
      <c r="F12" s="18" t="s">
        <v>1060</v>
      </c>
      <c r="G12" s="18" t="s">
        <v>1060</v>
      </c>
    </row>
    <row r="13" ht="15.75" spans="1:7">
      <c r="A13" s="118" t="s">
        <v>1058</v>
      </c>
      <c r="B13" s="4" t="s">
        <v>1061</v>
      </c>
      <c r="C13" s="13">
        <v>2015</v>
      </c>
      <c r="D13" s="18">
        <v>0.015</v>
      </c>
      <c r="E13" s="18">
        <v>0.017</v>
      </c>
      <c r="F13" s="18">
        <v>0.000138</v>
      </c>
      <c r="G13" s="18">
        <v>0.0001564</v>
      </c>
    </row>
    <row r="14" ht="15.75" spans="1:7">
      <c r="A14" s="118" t="s">
        <v>1058</v>
      </c>
      <c r="B14" s="4" t="s">
        <v>1062</v>
      </c>
      <c r="C14" s="13">
        <v>2015</v>
      </c>
      <c r="D14" s="18">
        <v>0.033864</v>
      </c>
      <c r="E14" s="18">
        <v>0.002</v>
      </c>
      <c r="F14" s="18">
        <v>0.00110058</v>
      </c>
      <c r="G14" s="18">
        <v>6.5e-5</v>
      </c>
    </row>
    <row r="15" ht="15.75" spans="1:7">
      <c r="A15" s="118" t="s">
        <v>1058</v>
      </c>
      <c r="B15" s="4" t="s">
        <v>1063</v>
      </c>
      <c r="C15" s="13">
        <v>2105</v>
      </c>
      <c r="D15" s="18" t="s">
        <v>1060</v>
      </c>
      <c r="E15" s="18" t="s">
        <v>1060</v>
      </c>
      <c r="F15" s="18" t="s">
        <v>1060</v>
      </c>
      <c r="G15" s="18" t="s">
        <v>1060</v>
      </c>
    </row>
    <row r="16" ht="31.5" spans="1:7">
      <c r="A16" s="118" t="s">
        <v>1058</v>
      </c>
      <c r="B16" s="4" t="s">
        <v>1064</v>
      </c>
      <c r="C16" s="13">
        <v>2015</v>
      </c>
      <c r="D16" s="18">
        <v>0.018</v>
      </c>
      <c r="E16" s="18">
        <v>0.017</v>
      </c>
      <c r="F16" s="18">
        <v>0.0001224</v>
      </c>
      <c r="G16" s="18">
        <v>0.0001156</v>
      </c>
    </row>
    <row r="17" ht="15.75" spans="1:7">
      <c r="A17" s="118" t="s">
        <v>1058</v>
      </c>
      <c r="B17" s="4" t="s">
        <v>1059</v>
      </c>
      <c r="C17" s="13">
        <v>2016</v>
      </c>
      <c r="D17" s="18" t="s">
        <v>1060</v>
      </c>
      <c r="E17" s="18" t="s">
        <v>1060</v>
      </c>
      <c r="F17" s="18" t="s">
        <v>1060</v>
      </c>
      <c r="G17" s="18" t="s">
        <v>1060</v>
      </c>
    </row>
    <row r="18" ht="15.75" spans="1:7">
      <c r="A18" s="118" t="s">
        <v>1058</v>
      </c>
      <c r="B18" s="4" t="s">
        <v>1061</v>
      </c>
      <c r="C18" s="13">
        <v>2016</v>
      </c>
      <c r="D18" s="18">
        <v>0.028</v>
      </c>
      <c r="E18" s="18">
        <v>0.017</v>
      </c>
      <c r="F18" s="18">
        <v>0.0002688</v>
      </c>
      <c r="G18" s="18">
        <v>0.0001632</v>
      </c>
    </row>
    <row r="19" ht="15.75" spans="1:7">
      <c r="A19" s="118" t="s">
        <v>1058</v>
      </c>
      <c r="B19" s="4" t="s">
        <v>1062</v>
      </c>
      <c r="C19" s="13">
        <v>2016</v>
      </c>
      <c r="D19" s="18">
        <v>0.03984</v>
      </c>
      <c r="E19" s="18">
        <v>0.002</v>
      </c>
      <c r="F19" s="18">
        <v>0.001243008</v>
      </c>
      <c r="G19" s="18">
        <v>6.24e-5</v>
      </c>
    </row>
    <row r="20" ht="15.75" spans="1:7">
      <c r="A20" s="118" t="s">
        <v>1058</v>
      </c>
      <c r="B20" s="4" t="s">
        <v>1063</v>
      </c>
      <c r="C20" s="13">
        <v>2016</v>
      </c>
      <c r="D20" s="18" t="s">
        <v>1060</v>
      </c>
      <c r="E20" s="18" t="s">
        <v>1060</v>
      </c>
      <c r="F20" s="18" t="s">
        <v>1060</v>
      </c>
      <c r="G20" s="18" t="s">
        <v>1060</v>
      </c>
    </row>
    <row r="21" ht="15.75" customHeight="1" spans="1:7">
      <c r="A21" s="118" t="s">
        <v>1058</v>
      </c>
      <c r="B21" s="4" t="s">
        <v>1064</v>
      </c>
      <c r="C21" s="13">
        <v>2016</v>
      </c>
      <c r="D21" s="18">
        <v>0.016</v>
      </c>
      <c r="E21" s="18">
        <v>0.017</v>
      </c>
      <c r="F21" s="18">
        <v>0.0001072</v>
      </c>
      <c r="G21" s="18">
        <v>0.0001139</v>
      </c>
    </row>
    <row r="22" ht="15.75" customHeight="1" spans="1:7">
      <c r="A22" s="118" t="s">
        <v>1058</v>
      </c>
      <c r="B22" s="4" t="s">
        <v>1059</v>
      </c>
      <c r="C22" s="13">
        <v>2017</v>
      </c>
      <c r="D22" s="18" t="s">
        <v>1060</v>
      </c>
      <c r="E22" s="18" t="s">
        <v>1060</v>
      </c>
      <c r="F22" s="18" t="s">
        <v>1060</v>
      </c>
      <c r="G22" s="18" t="s">
        <v>1060</v>
      </c>
    </row>
    <row r="23" ht="15.75" customHeight="1" spans="1:7">
      <c r="A23" s="118" t="s">
        <v>1058</v>
      </c>
      <c r="B23" s="4" t="s">
        <v>1061</v>
      </c>
      <c r="C23" s="13">
        <v>2017</v>
      </c>
      <c r="D23" s="18">
        <v>0.023</v>
      </c>
      <c r="E23" s="18">
        <v>0.017</v>
      </c>
      <c r="F23" s="18">
        <v>0.0002254</v>
      </c>
      <c r="G23" s="18">
        <v>0.0001666</v>
      </c>
    </row>
    <row r="24" ht="15.75" customHeight="1" spans="1:7">
      <c r="A24" s="118" t="s">
        <v>1058</v>
      </c>
      <c r="B24" s="4" t="s">
        <v>1062</v>
      </c>
      <c r="C24" s="13">
        <v>2017</v>
      </c>
      <c r="D24" s="18">
        <v>0.037599</v>
      </c>
      <c r="E24" s="18">
        <v>0.002</v>
      </c>
      <c r="F24" s="18">
        <v>0.0013460442</v>
      </c>
      <c r="G24" s="18">
        <v>7.16e-5</v>
      </c>
    </row>
    <row r="25" ht="15.75" customHeight="1" spans="1:7">
      <c r="A25" s="118" t="s">
        <v>1058</v>
      </c>
      <c r="B25" s="4" t="s">
        <v>1063</v>
      </c>
      <c r="C25" s="13">
        <v>2017</v>
      </c>
      <c r="D25" s="18" t="s">
        <v>1060</v>
      </c>
      <c r="E25" s="18" t="s">
        <v>1060</v>
      </c>
      <c r="F25" s="18" t="s">
        <v>1060</v>
      </c>
      <c r="G25" s="18" t="s">
        <v>1060</v>
      </c>
    </row>
    <row r="26" ht="15.75" customHeight="1" spans="1:7">
      <c r="A26" s="118" t="s">
        <v>1058</v>
      </c>
      <c r="B26" s="4" t="s">
        <v>1064</v>
      </c>
      <c r="C26" s="13">
        <v>2017</v>
      </c>
      <c r="D26" s="18">
        <v>0.015</v>
      </c>
      <c r="E26" s="18">
        <v>0.017</v>
      </c>
      <c r="F26" s="18">
        <v>0.000111</v>
      </c>
      <c r="G26" s="18">
        <v>0.0001258</v>
      </c>
    </row>
    <row r="27" ht="15.75" customHeight="1" spans="1:7">
      <c r="A27" s="118" t="s">
        <v>1058</v>
      </c>
      <c r="B27" s="4" t="s">
        <v>1059</v>
      </c>
      <c r="C27" s="13">
        <v>2018</v>
      </c>
      <c r="D27" s="18" t="s">
        <v>1060</v>
      </c>
      <c r="E27" s="18" t="s">
        <v>1060</v>
      </c>
      <c r="F27" s="18" t="s">
        <v>1060</v>
      </c>
      <c r="G27" s="18" t="s">
        <v>1060</v>
      </c>
    </row>
    <row r="28" ht="15.75" customHeight="1" spans="1:7">
      <c r="A28" s="118" t="s">
        <v>1058</v>
      </c>
      <c r="B28" s="4" t="s">
        <v>1061</v>
      </c>
      <c r="C28" s="13">
        <v>2018</v>
      </c>
      <c r="D28" s="18">
        <v>0.023</v>
      </c>
      <c r="E28" s="18">
        <v>0.017</v>
      </c>
      <c r="F28" s="18">
        <v>0.0002254</v>
      </c>
      <c r="G28" s="18">
        <v>0.0001666</v>
      </c>
    </row>
    <row r="29" ht="15.75" customHeight="1" spans="1:7">
      <c r="A29" s="118" t="s">
        <v>1058</v>
      </c>
      <c r="B29" s="4" t="s">
        <v>1062</v>
      </c>
      <c r="C29" s="13">
        <v>2018</v>
      </c>
      <c r="D29" s="18">
        <v>0.034611</v>
      </c>
      <c r="E29" s="18">
        <v>0.002</v>
      </c>
      <c r="F29" s="18">
        <v>0.0012321516</v>
      </c>
      <c r="G29" s="18">
        <v>7.12e-5</v>
      </c>
    </row>
    <row r="30" ht="15.75" customHeight="1" spans="1:7">
      <c r="A30" s="118" t="s">
        <v>1058</v>
      </c>
      <c r="B30" s="4" t="s">
        <v>1063</v>
      </c>
      <c r="C30" s="13">
        <v>2018</v>
      </c>
      <c r="D30" s="18" t="s">
        <v>1060</v>
      </c>
      <c r="E30" s="18" t="s">
        <v>1060</v>
      </c>
      <c r="F30" s="18" t="s">
        <v>1060</v>
      </c>
      <c r="G30" s="18" t="s">
        <v>1060</v>
      </c>
    </row>
    <row r="31" ht="15.75" customHeight="1" spans="1:7">
      <c r="A31" s="118" t="s">
        <v>1058</v>
      </c>
      <c r="B31" s="4" t="s">
        <v>1064</v>
      </c>
      <c r="C31" s="13">
        <v>2018</v>
      </c>
      <c r="D31" s="18">
        <v>0.019</v>
      </c>
      <c r="E31" s="18">
        <v>0.017</v>
      </c>
      <c r="F31" s="18">
        <v>0.0001482</v>
      </c>
      <c r="G31" s="18">
        <v>0.0001326</v>
      </c>
    </row>
    <row r="32" ht="15.75" customHeight="1" spans="1:7">
      <c r="A32" s="118" t="s">
        <v>1058</v>
      </c>
      <c r="B32" s="4" t="s">
        <v>1059</v>
      </c>
      <c r="C32" s="13">
        <v>2019</v>
      </c>
      <c r="D32" s="18" t="s">
        <v>1060</v>
      </c>
      <c r="E32" s="18" t="s">
        <v>1060</v>
      </c>
      <c r="F32" s="18" t="s">
        <v>1060</v>
      </c>
      <c r="G32" s="18" t="s">
        <v>1060</v>
      </c>
    </row>
    <row r="33" ht="15.75" customHeight="1" spans="1:7">
      <c r="A33" s="118" t="s">
        <v>1058</v>
      </c>
      <c r="B33" s="4" t="s">
        <v>1061</v>
      </c>
      <c r="C33" s="13">
        <v>2019</v>
      </c>
      <c r="D33" s="18">
        <v>0.0232138521975074</v>
      </c>
      <c r="E33" s="18">
        <v>0.017</v>
      </c>
      <c r="F33" s="18">
        <v>0.000231256011498536</v>
      </c>
      <c r="G33" s="18">
        <v>0.000169353718720465</v>
      </c>
    </row>
    <row r="34" ht="15.75" customHeight="1" spans="1:7">
      <c r="A34" s="118" t="s">
        <v>1058</v>
      </c>
      <c r="B34" s="4" t="s">
        <v>1062</v>
      </c>
      <c r="C34" s="13">
        <v>2019</v>
      </c>
      <c r="D34" s="18">
        <v>0.034833879981101</v>
      </c>
      <c r="E34" s="18">
        <v>0.002</v>
      </c>
      <c r="F34" s="18">
        <v>0.00126747373405428</v>
      </c>
      <c r="G34" s="18">
        <v>7.27724694890113e-5</v>
      </c>
    </row>
    <row r="35" ht="15.75" customHeight="1" spans="1:7">
      <c r="A35" s="118" t="s">
        <v>1058</v>
      </c>
      <c r="B35" s="4" t="s">
        <v>1063</v>
      </c>
      <c r="C35" s="13">
        <v>2019</v>
      </c>
      <c r="D35" s="18" t="s">
        <v>1060</v>
      </c>
      <c r="E35" s="18" t="s">
        <v>1060</v>
      </c>
      <c r="F35" s="18" t="s">
        <v>1060</v>
      </c>
      <c r="G35" s="18" t="s">
        <v>1060</v>
      </c>
    </row>
    <row r="36" ht="15.75" customHeight="1" spans="1:7">
      <c r="A36" s="118" t="s">
        <v>1058</v>
      </c>
      <c r="B36" s="4" t="s">
        <v>1064</v>
      </c>
      <c r="C36" s="13">
        <v>2019</v>
      </c>
      <c r="D36" s="18">
        <v>0.015</v>
      </c>
      <c r="E36" s="18">
        <v>0.017</v>
      </c>
      <c r="F36" s="18">
        <v>0.000113262061402421</v>
      </c>
      <c r="G36" s="18">
        <v>0.000128363669589411</v>
      </c>
    </row>
    <row r="37" ht="15.75" customHeight="1" spans="1:7">
      <c r="A37" s="118" t="s">
        <v>1058</v>
      </c>
      <c r="B37" s="4" t="s">
        <v>1059</v>
      </c>
      <c r="C37" s="13">
        <v>2020</v>
      </c>
      <c r="D37" s="18" t="s">
        <v>1060</v>
      </c>
      <c r="E37" s="18" t="s">
        <v>1060</v>
      </c>
      <c r="F37" s="18" t="s">
        <v>1060</v>
      </c>
      <c r="G37" s="18" t="s">
        <v>1060</v>
      </c>
    </row>
    <row r="38" ht="15.75" customHeight="1" spans="1:7">
      <c r="A38" s="118" t="s">
        <v>1058</v>
      </c>
      <c r="B38" s="4" t="s">
        <v>1061</v>
      </c>
      <c r="C38" s="13">
        <v>2020</v>
      </c>
      <c r="D38" s="18">
        <v>0.0220849329306022</v>
      </c>
      <c r="E38" s="18">
        <v>0.017</v>
      </c>
      <c r="F38" s="18">
        <v>0.000225002264007209</v>
      </c>
      <c r="G38" s="18">
        <v>0.000173196744592435</v>
      </c>
    </row>
    <row r="39" ht="15.75" customHeight="1" spans="1:7">
      <c r="A39" s="118" t="s">
        <v>1058</v>
      </c>
      <c r="B39" s="4" t="s">
        <v>1062</v>
      </c>
      <c r="C39" s="13">
        <v>2020</v>
      </c>
      <c r="D39" s="18">
        <v>0.0351258377578972</v>
      </c>
      <c r="E39" s="18">
        <v>0.002</v>
      </c>
      <c r="F39" s="18">
        <v>0.00124333571090788</v>
      </c>
      <c r="G39" s="18">
        <v>7.07932274513994e-5</v>
      </c>
    </row>
    <row r="40" ht="15.75" customHeight="1" spans="1:7">
      <c r="A40" s="118" t="s">
        <v>1058</v>
      </c>
      <c r="B40" s="4" t="s">
        <v>1063</v>
      </c>
      <c r="C40" s="13">
        <v>2020</v>
      </c>
      <c r="D40" s="18" t="s">
        <v>1060</v>
      </c>
      <c r="E40" s="18" t="s">
        <v>1060</v>
      </c>
      <c r="F40" s="18" t="s">
        <v>1060</v>
      </c>
      <c r="G40" s="18" t="s">
        <v>1060</v>
      </c>
    </row>
    <row r="41" ht="15.75" customHeight="1" spans="1:7">
      <c r="A41" s="118" t="s">
        <v>1058</v>
      </c>
      <c r="B41" s="4" t="s">
        <v>1064</v>
      </c>
      <c r="C41" s="13">
        <v>2020</v>
      </c>
      <c r="D41" s="18">
        <v>0.0217377493552661</v>
      </c>
      <c r="E41" s="18">
        <v>0.017</v>
      </c>
      <c r="F41" s="18">
        <v>0.00017358499456331</v>
      </c>
      <c r="G41" s="18">
        <v>0.000135752090032329</v>
      </c>
    </row>
    <row r="42" ht="15.75" customHeight="1" spans="1:7">
      <c r="A42" s="118" t="s">
        <v>1058</v>
      </c>
      <c r="B42" s="4" t="s">
        <v>1059</v>
      </c>
      <c r="C42" s="13">
        <v>2021</v>
      </c>
      <c r="D42" s="18" t="s">
        <v>1060</v>
      </c>
      <c r="E42" s="18" t="s">
        <v>1060</v>
      </c>
      <c r="F42" s="18" t="s">
        <v>1060</v>
      </c>
      <c r="G42" s="18" t="s">
        <v>1060</v>
      </c>
    </row>
    <row r="43" ht="15.75" customHeight="1" spans="1:7">
      <c r="A43" s="118" t="s">
        <v>1058</v>
      </c>
      <c r="B43" s="4" t="s">
        <v>1061</v>
      </c>
      <c r="C43" s="13">
        <v>2021</v>
      </c>
      <c r="D43" s="18">
        <v>0.0224103477694637</v>
      </c>
      <c r="E43" s="18">
        <v>0.017</v>
      </c>
      <c r="F43" s="18">
        <v>0.000232606436229335</v>
      </c>
      <c r="G43" s="18">
        <v>0.000176450158497176</v>
      </c>
    </row>
    <row r="44" ht="15.75" customHeight="1" spans="1:7">
      <c r="A44" s="118" t="s">
        <v>1058</v>
      </c>
      <c r="B44" s="4" t="s">
        <v>1062</v>
      </c>
      <c r="C44" s="13">
        <v>2021</v>
      </c>
      <c r="D44" s="18">
        <v>0.0336307276371727</v>
      </c>
      <c r="E44" s="18">
        <v>0.002</v>
      </c>
      <c r="F44" s="18">
        <v>0.00121019880651744</v>
      </c>
      <c r="G44" s="18">
        <v>7.19698259028912e-5</v>
      </c>
    </row>
    <row r="45" ht="15.75" customHeight="1" spans="1:7">
      <c r="A45" s="118" t="s">
        <v>1058</v>
      </c>
      <c r="B45" s="4" t="s">
        <v>1063</v>
      </c>
      <c r="C45" s="13">
        <v>2021</v>
      </c>
      <c r="D45" s="18" t="s">
        <v>1060</v>
      </c>
      <c r="E45" s="18" t="s">
        <v>1060</v>
      </c>
      <c r="F45" s="18" t="s">
        <v>1060</v>
      </c>
      <c r="G45" s="18" t="s">
        <v>1060</v>
      </c>
    </row>
    <row r="46" ht="15.75" customHeight="1" spans="1:7">
      <c r="A46" s="118" t="s">
        <v>1058</v>
      </c>
      <c r="B46" s="4" t="s">
        <v>1064</v>
      </c>
      <c r="C46" s="13">
        <v>2021</v>
      </c>
      <c r="D46" s="18">
        <v>0.0233918943080606</v>
      </c>
      <c r="E46" s="18">
        <v>0.017</v>
      </c>
      <c r="F46" s="18">
        <v>0.000218936646110719</v>
      </c>
      <c r="G46" s="18">
        <v>0.00015911165358676</v>
      </c>
    </row>
    <row r="47" ht="15.75" customHeight="1" spans="1:7">
      <c r="A47" s="118" t="s">
        <v>1058</v>
      </c>
      <c r="B47" s="4" t="s">
        <v>1059</v>
      </c>
      <c r="C47" s="13">
        <v>2022</v>
      </c>
      <c r="D47" s="18" t="s">
        <v>1060</v>
      </c>
      <c r="E47" s="18" t="s">
        <v>1060</v>
      </c>
      <c r="F47" s="18" t="s">
        <v>1060</v>
      </c>
      <c r="G47" s="18" t="s">
        <v>1060</v>
      </c>
    </row>
    <row r="48" ht="15.75" customHeight="1" spans="1:7">
      <c r="A48" s="118" t="s">
        <v>1058</v>
      </c>
      <c r="B48" s="4" t="s">
        <v>1061</v>
      </c>
      <c r="C48" s="13">
        <v>2022</v>
      </c>
      <c r="D48" s="18">
        <v>0.0145252235402367</v>
      </c>
      <c r="E48" s="18">
        <v>0.02</v>
      </c>
      <c r="F48" s="18">
        <v>0.000156446644205951</v>
      </c>
      <c r="G48" s="18">
        <v>0.000215413750807446</v>
      </c>
    </row>
    <row r="49" ht="15.75" customHeight="1" spans="1:7">
      <c r="A49" s="118" t="s">
        <v>1058</v>
      </c>
      <c r="B49" s="4" t="s">
        <v>1062</v>
      </c>
      <c r="C49" s="13">
        <v>2022</v>
      </c>
      <c r="D49" s="18">
        <v>0.0371575131770026</v>
      </c>
      <c r="E49" s="18">
        <v>0.002</v>
      </c>
      <c r="F49" s="18">
        <v>0.0014258953108333</v>
      </c>
      <c r="G49" s="18">
        <v>7.67486943510424e-5</v>
      </c>
    </row>
    <row r="50" ht="15.75" customHeight="1" spans="1:7">
      <c r="A50" s="118" t="s">
        <v>1058</v>
      </c>
      <c r="B50" s="4" t="s">
        <v>1063</v>
      </c>
      <c r="C50" s="13">
        <v>2022</v>
      </c>
      <c r="D50" s="18" t="s">
        <v>1060</v>
      </c>
      <c r="E50" s="18" t="s">
        <v>1060</v>
      </c>
      <c r="F50" s="18" t="s">
        <v>1060</v>
      </c>
      <c r="G50" s="18" t="s">
        <v>1060</v>
      </c>
    </row>
    <row r="51" ht="15.75" customHeight="1" spans="1:7">
      <c r="A51" s="118" t="s">
        <v>1058</v>
      </c>
      <c r="B51" s="4" t="s">
        <v>1064</v>
      </c>
      <c r="C51" s="13">
        <v>2022</v>
      </c>
      <c r="D51" s="18">
        <v>0.0195883973740198</v>
      </c>
      <c r="E51" s="18">
        <v>0.017</v>
      </c>
      <c r="F51" s="18">
        <v>0.000180820555320398</v>
      </c>
      <c r="G51" s="18">
        <v>0.000156927051343352</v>
      </c>
    </row>
    <row r="52" ht="15.75" customHeight="1" spans="1:7">
      <c r="A52" s="118" t="s">
        <v>1058</v>
      </c>
      <c r="B52" s="4" t="s">
        <v>1059</v>
      </c>
      <c r="C52" s="13">
        <v>2023</v>
      </c>
      <c r="D52" s="18" t="s">
        <v>1060</v>
      </c>
      <c r="E52" s="18" t="s">
        <v>1060</v>
      </c>
      <c r="F52" s="18" t="s">
        <v>1060</v>
      </c>
      <c r="G52" s="18" t="s">
        <v>1060</v>
      </c>
    </row>
    <row r="53" ht="15.75" customHeight="1" spans="1:7">
      <c r="A53" s="118" t="s">
        <v>1058</v>
      </c>
      <c r="B53" s="4" t="s">
        <v>1061</v>
      </c>
      <c r="C53" s="13">
        <v>2023</v>
      </c>
      <c r="D53" s="18">
        <v>0.0166775541445022</v>
      </c>
      <c r="E53" s="18">
        <v>0.017</v>
      </c>
      <c r="F53" s="18">
        <v>0.000173446563102823</v>
      </c>
      <c r="G53" s="18">
        <v>0.0001768</v>
      </c>
    </row>
    <row r="54" ht="15.75" customHeight="1" spans="1:7">
      <c r="A54" s="118" t="s">
        <v>1058</v>
      </c>
      <c r="B54" s="4" t="s">
        <v>1062</v>
      </c>
      <c r="C54" s="13">
        <v>2023</v>
      </c>
      <c r="D54" s="18">
        <v>0.0346412665128073</v>
      </c>
      <c r="E54" s="18">
        <v>0.002</v>
      </c>
      <c r="F54" s="18">
        <v>0.00122976496120466</v>
      </c>
      <c r="G54" s="18">
        <v>7.1e-5</v>
      </c>
    </row>
    <row r="55" ht="15.75" customHeight="1" spans="1:7">
      <c r="A55" s="118" t="s">
        <v>1058</v>
      </c>
      <c r="B55" s="4" t="s">
        <v>1063</v>
      </c>
      <c r="C55" s="13">
        <v>2023</v>
      </c>
      <c r="D55" s="18" t="s">
        <v>1060</v>
      </c>
      <c r="E55" s="18" t="s">
        <v>1060</v>
      </c>
      <c r="F55" s="18" t="s">
        <v>1060</v>
      </c>
      <c r="G55" s="18" t="s">
        <v>1060</v>
      </c>
    </row>
    <row r="56" ht="15.75" customHeight="1" spans="1:7">
      <c r="A56" s="118" t="s">
        <v>1058</v>
      </c>
      <c r="B56" s="4" t="s">
        <v>1064</v>
      </c>
      <c r="C56" s="13">
        <v>2023</v>
      </c>
      <c r="D56" s="18">
        <v>0.017</v>
      </c>
      <c r="E56" s="18">
        <v>0.017</v>
      </c>
      <c r="F56" s="18">
        <v>0.000126616</v>
      </c>
      <c r="G56" s="18">
        <v>0.000126616</v>
      </c>
    </row>
    <row r="57" ht="15.75" customHeight="1" spans="1:7">
      <c r="A57" s="118" t="s">
        <v>1058</v>
      </c>
      <c r="B57" s="4" t="s">
        <v>1059</v>
      </c>
      <c r="C57" s="13">
        <v>2024</v>
      </c>
      <c r="D57" s="15" t="s">
        <v>1060</v>
      </c>
      <c r="E57" s="15" t="s">
        <v>1060</v>
      </c>
      <c r="F57" s="15" t="s">
        <v>1060</v>
      </c>
      <c r="G57" s="15" t="s">
        <v>1060</v>
      </c>
    </row>
    <row r="58" ht="15.75" customHeight="1" spans="1:7">
      <c r="A58" s="118" t="s">
        <v>1058</v>
      </c>
      <c r="B58" s="4" t="s">
        <v>1061</v>
      </c>
      <c r="C58" s="13">
        <v>2024</v>
      </c>
      <c r="D58" s="15">
        <v>0.0166775541445022</v>
      </c>
      <c r="E58" s="15">
        <v>0.017</v>
      </c>
      <c r="F58" s="15">
        <v>0.000173446563102823</v>
      </c>
      <c r="G58" s="15">
        <v>0.0001768</v>
      </c>
    </row>
    <row r="59" ht="15.75" customHeight="1" spans="1:7">
      <c r="A59" s="118" t="s">
        <v>1058</v>
      </c>
      <c r="B59" s="4" t="s">
        <v>1062</v>
      </c>
      <c r="C59" s="13">
        <v>2024</v>
      </c>
      <c r="D59" s="15">
        <v>0.0346412665128073</v>
      </c>
      <c r="E59" s="15">
        <v>0.002</v>
      </c>
      <c r="F59" s="15">
        <v>0.00122976496120466</v>
      </c>
      <c r="G59" s="15">
        <v>7.1e-5</v>
      </c>
    </row>
    <row r="60" ht="15.75" customHeight="1" spans="1:7">
      <c r="A60" s="118" t="s">
        <v>1058</v>
      </c>
      <c r="B60" s="4" t="s">
        <v>1063</v>
      </c>
      <c r="C60" s="13">
        <v>2024</v>
      </c>
      <c r="D60" s="15" t="s">
        <v>1060</v>
      </c>
      <c r="E60" s="15" t="s">
        <v>1060</v>
      </c>
      <c r="F60" s="15" t="s">
        <v>1060</v>
      </c>
      <c r="G60" s="15" t="s">
        <v>1060</v>
      </c>
    </row>
    <row r="61" ht="15.75" customHeight="1" spans="1:7">
      <c r="A61" s="118" t="s">
        <v>1058</v>
      </c>
      <c r="B61" s="4" t="s">
        <v>1064</v>
      </c>
      <c r="C61" s="13">
        <v>2024</v>
      </c>
      <c r="D61" s="15">
        <v>0.017</v>
      </c>
      <c r="E61" s="15">
        <v>0.017</v>
      </c>
      <c r="F61" s="15">
        <v>0.000126616</v>
      </c>
      <c r="G61" s="15">
        <v>0.000126616</v>
      </c>
    </row>
    <row r="62" ht="15.75" customHeight="1" spans="1:7">
      <c r="A62" s="118" t="s">
        <v>1058</v>
      </c>
      <c r="B62" s="4" t="s">
        <v>1065</v>
      </c>
      <c r="C62" s="13">
        <v>2024</v>
      </c>
      <c r="D62" s="15">
        <v>0.006785714</v>
      </c>
      <c r="E62" s="15">
        <v>0.003698113</v>
      </c>
      <c r="F62" s="15">
        <v>7.7114355100482e-5</v>
      </c>
      <c r="G62" s="28">
        <v>4.20261742660697e-5</v>
      </c>
    </row>
    <row r="63" ht="15.75" customHeight="1" spans="1:7">
      <c r="A63" s="118" t="s">
        <v>1058</v>
      </c>
      <c r="B63" s="4" t="s">
        <v>1066</v>
      </c>
      <c r="C63" s="13">
        <v>2024</v>
      </c>
      <c r="D63" s="15">
        <v>0.009285714</v>
      </c>
      <c r="E63" s="15">
        <v>0.000754717</v>
      </c>
      <c r="F63" s="15">
        <v>0.000136641832209408</v>
      </c>
      <c r="G63" s="28">
        <v>1.11058679687516e-5</v>
      </c>
    </row>
    <row r="64" ht="15.75" customHeight="1" spans="1:7">
      <c r="A64" s="118" t="s">
        <v>1067</v>
      </c>
      <c r="B64" s="3" t="s">
        <v>1068</v>
      </c>
      <c r="C64" s="13">
        <v>2024</v>
      </c>
      <c r="D64" s="15">
        <v>0.063214286</v>
      </c>
      <c r="E64" s="15">
        <v>0.001358491</v>
      </c>
      <c r="F64" s="15">
        <v>0.000758571432</v>
      </c>
      <c r="G64" s="15">
        <v>1.6301892e-5</v>
      </c>
    </row>
    <row r="65" ht="15.75" customHeight="1" spans="4:7">
      <c r="D65" s="37"/>
      <c r="E65" s="37"/>
      <c r="F65" s="37"/>
      <c r="G65" s="37"/>
    </row>
    <row r="66" ht="15.75" customHeight="1" spans="4:7">
      <c r="D66" s="37"/>
      <c r="E66" s="37"/>
      <c r="F66" s="37"/>
      <c r="G66" s="37"/>
    </row>
    <row r="67" ht="15.75" customHeight="1" spans="4:7">
      <c r="D67" s="37"/>
      <c r="E67" s="37"/>
      <c r="F67" s="37"/>
      <c r="G67" s="37"/>
    </row>
    <row r="68" ht="15.75" customHeight="1" spans="4:7">
      <c r="D68" s="37"/>
      <c r="E68" s="37"/>
      <c r="F68" s="37"/>
      <c r="G68" s="37"/>
    </row>
    <row r="69" ht="15.75" customHeight="1" spans="4:7">
      <c r="D69" s="37"/>
      <c r="E69" s="37"/>
      <c r="F69" s="37"/>
      <c r="G69" s="37"/>
    </row>
    <row r="70" ht="15.75" customHeight="1" spans="4:7">
      <c r="D70" s="37"/>
      <c r="E70" s="37"/>
      <c r="F70" s="37"/>
      <c r="G70" s="37"/>
    </row>
    <row r="71" ht="15.75" customHeight="1" spans="4:7">
      <c r="D71" s="37"/>
      <c r="E71" s="37"/>
      <c r="F71" s="37"/>
      <c r="G71" s="37"/>
    </row>
    <row r="72" ht="15.75" customHeight="1" spans="4:7">
      <c r="D72" s="37"/>
      <c r="E72" s="37"/>
      <c r="F72" s="37"/>
      <c r="G72" s="37"/>
    </row>
    <row r="73" ht="15.75" customHeight="1" spans="4:7">
      <c r="D73" s="37"/>
      <c r="E73" s="37"/>
      <c r="F73" s="37"/>
      <c r="G73" s="37"/>
    </row>
    <row r="74" ht="15.75" customHeight="1" spans="4:7">
      <c r="D74" s="37"/>
      <c r="E74" s="37"/>
      <c r="F74" s="37"/>
      <c r="G74" s="37"/>
    </row>
    <row r="75" ht="15.75" customHeight="1" spans="4:7">
      <c r="D75" s="37"/>
      <c r="E75" s="37"/>
      <c r="F75" s="37"/>
      <c r="G75" s="37"/>
    </row>
    <row r="76" ht="15.75" customHeight="1" spans="4:7">
      <c r="D76" s="37"/>
      <c r="E76" s="37"/>
      <c r="F76" s="37"/>
      <c r="G76" s="37"/>
    </row>
    <row r="77" ht="15.75" customHeight="1" spans="4:7">
      <c r="D77" s="37"/>
      <c r="E77" s="37"/>
      <c r="F77" s="37"/>
      <c r="G77" s="37"/>
    </row>
    <row r="78" ht="15.75" customHeight="1" spans="4:7">
      <c r="D78" s="37"/>
      <c r="E78" s="37"/>
      <c r="F78" s="37"/>
      <c r="G78" s="37"/>
    </row>
    <row r="79" ht="15.75" customHeight="1" spans="4:7">
      <c r="D79" s="37"/>
      <c r="E79" s="37"/>
      <c r="F79" s="37"/>
      <c r="G79" s="37"/>
    </row>
    <row r="80" ht="15.75" customHeight="1" spans="4:7">
      <c r="D80" s="37"/>
      <c r="E80" s="37"/>
      <c r="F80" s="37"/>
      <c r="G80" s="37"/>
    </row>
    <row r="81" ht="15.75" customHeight="1" spans="4:7">
      <c r="D81" s="37"/>
      <c r="E81" s="37"/>
      <c r="F81" s="37"/>
      <c r="G81" s="37"/>
    </row>
    <row r="82" ht="15.75" customHeight="1" spans="4:7">
      <c r="D82" s="37"/>
      <c r="E82" s="37"/>
      <c r="F82" s="37"/>
      <c r="G82" s="37"/>
    </row>
    <row r="83" ht="15.75" customHeight="1" spans="4:7">
      <c r="D83" s="37"/>
      <c r="E83" s="37"/>
      <c r="F83" s="37"/>
      <c r="G83" s="37"/>
    </row>
    <row r="84" ht="15.75" customHeight="1" spans="4:7">
      <c r="D84" s="37"/>
      <c r="E84" s="37"/>
      <c r="F84" s="37"/>
      <c r="G84" s="37"/>
    </row>
    <row r="85" ht="15.75" customHeight="1" spans="4:7">
      <c r="D85" s="37"/>
      <c r="E85" s="37"/>
      <c r="F85" s="37"/>
      <c r="G85" s="37"/>
    </row>
    <row r="86" ht="15.75" customHeight="1" spans="4:7">
      <c r="D86" s="37"/>
      <c r="E86" s="37"/>
      <c r="F86" s="37"/>
      <c r="G86" s="37"/>
    </row>
    <row r="87" ht="15.75" customHeight="1" spans="4:7">
      <c r="D87" s="37"/>
      <c r="E87" s="37"/>
      <c r="F87" s="37"/>
      <c r="G87" s="37"/>
    </row>
    <row r="88" ht="15.75" customHeight="1" spans="4:7">
      <c r="D88" s="37"/>
      <c r="E88" s="37"/>
      <c r="F88" s="37"/>
      <c r="G88" s="37"/>
    </row>
    <row r="89" ht="15.75" customHeight="1" spans="4:7">
      <c r="D89" s="37"/>
      <c r="E89" s="37"/>
      <c r="F89" s="37"/>
      <c r="G89" s="37"/>
    </row>
    <row r="90" ht="15.75" customHeight="1" spans="4:7">
      <c r="D90" s="37"/>
      <c r="E90" s="37"/>
      <c r="F90" s="37"/>
      <c r="G90" s="37"/>
    </row>
    <row r="91" ht="15.75" customHeight="1" spans="4:7">
      <c r="D91" s="37"/>
      <c r="E91" s="37"/>
      <c r="F91" s="37"/>
      <c r="G91" s="37"/>
    </row>
    <row r="92" ht="15.75" customHeight="1" spans="4:7">
      <c r="D92" s="37"/>
      <c r="E92" s="37"/>
      <c r="F92" s="37"/>
      <c r="G92" s="37"/>
    </row>
    <row r="93" ht="15.75" customHeight="1" spans="4:7">
      <c r="D93" s="37"/>
      <c r="E93" s="37"/>
      <c r="F93" s="37"/>
      <c r="G93" s="37"/>
    </row>
    <row r="94" ht="15.75" customHeight="1" spans="4:7">
      <c r="D94" s="37"/>
      <c r="E94" s="37"/>
      <c r="F94" s="37"/>
      <c r="G94" s="37"/>
    </row>
    <row r="95" ht="15.75" customHeight="1" spans="4:7">
      <c r="D95" s="37"/>
      <c r="E95" s="37"/>
      <c r="F95" s="37"/>
      <c r="G95" s="37"/>
    </row>
    <row r="96" ht="15.75" customHeight="1" spans="4:7">
      <c r="D96" s="37"/>
      <c r="E96" s="37"/>
      <c r="F96" s="37"/>
      <c r="G96" s="37"/>
    </row>
    <row r="97" ht="15.75" customHeight="1" spans="4:7">
      <c r="D97" s="37"/>
      <c r="E97" s="37"/>
      <c r="F97" s="37"/>
      <c r="G97" s="37"/>
    </row>
    <row r="98" ht="15.75" customHeight="1" spans="4:7">
      <c r="D98" s="37"/>
      <c r="E98" s="37"/>
      <c r="F98" s="37"/>
      <c r="G98" s="37"/>
    </row>
    <row r="99" ht="15.75" customHeight="1" spans="4:7">
      <c r="D99" s="37"/>
      <c r="E99" s="37"/>
      <c r="F99" s="37"/>
      <c r="G99" s="37"/>
    </row>
    <row r="100" ht="15.75" customHeight="1" spans="4:7">
      <c r="D100" s="37"/>
      <c r="E100" s="37"/>
      <c r="F100" s="37"/>
      <c r="G100" s="37"/>
    </row>
    <row r="101" ht="15.75" customHeight="1" spans="4:7">
      <c r="D101" s="37"/>
      <c r="E101" s="37"/>
      <c r="F101" s="37"/>
      <c r="G101" s="37"/>
    </row>
    <row r="102" ht="15.75" customHeight="1" spans="4:7">
      <c r="D102" s="37"/>
      <c r="E102" s="37"/>
      <c r="F102" s="37"/>
      <c r="G102" s="37"/>
    </row>
    <row r="103" ht="15.75" customHeight="1" spans="4:7">
      <c r="D103" s="37"/>
      <c r="E103" s="37"/>
      <c r="F103" s="37"/>
      <c r="G103" s="37"/>
    </row>
    <row r="104" ht="15.75" customHeight="1" spans="4:7">
      <c r="D104" s="37"/>
      <c r="E104" s="37"/>
      <c r="F104" s="37"/>
      <c r="G104" s="37"/>
    </row>
    <row r="105" ht="15.75" customHeight="1" spans="4:7">
      <c r="D105" s="37"/>
      <c r="E105" s="37"/>
      <c r="F105" s="37"/>
      <c r="G105" s="37"/>
    </row>
    <row r="106" ht="15.75" customHeight="1" spans="4:7">
      <c r="D106" s="37"/>
      <c r="E106" s="37"/>
      <c r="F106" s="37"/>
      <c r="G106" s="37"/>
    </row>
    <row r="107" ht="15.75" customHeight="1" spans="4:7">
      <c r="D107" s="37"/>
      <c r="E107" s="37"/>
      <c r="F107" s="37"/>
      <c r="G107" s="37"/>
    </row>
    <row r="108" ht="15.75" customHeight="1" spans="4:7">
      <c r="D108" s="37"/>
      <c r="E108" s="37"/>
      <c r="F108" s="37"/>
      <c r="G108" s="37"/>
    </row>
    <row r="109" ht="15.75" customHeight="1" spans="4:7">
      <c r="D109" s="37"/>
      <c r="E109" s="37"/>
      <c r="F109" s="37"/>
      <c r="G109" s="37"/>
    </row>
    <row r="110" ht="15.75" customHeight="1" spans="4:7">
      <c r="D110" s="37"/>
      <c r="E110" s="37"/>
      <c r="F110" s="37"/>
      <c r="G110" s="37"/>
    </row>
    <row r="111" ht="15.75" customHeight="1" spans="4:7">
      <c r="D111" s="37"/>
      <c r="E111" s="37"/>
      <c r="F111" s="37"/>
      <c r="G111" s="37"/>
    </row>
    <row r="112" ht="15.75" customHeight="1" spans="4:7">
      <c r="D112" s="37"/>
      <c r="E112" s="37"/>
      <c r="F112" s="37"/>
      <c r="G112" s="37"/>
    </row>
    <row r="113" ht="15.75" customHeight="1" spans="4:7">
      <c r="D113" s="37"/>
      <c r="E113" s="37"/>
      <c r="F113" s="37"/>
      <c r="G113" s="37"/>
    </row>
    <row r="114" ht="15.75" customHeight="1" spans="4:7">
      <c r="D114" s="37"/>
      <c r="E114" s="37"/>
      <c r="F114" s="37"/>
      <c r="G114" s="37"/>
    </row>
    <row r="115" ht="15.75" customHeight="1" spans="4:7">
      <c r="D115" s="37"/>
      <c r="E115" s="37"/>
      <c r="F115" s="37"/>
      <c r="G115" s="37"/>
    </row>
    <row r="116" ht="15.75" customHeight="1" spans="4:7">
      <c r="D116" s="37"/>
      <c r="E116" s="37"/>
      <c r="F116" s="37"/>
      <c r="G116" s="37"/>
    </row>
    <row r="117" ht="15.75" customHeight="1" spans="4:7">
      <c r="D117" s="37"/>
      <c r="E117" s="37"/>
      <c r="F117" s="37"/>
      <c r="G117" s="37"/>
    </row>
    <row r="118" ht="15.75" customHeight="1" spans="4:7">
      <c r="D118" s="37"/>
      <c r="E118" s="37"/>
      <c r="F118" s="37"/>
      <c r="G118" s="37"/>
    </row>
    <row r="119" ht="15.75" customHeight="1" spans="4:7">
      <c r="D119" s="37"/>
      <c r="E119" s="37"/>
      <c r="F119" s="37"/>
      <c r="G119" s="37"/>
    </row>
    <row r="120" ht="15.75" customHeight="1" spans="4:7">
      <c r="D120" s="37"/>
      <c r="E120" s="37"/>
      <c r="F120" s="37"/>
      <c r="G120" s="37"/>
    </row>
    <row r="121" ht="15.75" customHeight="1" spans="4:7">
      <c r="D121" s="37"/>
      <c r="E121" s="37"/>
      <c r="F121" s="37"/>
      <c r="G121" s="37"/>
    </row>
    <row r="122" ht="15.75" customHeight="1" spans="4:7">
      <c r="D122" s="37"/>
      <c r="E122" s="37"/>
      <c r="F122" s="37"/>
      <c r="G122" s="37"/>
    </row>
    <row r="123" ht="15.75" customHeight="1" spans="4:7">
      <c r="D123" s="37"/>
      <c r="E123" s="37"/>
      <c r="F123" s="37"/>
      <c r="G123" s="37"/>
    </row>
    <row r="124" ht="15.75" customHeight="1" spans="4:7">
      <c r="D124" s="37"/>
      <c r="E124" s="37"/>
      <c r="F124" s="37"/>
      <c r="G124" s="37"/>
    </row>
    <row r="125" ht="15.75" customHeight="1" spans="4:7">
      <c r="D125" s="37"/>
      <c r="E125" s="37"/>
      <c r="F125" s="37"/>
      <c r="G125" s="37"/>
    </row>
    <row r="126" ht="15.75" customHeight="1" spans="4:7">
      <c r="D126" s="37"/>
      <c r="E126" s="37"/>
      <c r="F126" s="37"/>
      <c r="G126" s="37"/>
    </row>
    <row r="127" ht="15.75" customHeight="1" spans="4:7">
      <c r="D127" s="37"/>
      <c r="E127" s="37"/>
      <c r="F127" s="37"/>
      <c r="G127" s="37"/>
    </row>
    <row r="128" ht="15.75" customHeight="1" spans="4:7">
      <c r="D128" s="37"/>
      <c r="E128" s="37"/>
      <c r="F128" s="37"/>
      <c r="G128" s="37"/>
    </row>
    <row r="129" ht="15.75" customHeight="1" spans="4:7">
      <c r="D129" s="37"/>
      <c r="E129" s="37"/>
      <c r="F129" s="37"/>
      <c r="G129" s="37"/>
    </row>
    <row r="130" ht="15.75" customHeight="1" spans="4:7">
      <c r="D130" s="37"/>
      <c r="E130" s="37"/>
      <c r="F130" s="37"/>
      <c r="G130" s="37"/>
    </row>
    <row r="131" ht="15.75" customHeight="1" spans="4:7">
      <c r="D131" s="37"/>
      <c r="E131" s="37"/>
      <c r="F131" s="37"/>
      <c r="G131" s="37"/>
    </row>
    <row r="132" ht="15.75" customHeight="1" spans="4:7">
      <c r="D132" s="37"/>
      <c r="E132" s="37"/>
      <c r="F132" s="37"/>
      <c r="G132" s="37"/>
    </row>
    <row r="133" ht="15.75" customHeight="1" spans="4:7">
      <c r="D133" s="37"/>
      <c r="E133" s="37"/>
      <c r="F133" s="37"/>
      <c r="G133" s="37"/>
    </row>
    <row r="134" ht="15.75" customHeight="1" spans="4:7">
      <c r="D134" s="37"/>
      <c r="E134" s="37"/>
      <c r="F134" s="37"/>
      <c r="G134" s="37"/>
    </row>
    <row r="135" ht="15.75" customHeight="1" spans="4:7">
      <c r="D135" s="37"/>
      <c r="E135" s="37"/>
      <c r="F135" s="37"/>
      <c r="G135" s="37"/>
    </row>
    <row r="136" ht="15.75" customHeight="1" spans="4:7">
      <c r="D136" s="37"/>
      <c r="E136" s="37"/>
      <c r="F136" s="37"/>
      <c r="G136" s="37"/>
    </row>
    <row r="137" ht="15.75" customHeight="1" spans="4:7">
      <c r="D137" s="37"/>
      <c r="E137" s="37"/>
      <c r="F137" s="37"/>
      <c r="G137" s="37"/>
    </row>
    <row r="138" ht="15.75" customHeight="1" spans="4:7">
      <c r="D138" s="37"/>
      <c r="E138" s="37"/>
      <c r="F138" s="37"/>
      <c r="G138" s="37"/>
    </row>
    <row r="139" ht="15.75" customHeight="1" spans="4:7">
      <c r="D139" s="37"/>
      <c r="E139" s="37"/>
      <c r="F139" s="37"/>
      <c r="G139" s="37"/>
    </row>
    <row r="140" ht="15.75" customHeight="1" spans="4:7">
      <c r="D140" s="37"/>
      <c r="E140" s="37"/>
      <c r="F140" s="37"/>
      <c r="G140" s="37"/>
    </row>
    <row r="141" ht="15.75" customHeight="1" spans="4:7">
      <c r="D141" s="37"/>
      <c r="E141" s="37"/>
      <c r="F141" s="37"/>
      <c r="G141" s="37"/>
    </row>
    <row r="142" ht="15.75" customHeight="1" spans="4:7">
      <c r="D142" s="37"/>
      <c r="E142" s="37"/>
      <c r="F142" s="37"/>
      <c r="G142" s="37"/>
    </row>
    <row r="143" ht="15.75" customHeight="1" spans="4:7">
      <c r="D143" s="37"/>
      <c r="E143" s="37"/>
      <c r="F143" s="37"/>
      <c r="G143" s="37"/>
    </row>
    <row r="144" ht="15.75" customHeight="1" spans="4:7">
      <c r="D144" s="37"/>
      <c r="E144" s="37"/>
      <c r="F144" s="37"/>
      <c r="G144" s="37"/>
    </row>
    <row r="145" ht="15.75" customHeight="1" spans="4:7">
      <c r="D145" s="37"/>
      <c r="E145" s="37"/>
      <c r="F145" s="37"/>
      <c r="G145" s="37"/>
    </row>
    <row r="146" ht="15.75" customHeight="1" spans="4:7">
      <c r="D146" s="37"/>
      <c r="E146" s="37"/>
      <c r="F146" s="37"/>
      <c r="G146" s="37"/>
    </row>
    <row r="147" ht="15.75" customHeight="1" spans="4:7">
      <c r="D147" s="37"/>
      <c r="E147" s="37"/>
      <c r="F147" s="37"/>
      <c r="G147" s="37"/>
    </row>
    <row r="148" ht="15.75" customHeight="1" spans="4:7">
      <c r="D148" s="37"/>
      <c r="E148" s="37"/>
      <c r="F148" s="37"/>
      <c r="G148" s="37"/>
    </row>
    <row r="149" ht="15.75" customHeight="1" spans="4:7">
      <c r="D149" s="37"/>
      <c r="E149" s="37"/>
      <c r="F149" s="37"/>
      <c r="G149" s="37"/>
    </row>
    <row r="150" ht="15.75" customHeight="1" spans="4:7">
      <c r="D150" s="37"/>
      <c r="E150" s="37"/>
      <c r="F150" s="37"/>
      <c r="G150" s="37"/>
    </row>
    <row r="151" ht="15.75" customHeight="1" spans="4:7">
      <c r="D151" s="37"/>
      <c r="E151" s="37"/>
      <c r="F151" s="37"/>
      <c r="G151" s="37"/>
    </row>
    <row r="152" ht="15.75" customHeight="1" spans="4:7">
      <c r="D152" s="37"/>
      <c r="E152" s="37"/>
      <c r="F152" s="37"/>
      <c r="G152" s="37"/>
    </row>
    <row r="153" ht="15.75" customHeight="1" spans="4:7">
      <c r="D153" s="37"/>
      <c r="E153" s="37"/>
      <c r="F153" s="37"/>
      <c r="G153" s="37"/>
    </row>
    <row r="154" ht="15.75" customHeight="1" spans="4:7">
      <c r="D154" s="37"/>
      <c r="E154" s="37"/>
      <c r="F154" s="37"/>
      <c r="G154" s="37"/>
    </row>
    <row r="155" ht="15.75" customHeight="1" spans="4:7">
      <c r="D155" s="37"/>
      <c r="E155" s="37"/>
      <c r="F155" s="37"/>
      <c r="G155" s="37"/>
    </row>
    <row r="156" ht="15.75" customHeight="1" spans="4:7">
      <c r="D156" s="37"/>
      <c r="E156" s="37"/>
      <c r="F156" s="37"/>
      <c r="G156" s="37"/>
    </row>
    <row r="157" ht="15.75" customHeight="1" spans="4:7">
      <c r="D157" s="37"/>
      <c r="E157" s="37"/>
      <c r="F157" s="37"/>
      <c r="G157" s="37"/>
    </row>
    <row r="158" ht="15.75" customHeight="1" spans="4:7">
      <c r="D158" s="37"/>
      <c r="E158" s="37"/>
      <c r="F158" s="37"/>
      <c r="G158" s="37"/>
    </row>
    <row r="159" ht="15.75" customHeight="1" spans="4:7">
      <c r="D159" s="37"/>
      <c r="E159" s="37"/>
      <c r="F159" s="37"/>
      <c r="G159" s="37"/>
    </row>
    <row r="160" ht="15.75" customHeight="1" spans="4:7">
      <c r="D160" s="37"/>
      <c r="E160" s="37"/>
      <c r="F160" s="37"/>
      <c r="G160" s="37"/>
    </row>
    <row r="161" ht="15.75" customHeight="1" spans="4:7">
      <c r="D161" s="37"/>
      <c r="E161" s="37"/>
      <c r="F161" s="37"/>
      <c r="G161" s="37"/>
    </row>
    <row r="162" ht="15.75" customHeight="1" spans="4:7">
      <c r="D162" s="37"/>
      <c r="E162" s="37"/>
      <c r="F162" s="37"/>
      <c r="G162" s="37"/>
    </row>
    <row r="163" ht="15.75" customHeight="1" spans="4:7">
      <c r="D163" s="37"/>
      <c r="E163" s="37"/>
      <c r="F163" s="37"/>
      <c r="G163" s="37"/>
    </row>
    <row r="164" ht="15.75" customHeight="1" spans="4:7">
      <c r="D164" s="37"/>
      <c r="E164" s="37"/>
      <c r="F164" s="37"/>
      <c r="G164" s="37"/>
    </row>
    <row r="165" ht="15.75" customHeight="1" spans="4:7">
      <c r="D165" s="37"/>
      <c r="E165" s="37"/>
      <c r="F165" s="37"/>
      <c r="G165" s="37"/>
    </row>
    <row r="166" ht="15.75" customHeight="1" spans="4:7">
      <c r="D166" s="37"/>
      <c r="E166" s="37"/>
      <c r="F166" s="37"/>
      <c r="G166" s="37"/>
    </row>
    <row r="167" ht="15.75" customHeight="1" spans="4:7">
      <c r="D167" s="37"/>
      <c r="E167" s="37"/>
      <c r="F167" s="37"/>
      <c r="G167" s="37"/>
    </row>
    <row r="168" ht="15.75" customHeight="1" spans="4:7">
      <c r="D168" s="37"/>
      <c r="E168" s="37"/>
      <c r="F168" s="37"/>
      <c r="G168" s="37"/>
    </row>
    <row r="169" ht="15.75" customHeight="1" spans="4:7">
      <c r="D169" s="37"/>
      <c r="E169" s="37"/>
      <c r="F169" s="37"/>
      <c r="G169" s="37"/>
    </row>
    <row r="170" ht="15.75" customHeight="1" spans="4:7">
      <c r="D170" s="37"/>
      <c r="E170" s="37"/>
      <c r="F170" s="37"/>
      <c r="G170" s="37"/>
    </row>
    <row r="171" ht="15.75" customHeight="1" spans="4:7">
      <c r="D171" s="37"/>
      <c r="E171" s="37"/>
      <c r="F171" s="37"/>
      <c r="G171" s="37"/>
    </row>
    <row r="172" ht="15.75" customHeight="1" spans="4:7">
      <c r="D172" s="37"/>
      <c r="E172" s="37"/>
      <c r="F172" s="37"/>
      <c r="G172" s="37"/>
    </row>
    <row r="173" ht="15.75" customHeight="1" spans="4:7">
      <c r="D173" s="37"/>
      <c r="E173" s="37"/>
      <c r="F173" s="37"/>
      <c r="G173" s="37"/>
    </row>
    <row r="174" ht="15.75" customHeight="1" spans="4:7">
      <c r="D174" s="37"/>
      <c r="E174" s="37"/>
      <c r="F174" s="37"/>
      <c r="G174" s="37"/>
    </row>
    <row r="175" ht="15.75" customHeight="1" spans="4:7">
      <c r="D175" s="37"/>
      <c r="E175" s="37"/>
      <c r="F175" s="37"/>
      <c r="G175" s="37"/>
    </row>
    <row r="176" ht="15.75" customHeight="1" spans="4:7">
      <c r="D176" s="37"/>
      <c r="E176" s="37"/>
      <c r="F176" s="37"/>
      <c r="G176" s="37"/>
    </row>
    <row r="177" ht="15.75" customHeight="1" spans="4:7">
      <c r="D177" s="37"/>
      <c r="E177" s="37"/>
      <c r="F177" s="37"/>
      <c r="G177" s="37"/>
    </row>
    <row r="178" ht="15.75" customHeight="1" spans="4:7">
      <c r="D178" s="37"/>
      <c r="E178" s="37"/>
      <c r="F178" s="37"/>
      <c r="G178" s="37"/>
    </row>
    <row r="179" ht="15.75" customHeight="1" spans="4:7">
      <c r="D179" s="37"/>
      <c r="E179" s="37"/>
      <c r="F179" s="37"/>
      <c r="G179" s="37"/>
    </row>
    <row r="180" ht="15.75" customHeight="1" spans="4:7">
      <c r="D180" s="37"/>
      <c r="E180" s="37"/>
      <c r="F180" s="37"/>
      <c r="G180" s="37"/>
    </row>
    <row r="181" ht="15.75" customHeight="1" spans="4:7">
      <c r="D181" s="37"/>
      <c r="E181" s="37"/>
      <c r="F181" s="37"/>
      <c r="G181" s="37"/>
    </row>
    <row r="182" ht="15.75" customHeight="1" spans="4:7">
      <c r="D182" s="37"/>
      <c r="E182" s="37"/>
      <c r="F182" s="37"/>
      <c r="G182" s="37"/>
    </row>
    <row r="183" ht="15.75" customHeight="1" spans="4:7">
      <c r="D183" s="37"/>
      <c r="E183" s="37"/>
      <c r="F183" s="37"/>
      <c r="G183" s="37"/>
    </row>
    <row r="184" ht="15.75" customHeight="1" spans="4:7">
      <c r="D184" s="37"/>
      <c r="E184" s="37"/>
      <c r="F184" s="37"/>
      <c r="G184" s="37"/>
    </row>
    <row r="185" ht="15.75" customHeight="1" spans="4:7">
      <c r="D185" s="37"/>
      <c r="E185" s="37"/>
      <c r="F185" s="37"/>
      <c r="G185" s="37"/>
    </row>
    <row r="186" ht="15.75" customHeight="1" spans="4:7">
      <c r="D186" s="37"/>
      <c r="E186" s="37"/>
      <c r="F186" s="37"/>
      <c r="G186" s="37"/>
    </row>
    <row r="187" ht="15.75" customHeight="1" spans="4:7">
      <c r="D187" s="37"/>
      <c r="E187" s="37"/>
      <c r="F187" s="37"/>
      <c r="G187" s="37"/>
    </row>
    <row r="188" ht="15.75" customHeight="1" spans="4:7">
      <c r="D188" s="37"/>
      <c r="E188" s="37"/>
      <c r="F188" s="37"/>
      <c r="G188" s="37"/>
    </row>
    <row r="189" ht="15.75" customHeight="1" spans="4:7">
      <c r="D189" s="37"/>
      <c r="E189" s="37"/>
      <c r="F189" s="37"/>
      <c r="G189" s="37"/>
    </row>
    <row r="190" ht="15.75" customHeight="1" spans="4:7">
      <c r="D190" s="37"/>
      <c r="E190" s="37"/>
      <c r="F190" s="37"/>
      <c r="G190" s="37"/>
    </row>
    <row r="191" ht="15.75" customHeight="1" spans="4:7">
      <c r="D191" s="37"/>
      <c r="E191" s="37"/>
      <c r="F191" s="37"/>
      <c r="G191" s="37"/>
    </row>
    <row r="192" ht="15.75" customHeight="1" spans="4:7">
      <c r="D192" s="37"/>
      <c r="E192" s="37"/>
      <c r="F192" s="37"/>
      <c r="G192" s="37"/>
    </row>
    <row r="193" ht="15.75" customHeight="1" spans="4:7">
      <c r="D193" s="37"/>
      <c r="E193" s="37"/>
      <c r="F193" s="37"/>
      <c r="G193" s="37"/>
    </row>
    <row r="194" ht="15.75" customHeight="1" spans="4:7">
      <c r="D194" s="37"/>
      <c r="E194" s="37"/>
      <c r="F194" s="37"/>
      <c r="G194" s="37"/>
    </row>
    <row r="195" ht="15.75" customHeight="1" spans="4:7">
      <c r="D195" s="37"/>
      <c r="E195" s="37"/>
      <c r="F195" s="37"/>
      <c r="G195" s="37"/>
    </row>
    <row r="196" ht="15.75" customHeight="1" spans="4:7">
      <c r="D196" s="37"/>
      <c r="E196" s="37"/>
      <c r="F196" s="37"/>
      <c r="G196" s="37"/>
    </row>
    <row r="197" ht="15.75" customHeight="1" spans="4:7">
      <c r="D197" s="37"/>
      <c r="E197" s="37"/>
      <c r="F197" s="37"/>
      <c r="G197" s="37"/>
    </row>
    <row r="198" ht="15.75" customHeight="1" spans="4:7">
      <c r="D198" s="37"/>
      <c r="E198" s="37"/>
      <c r="F198" s="37"/>
      <c r="G198" s="37"/>
    </row>
    <row r="199" ht="15.75" customHeight="1" spans="4:7">
      <c r="D199" s="37"/>
      <c r="E199" s="37"/>
      <c r="F199" s="37"/>
      <c r="G199" s="37"/>
    </row>
    <row r="200" ht="15.75" customHeight="1" spans="4:7">
      <c r="D200" s="37"/>
      <c r="E200" s="37"/>
      <c r="F200" s="37"/>
      <c r="G200" s="37"/>
    </row>
    <row r="201" ht="15.75" customHeight="1" spans="4:7">
      <c r="D201" s="37"/>
      <c r="E201" s="37"/>
      <c r="F201" s="37"/>
      <c r="G201" s="37"/>
    </row>
    <row r="202" ht="15.75" customHeight="1" spans="4:7">
      <c r="D202" s="37"/>
      <c r="E202" s="37"/>
      <c r="F202" s="37"/>
      <c r="G202" s="37"/>
    </row>
    <row r="203" ht="15.75" customHeight="1" spans="4:7">
      <c r="D203" s="37"/>
      <c r="E203" s="37"/>
      <c r="F203" s="37"/>
      <c r="G203" s="37"/>
    </row>
    <row r="204" ht="15.75" customHeight="1" spans="4:7">
      <c r="D204" s="37"/>
      <c r="E204" s="37"/>
      <c r="F204" s="37"/>
      <c r="G204" s="37"/>
    </row>
    <row r="205" ht="15.75" customHeight="1" spans="4:7">
      <c r="D205" s="37"/>
      <c r="E205" s="37"/>
      <c r="F205" s="37"/>
      <c r="G205" s="37"/>
    </row>
    <row r="206" ht="15.75" customHeight="1" spans="4:7">
      <c r="D206" s="37"/>
      <c r="E206" s="37"/>
      <c r="F206" s="37"/>
      <c r="G206" s="37"/>
    </row>
    <row r="207" ht="15.75" customHeight="1" spans="4:7">
      <c r="D207" s="37"/>
      <c r="E207" s="37"/>
      <c r="F207" s="37"/>
      <c r="G207" s="37"/>
    </row>
    <row r="208" ht="15.75" customHeight="1" spans="4:7">
      <c r="D208" s="37"/>
      <c r="E208" s="37"/>
      <c r="F208" s="37"/>
      <c r="G208" s="37"/>
    </row>
    <row r="209" ht="15.75" customHeight="1" spans="4:7">
      <c r="D209" s="37"/>
      <c r="E209" s="37"/>
      <c r="F209" s="37"/>
      <c r="G209" s="37"/>
    </row>
    <row r="210" ht="15.75" customHeight="1" spans="4:7">
      <c r="D210" s="37"/>
      <c r="E210" s="37"/>
      <c r="F210" s="37"/>
      <c r="G210" s="37"/>
    </row>
    <row r="211" ht="15.75" customHeight="1" spans="4:7">
      <c r="D211" s="37"/>
      <c r="E211" s="37"/>
      <c r="F211" s="37"/>
      <c r="G211" s="37"/>
    </row>
    <row r="212" ht="15.75" customHeight="1" spans="4:7">
      <c r="D212" s="37"/>
      <c r="E212" s="37"/>
      <c r="F212" s="37"/>
      <c r="G212" s="37"/>
    </row>
    <row r="213" ht="15.75" customHeight="1" spans="4:7">
      <c r="D213" s="37"/>
      <c r="E213" s="37"/>
      <c r="F213" s="37"/>
      <c r="G213" s="37"/>
    </row>
    <row r="214" ht="15.75" customHeight="1" spans="4:7">
      <c r="D214" s="37"/>
      <c r="E214" s="37"/>
      <c r="F214" s="37"/>
      <c r="G214" s="37"/>
    </row>
    <row r="215" ht="15.75" customHeight="1" spans="4:7">
      <c r="D215" s="37"/>
      <c r="E215" s="37"/>
      <c r="F215" s="37"/>
      <c r="G215" s="37"/>
    </row>
    <row r="216" ht="15.75" customHeight="1" spans="4:7">
      <c r="D216" s="37"/>
      <c r="E216" s="37"/>
      <c r="F216" s="37"/>
      <c r="G216" s="37"/>
    </row>
    <row r="217" ht="15.75" customHeight="1" spans="4:7">
      <c r="D217" s="37"/>
      <c r="E217" s="37"/>
      <c r="F217" s="37"/>
      <c r="G217" s="37"/>
    </row>
    <row r="218" ht="15.75" customHeight="1" spans="4:7">
      <c r="D218" s="37"/>
      <c r="E218" s="37"/>
      <c r="F218" s="37"/>
      <c r="G218" s="37"/>
    </row>
    <row r="219" ht="15.75" customHeight="1" spans="4:7">
      <c r="D219" s="37"/>
      <c r="E219" s="37"/>
      <c r="F219" s="37"/>
      <c r="G219" s="37"/>
    </row>
    <row r="220" ht="15.75" customHeight="1" spans="4:7">
      <c r="D220" s="37"/>
      <c r="E220" s="37"/>
      <c r="F220" s="37"/>
      <c r="G220" s="37"/>
    </row>
    <row r="221" ht="15.75" customHeight="1" spans="4:7">
      <c r="D221" s="37"/>
      <c r="E221" s="37"/>
      <c r="F221" s="37"/>
      <c r="G221" s="37"/>
    </row>
    <row r="222" ht="15.75" customHeight="1" spans="4:7">
      <c r="D222" s="37"/>
      <c r="E222" s="37"/>
      <c r="F222" s="37"/>
      <c r="G222" s="37"/>
    </row>
    <row r="223" ht="15.75" customHeight="1" spans="4:7">
      <c r="D223" s="37"/>
      <c r="E223" s="37"/>
      <c r="F223" s="37"/>
      <c r="G223" s="37"/>
    </row>
    <row r="224" ht="15.75" customHeight="1" spans="4:7">
      <c r="D224" s="37"/>
      <c r="E224" s="37"/>
      <c r="F224" s="37"/>
      <c r="G224" s="37"/>
    </row>
    <row r="225" ht="15.75" customHeight="1" spans="4:7">
      <c r="D225" s="37"/>
      <c r="E225" s="37"/>
      <c r="F225" s="37"/>
      <c r="G225" s="37"/>
    </row>
    <row r="226" ht="15.75" customHeight="1" spans="4:7">
      <c r="D226" s="37"/>
      <c r="E226" s="37"/>
      <c r="F226" s="37"/>
      <c r="G226" s="37"/>
    </row>
    <row r="227" ht="15.75" customHeight="1" spans="4:7">
      <c r="D227" s="37"/>
      <c r="E227" s="37"/>
      <c r="F227" s="37"/>
      <c r="G227" s="37"/>
    </row>
    <row r="228" ht="15.75" customHeight="1" spans="4:7">
      <c r="D228" s="37"/>
      <c r="E228" s="37"/>
      <c r="F228" s="37"/>
      <c r="G228" s="37"/>
    </row>
    <row r="229" ht="15.75" customHeight="1" spans="4:7">
      <c r="D229" s="37"/>
      <c r="E229" s="37"/>
      <c r="F229" s="37"/>
      <c r="G229" s="37"/>
    </row>
    <row r="230" ht="15.75" customHeight="1" spans="4:7">
      <c r="D230" s="37"/>
      <c r="E230" s="37"/>
      <c r="F230" s="37"/>
      <c r="G230" s="37"/>
    </row>
    <row r="231" ht="15.75" customHeight="1" spans="4:7">
      <c r="D231" s="37"/>
      <c r="E231" s="37"/>
      <c r="F231" s="37"/>
      <c r="G231" s="37"/>
    </row>
    <row r="232" ht="15.75" customHeight="1" spans="4:7">
      <c r="D232" s="37"/>
      <c r="E232" s="37"/>
      <c r="F232" s="37"/>
      <c r="G232" s="37"/>
    </row>
    <row r="233" ht="15.75" customHeight="1" spans="4:7">
      <c r="D233" s="37"/>
      <c r="E233" s="37"/>
      <c r="F233" s="37"/>
      <c r="G233" s="37"/>
    </row>
    <row r="234" ht="15.75" customHeight="1" spans="4:7">
      <c r="D234" s="37"/>
      <c r="E234" s="37"/>
      <c r="F234" s="37"/>
      <c r="G234" s="37"/>
    </row>
    <row r="235" ht="15.75" customHeight="1" spans="4:7">
      <c r="D235" s="37"/>
      <c r="E235" s="37"/>
      <c r="F235" s="37"/>
      <c r="G235" s="37"/>
    </row>
    <row r="236" ht="15.75" customHeight="1" spans="4:7">
      <c r="D236" s="37"/>
      <c r="E236" s="37"/>
      <c r="F236" s="37"/>
      <c r="G236" s="37"/>
    </row>
    <row r="237" ht="15.75" customHeight="1" spans="4:7">
      <c r="D237" s="37"/>
      <c r="E237" s="37"/>
      <c r="F237" s="37"/>
      <c r="G237" s="37"/>
    </row>
    <row r="238" ht="15.75" customHeight="1" spans="4:7">
      <c r="D238" s="37"/>
      <c r="E238" s="37"/>
      <c r="F238" s="37"/>
      <c r="G238" s="37"/>
    </row>
    <row r="239" ht="15.75" customHeight="1" spans="4:7">
      <c r="D239" s="37"/>
      <c r="E239" s="37"/>
      <c r="F239" s="37"/>
      <c r="G239" s="37"/>
    </row>
    <row r="240" ht="15.75" customHeight="1" spans="4:7">
      <c r="D240" s="37"/>
      <c r="E240" s="37"/>
      <c r="F240" s="37"/>
      <c r="G240" s="37"/>
    </row>
    <row r="241" ht="15.75" customHeight="1" spans="4:7">
      <c r="D241" s="37"/>
      <c r="E241" s="37"/>
      <c r="F241" s="37"/>
      <c r="G241" s="37"/>
    </row>
    <row r="242" ht="15.75" customHeight="1" spans="4:7">
      <c r="D242" s="37"/>
      <c r="E242" s="37"/>
      <c r="F242" s="37"/>
      <c r="G242" s="37"/>
    </row>
    <row r="243" ht="15.75" customHeight="1" spans="4:7">
      <c r="D243" s="37"/>
      <c r="E243" s="37"/>
      <c r="F243" s="37"/>
      <c r="G243" s="37"/>
    </row>
    <row r="244" ht="15.75" customHeight="1" spans="4:7">
      <c r="D244" s="37"/>
      <c r="E244" s="37"/>
      <c r="F244" s="37"/>
      <c r="G244" s="37"/>
    </row>
    <row r="245" ht="15.75" customHeight="1" spans="4:7">
      <c r="D245" s="37"/>
      <c r="E245" s="37"/>
      <c r="F245" s="37"/>
      <c r="G245" s="37"/>
    </row>
    <row r="246" ht="15.75" customHeight="1" spans="4:7">
      <c r="D246" s="37"/>
      <c r="E246" s="37"/>
      <c r="F246" s="37"/>
      <c r="G246" s="37"/>
    </row>
    <row r="247" ht="15.75" customHeight="1" spans="4:7">
      <c r="D247" s="37"/>
      <c r="E247" s="37"/>
      <c r="F247" s="37"/>
      <c r="G247" s="37"/>
    </row>
    <row r="248" ht="15.75" customHeight="1" spans="4:7">
      <c r="D248" s="37"/>
      <c r="E248" s="37"/>
      <c r="F248" s="37"/>
      <c r="G248" s="37"/>
    </row>
    <row r="249" ht="15.75" customHeight="1" spans="4:7">
      <c r="D249" s="37"/>
      <c r="E249" s="37"/>
      <c r="F249" s="37"/>
      <c r="G249" s="37"/>
    </row>
    <row r="250" ht="15.75" customHeight="1" spans="4:7">
      <c r="D250" s="37"/>
      <c r="E250" s="37"/>
      <c r="F250" s="37"/>
      <c r="G250" s="37"/>
    </row>
    <row r="251" ht="15.75" customHeight="1" spans="4:7">
      <c r="D251" s="37"/>
      <c r="E251" s="37"/>
      <c r="F251" s="37"/>
      <c r="G251" s="37"/>
    </row>
    <row r="252" ht="15.75" customHeight="1" spans="4:7">
      <c r="D252" s="37"/>
      <c r="E252" s="37"/>
      <c r="F252" s="37"/>
      <c r="G252" s="37"/>
    </row>
    <row r="253" ht="15.75" customHeight="1" spans="4:7">
      <c r="D253" s="37"/>
      <c r="E253" s="37"/>
      <c r="F253" s="37"/>
      <c r="G253" s="37"/>
    </row>
    <row r="254" ht="15.75" customHeight="1" spans="4:7">
      <c r="D254" s="37"/>
      <c r="E254" s="37"/>
      <c r="F254" s="37"/>
      <c r="G254" s="37"/>
    </row>
    <row r="255" ht="15.75" customHeight="1" spans="4:7">
      <c r="D255" s="37"/>
      <c r="E255" s="37"/>
      <c r="F255" s="37"/>
      <c r="G255" s="37"/>
    </row>
    <row r="256" ht="15.75" customHeight="1" spans="4:7">
      <c r="D256" s="37"/>
      <c r="E256" s="37"/>
      <c r="F256" s="37"/>
      <c r="G256" s="37"/>
    </row>
    <row r="257" ht="15.75" customHeight="1" spans="4:7">
      <c r="D257" s="37"/>
      <c r="E257" s="37"/>
      <c r="F257" s="37"/>
      <c r="G257" s="37"/>
    </row>
    <row r="258" ht="15.75" customHeight="1" spans="4:7">
      <c r="D258" s="37"/>
      <c r="E258" s="37"/>
      <c r="F258" s="37"/>
      <c r="G258" s="37"/>
    </row>
    <row r="259" ht="15.75" customHeight="1" spans="4:7">
      <c r="D259" s="37"/>
      <c r="E259" s="37"/>
      <c r="F259" s="37"/>
      <c r="G259" s="37"/>
    </row>
    <row r="260" ht="15.75" customHeight="1" spans="4:7">
      <c r="D260" s="37"/>
      <c r="E260" s="37"/>
      <c r="F260" s="37"/>
      <c r="G260" s="37"/>
    </row>
    <row r="261" ht="15.75" customHeight="1" spans="4:7">
      <c r="D261" s="37"/>
      <c r="E261" s="37"/>
      <c r="F261" s="37"/>
      <c r="G261" s="37"/>
    </row>
    <row r="262" ht="15.75" customHeight="1" spans="4:7">
      <c r="D262" s="37"/>
      <c r="E262" s="37"/>
      <c r="F262" s="37"/>
      <c r="G262" s="37"/>
    </row>
    <row r="263" ht="15.75" customHeight="1" spans="4:7">
      <c r="D263" s="37"/>
      <c r="E263" s="37"/>
      <c r="F263" s="37"/>
      <c r="G263" s="37"/>
    </row>
    <row r="264" ht="15.75" customHeight="1" spans="4:7">
      <c r="D264" s="37"/>
      <c r="E264" s="37"/>
      <c r="F264" s="37"/>
      <c r="G264" s="37"/>
    </row>
    <row r="265" ht="15.75" customHeight="1" spans="4:7">
      <c r="D265" s="37"/>
      <c r="E265" s="37"/>
      <c r="F265" s="37"/>
      <c r="G265" s="37"/>
    </row>
    <row r="266" ht="15.75" customHeight="1" spans="4:7">
      <c r="D266" s="37"/>
      <c r="E266" s="37"/>
      <c r="F266" s="37"/>
      <c r="G266" s="37"/>
    </row>
    <row r="267" ht="15.75" customHeight="1" spans="4:7">
      <c r="D267" s="37"/>
      <c r="E267" s="37"/>
      <c r="F267" s="37"/>
      <c r="G267" s="37"/>
    </row>
    <row r="268" ht="15.75" customHeight="1" spans="4:7">
      <c r="D268" s="37"/>
      <c r="E268" s="37"/>
      <c r="F268" s="37"/>
      <c r="G268" s="37"/>
    </row>
    <row r="269" ht="15.75" customHeight="1" spans="4:7">
      <c r="D269" s="37"/>
      <c r="E269" s="37"/>
      <c r="F269" s="37"/>
      <c r="G269" s="37"/>
    </row>
    <row r="270" ht="15.75" customHeight="1" spans="4:7">
      <c r="D270" s="37"/>
      <c r="E270" s="37"/>
      <c r="F270" s="37"/>
      <c r="G270" s="37"/>
    </row>
    <row r="271" ht="15.75" customHeight="1" spans="4:7">
      <c r="D271" s="37"/>
      <c r="E271" s="37"/>
      <c r="F271" s="37"/>
      <c r="G271" s="37"/>
    </row>
    <row r="272" ht="15.75" customHeight="1" spans="4:7">
      <c r="D272" s="37"/>
      <c r="E272" s="37"/>
      <c r="F272" s="37"/>
      <c r="G272" s="37"/>
    </row>
    <row r="273" ht="15.75" customHeight="1" spans="4:7">
      <c r="D273" s="37"/>
      <c r="E273" s="37"/>
      <c r="F273" s="37"/>
      <c r="G273" s="37"/>
    </row>
    <row r="274" ht="15.75" customHeight="1" spans="4:7">
      <c r="D274" s="37"/>
      <c r="E274" s="37"/>
      <c r="F274" s="37"/>
      <c r="G274" s="37"/>
    </row>
    <row r="275" ht="15.75" customHeight="1" spans="4:7">
      <c r="D275" s="37"/>
      <c r="E275" s="37"/>
      <c r="F275" s="37"/>
      <c r="G275" s="37"/>
    </row>
    <row r="276" ht="15.75" customHeight="1" spans="4:7">
      <c r="D276" s="37"/>
      <c r="E276" s="37"/>
      <c r="F276" s="37"/>
      <c r="G276" s="37"/>
    </row>
    <row r="277" ht="15.75" customHeight="1" spans="4:7">
      <c r="D277" s="37"/>
      <c r="E277" s="37"/>
      <c r="F277" s="37"/>
      <c r="G277" s="37"/>
    </row>
    <row r="278" ht="15.75" customHeight="1" spans="4:7">
      <c r="D278" s="37"/>
      <c r="E278" s="37"/>
      <c r="F278" s="37"/>
      <c r="G278" s="37"/>
    </row>
    <row r="279" ht="15.75" customHeight="1" spans="4:7">
      <c r="D279" s="37"/>
      <c r="E279" s="37"/>
      <c r="F279" s="37"/>
      <c r="G279" s="37"/>
    </row>
    <row r="280" ht="15.75" customHeight="1" spans="4:7">
      <c r="D280" s="37"/>
      <c r="E280" s="37"/>
      <c r="F280" s="37"/>
      <c r="G280" s="37"/>
    </row>
    <row r="281" ht="15.75" customHeight="1" spans="4:7">
      <c r="D281" s="37"/>
      <c r="E281" s="37"/>
      <c r="F281" s="37"/>
      <c r="G281" s="37"/>
    </row>
    <row r="282" ht="15.75" customHeight="1" spans="4:7">
      <c r="D282" s="37"/>
      <c r="E282" s="37"/>
      <c r="F282" s="37"/>
      <c r="G282" s="37"/>
    </row>
    <row r="283" ht="15.75" customHeight="1" spans="4:7">
      <c r="D283" s="37"/>
      <c r="E283" s="37"/>
      <c r="F283" s="37"/>
      <c r="G283" s="37"/>
    </row>
    <row r="284" ht="15.75" customHeight="1" spans="4:7">
      <c r="D284" s="37"/>
      <c r="E284" s="37"/>
      <c r="F284" s="37"/>
      <c r="G284" s="37"/>
    </row>
    <row r="285" ht="15.75" customHeight="1" spans="4:7">
      <c r="D285" s="37"/>
      <c r="E285" s="37"/>
      <c r="F285" s="37"/>
      <c r="G285" s="37"/>
    </row>
    <row r="286" ht="15.75" customHeight="1" spans="4:7">
      <c r="D286" s="37"/>
      <c r="E286" s="37"/>
      <c r="F286" s="37"/>
      <c r="G286" s="37"/>
    </row>
    <row r="287" ht="15.75" customHeight="1" spans="4:7">
      <c r="D287" s="37"/>
      <c r="E287" s="37"/>
      <c r="F287" s="37"/>
      <c r="G287" s="37"/>
    </row>
    <row r="288" ht="15.75" customHeight="1" spans="4:7">
      <c r="D288" s="37"/>
      <c r="E288" s="37"/>
      <c r="F288" s="37"/>
      <c r="G288" s="37"/>
    </row>
    <row r="289" ht="15.75" customHeight="1" spans="4:7">
      <c r="D289" s="37"/>
      <c r="E289" s="37"/>
      <c r="F289" s="37"/>
      <c r="G289" s="37"/>
    </row>
    <row r="290" ht="15.75" customHeight="1" spans="4:7">
      <c r="D290" s="37"/>
      <c r="E290" s="37"/>
      <c r="F290" s="37"/>
      <c r="G290" s="37"/>
    </row>
    <row r="291" ht="15.75" customHeight="1" spans="4:7">
      <c r="D291" s="37"/>
      <c r="E291" s="37"/>
      <c r="F291" s="37"/>
      <c r="G291" s="37"/>
    </row>
    <row r="292" ht="15.75" customHeight="1" spans="4:7">
      <c r="D292" s="37"/>
      <c r="E292" s="37"/>
      <c r="F292" s="37"/>
      <c r="G292" s="37"/>
    </row>
    <row r="293" ht="15.75" customHeight="1" spans="4:7">
      <c r="D293" s="37"/>
      <c r="E293" s="37"/>
      <c r="F293" s="37"/>
      <c r="G293" s="37"/>
    </row>
    <row r="294" ht="15.75" customHeight="1" spans="4:7">
      <c r="D294" s="37"/>
      <c r="E294" s="37"/>
      <c r="F294" s="37"/>
      <c r="G294" s="37"/>
    </row>
    <row r="295" ht="15.75" customHeight="1" spans="4:7">
      <c r="D295" s="37"/>
      <c r="E295" s="37"/>
      <c r="F295" s="37"/>
      <c r="G295" s="37"/>
    </row>
    <row r="296" ht="15.75" customHeight="1" spans="4:7">
      <c r="D296" s="37"/>
      <c r="E296" s="37"/>
      <c r="F296" s="37"/>
      <c r="G296" s="37"/>
    </row>
    <row r="297" ht="15.75" customHeight="1" spans="4:7">
      <c r="D297" s="37"/>
      <c r="E297" s="37"/>
      <c r="F297" s="37"/>
      <c r="G297" s="37"/>
    </row>
    <row r="298" ht="15.75" customHeight="1" spans="4:7">
      <c r="D298" s="37"/>
      <c r="E298" s="37"/>
      <c r="F298" s="37"/>
      <c r="G298" s="37"/>
    </row>
    <row r="299" ht="15.75" customHeight="1" spans="4:7">
      <c r="D299" s="37"/>
      <c r="E299" s="37"/>
      <c r="F299" s="37"/>
      <c r="G299" s="37"/>
    </row>
    <row r="300" ht="15.75" customHeight="1" spans="4:7">
      <c r="D300" s="37"/>
      <c r="E300" s="37"/>
      <c r="F300" s="37"/>
      <c r="G300" s="37"/>
    </row>
    <row r="301" ht="15.75" customHeight="1" spans="4:7">
      <c r="D301" s="37"/>
      <c r="E301" s="37"/>
      <c r="F301" s="37"/>
      <c r="G301" s="37"/>
    </row>
    <row r="302" ht="15.75" customHeight="1" spans="4:7">
      <c r="D302" s="37"/>
      <c r="E302" s="37"/>
      <c r="F302" s="37"/>
      <c r="G302" s="37"/>
    </row>
    <row r="303" ht="15.75" customHeight="1" spans="4:7">
      <c r="D303" s="37"/>
      <c r="E303" s="37"/>
      <c r="F303" s="37"/>
      <c r="G303" s="37"/>
    </row>
    <row r="304" ht="15.75" customHeight="1" spans="4:7">
      <c r="D304" s="37"/>
      <c r="E304" s="37"/>
      <c r="F304" s="37"/>
      <c r="G304" s="37"/>
    </row>
    <row r="305" ht="15.75" customHeight="1" spans="4:7">
      <c r="D305" s="37"/>
      <c r="E305" s="37"/>
      <c r="F305" s="37"/>
      <c r="G305" s="37"/>
    </row>
    <row r="306" ht="15.75" customHeight="1" spans="4:7">
      <c r="D306" s="37"/>
      <c r="E306" s="37"/>
      <c r="F306" s="37"/>
      <c r="G306" s="37"/>
    </row>
    <row r="307" ht="15.75" customHeight="1" spans="4:7">
      <c r="D307" s="37"/>
      <c r="E307" s="37"/>
      <c r="F307" s="37"/>
      <c r="G307" s="37"/>
    </row>
    <row r="308" ht="15.75" customHeight="1" spans="4:7">
      <c r="D308" s="37"/>
      <c r="E308" s="37"/>
      <c r="F308" s="37"/>
      <c r="G308" s="37"/>
    </row>
    <row r="309" ht="15.75" customHeight="1" spans="4:7">
      <c r="D309" s="37"/>
      <c r="E309" s="37"/>
      <c r="F309" s="37"/>
      <c r="G309" s="37"/>
    </row>
    <row r="310" ht="15.75" customHeight="1" spans="4:7">
      <c r="D310" s="37"/>
      <c r="E310" s="37"/>
      <c r="F310" s="37"/>
      <c r="G310" s="37"/>
    </row>
    <row r="311" ht="15.75" customHeight="1" spans="4:7">
      <c r="D311" s="37"/>
      <c r="E311" s="37"/>
      <c r="F311" s="37"/>
      <c r="G311" s="37"/>
    </row>
    <row r="312" ht="15.75" customHeight="1" spans="4:7">
      <c r="D312" s="37"/>
      <c r="E312" s="37"/>
      <c r="F312" s="37"/>
      <c r="G312" s="37"/>
    </row>
    <row r="313" ht="15.75" customHeight="1" spans="4:7">
      <c r="D313" s="37"/>
      <c r="E313" s="37"/>
      <c r="F313" s="37"/>
      <c r="G313" s="37"/>
    </row>
    <row r="314" ht="15.75" customHeight="1" spans="4:7">
      <c r="D314" s="37"/>
      <c r="E314" s="37"/>
      <c r="F314" s="37"/>
      <c r="G314" s="37"/>
    </row>
    <row r="315" ht="15.75" customHeight="1" spans="4:7">
      <c r="D315" s="37"/>
      <c r="E315" s="37"/>
      <c r="F315" s="37"/>
      <c r="G315" s="37"/>
    </row>
    <row r="316" ht="15.75" customHeight="1" spans="4:7">
      <c r="D316" s="37"/>
      <c r="E316" s="37"/>
      <c r="F316" s="37"/>
      <c r="G316" s="37"/>
    </row>
    <row r="317" ht="15.75" customHeight="1" spans="4:7">
      <c r="D317" s="37"/>
      <c r="E317" s="37"/>
      <c r="F317" s="37"/>
      <c r="G317" s="37"/>
    </row>
    <row r="318" ht="15.75" customHeight="1" spans="4:7">
      <c r="D318" s="37"/>
      <c r="E318" s="37"/>
      <c r="F318" s="37"/>
      <c r="G318" s="37"/>
    </row>
    <row r="319" ht="15.75" customHeight="1" spans="4:7">
      <c r="D319" s="37"/>
      <c r="E319" s="37"/>
      <c r="F319" s="37"/>
      <c r="G319" s="37"/>
    </row>
    <row r="320" ht="15.75" customHeight="1" spans="4:7">
      <c r="D320" s="37"/>
      <c r="E320" s="37"/>
      <c r="F320" s="37"/>
      <c r="G320" s="37"/>
    </row>
    <row r="321" ht="15.75" customHeight="1" spans="4:7">
      <c r="D321" s="37"/>
      <c r="E321" s="37"/>
      <c r="F321" s="37"/>
      <c r="G321" s="37"/>
    </row>
    <row r="322" ht="15.75" customHeight="1" spans="4:7">
      <c r="D322" s="37"/>
      <c r="E322" s="37"/>
      <c r="F322" s="37"/>
      <c r="G322" s="37"/>
    </row>
    <row r="323" ht="15.75" customHeight="1" spans="4:7">
      <c r="D323" s="37"/>
      <c r="E323" s="37"/>
      <c r="F323" s="37"/>
      <c r="G323" s="37"/>
    </row>
    <row r="324" ht="15.75" customHeight="1" spans="4:7">
      <c r="D324" s="37"/>
      <c r="E324" s="37"/>
      <c r="F324" s="37"/>
      <c r="G324" s="37"/>
    </row>
    <row r="325" ht="15.75" customHeight="1" spans="4:7">
      <c r="D325" s="37"/>
      <c r="E325" s="37"/>
      <c r="F325" s="37"/>
      <c r="G325" s="37"/>
    </row>
    <row r="326" ht="15.75" customHeight="1" spans="4:7">
      <c r="D326" s="37"/>
      <c r="E326" s="37"/>
      <c r="F326" s="37"/>
      <c r="G326" s="37"/>
    </row>
    <row r="327" ht="15.75" customHeight="1" spans="4:7">
      <c r="D327" s="37"/>
      <c r="E327" s="37"/>
      <c r="F327" s="37"/>
      <c r="G327" s="37"/>
    </row>
    <row r="328" ht="15.75" customHeight="1" spans="4:7">
      <c r="D328" s="37"/>
      <c r="E328" s="37"/>
      <c r="F328" s="37"/>
      <c r="G328" s="37"/>
    </row>
    <row r="329" ht="15.75" customHeight="1" spans="4:7">
      <c r="D329" s="37"/>
      <c r="E329" s="37"/>
      <c r="F329" s="37"/>
      <c r="G329" s="37"/>
    </row>
    <row r="330" ht="15.75" customHeight="1" spans="4:7">
      <c r="D330" s="37"/>
      <c r="E330" s="37"/>
      <c r="F330" s="37"/>
      <c r="G330" s="37"/>
    </row>
    <row r="331" ht="15.75" customHeight="1" spans="4:7">
      <c r="D331" s="37"/>
      <c r="E331" s="37"/>
      <c r="F331" s="37"/>
      <c r="G331" s="37"/>
    </row>
    <row r="332" ht="15.75" customHeight="1" spans="4:7">
      <c r="D332" s="37"/>
      <c r="E332" s="37"/>
      <c r="F332" s="37"/>
      <c r="G332" s="37"/>
    </row>
    <row r="333" ht="15.75" customHeight="1" spans="4:7">
      <c r="D333" s="37"/>
      <c r="E333" s="37"/>
      <c r="F333" s="37"/>
      <c r="G333" s="37"/>
    </row>
    <row r="334" ht="15.75" customHeight="1" spans="4:7">
      <c r="D334" s="37"/>
      <c r="E334" s="37"/>
      <c r="F334" s="37"/>
      <c r="G334" s="37"/>
    </row>
    <row r="335" ht="15.75" customHeight="1" spans="4:7">
      <c r="D335" s="37"/>
      <c r="E335" s="37"/>
      <c r="F335" s="37"/>
      <c r="G335" s="37"/>
    </row>
    <row r="336" ht="15.75" customHeight="1" spans="4:7">
      <c r="D336" s="37"/>
      <c r="E336" s="37"/>
      <c r="F336" s="37"/>
      <c r="G336" s="37"/>
    </row>
    <row r="337" ht="15.75" customHeight="1" spans="4:7">
      <c r="D337" s="37"/>
      <c r="E337" s="37"/>
      <c r="F337" s="37"/>
      <c r="G337" s="37"/>
    </row>
    <row r="338" ht="15.75" customHeight="1" spans="4:7">
      <c r="D338" s="37"/>
      <c r="E338" s="37"/>
      <c r="F338" s="37"/>
      <c r="G338" s="37"/>
    </row>
    <row r="339" ht="15.75" customHeight="1" spans="4:7">
      <c r="D339" s="37"/>
      <c r="E339" s="37"/>
      <c r="F339" s="37"/>
      <c r="G339" s="37"/>
    </row>
    <row r="340" ht="15.75" customHeight="1" spans="4:7">
      <c r="D340" s="37"/>
      <c r="E340" s="37"/>
      <c r="F340" s="37"/>
      <c r="G340" s="37"/>
    </row>
    <row r="341" ht="15.75" customHeight="1" spans="4:7">
      <c r="D341" s="37"/>
      <c r="E341" s="37"/>
      <c r="F341" s="37"/>
      <c r="G341" s="37"/>
    </row>
    <row r="342" ht="15.75" customHeight="1" spans="4:7">
      <c r="D342" s="37"/>
      <c r="E342" s="37"/>
      <c r="F342" s="37"/>
      <c r="G342" s="37"/>
    </row>
    <row r="343" ht="15.75" customHeight="1" spans="4:7">
      <c r="D343" s="37"/>
      <c r="E343" s="37"/>
      <c r="F343" s="37"/>
      <c r="G343" s="37"/>
    </row>
    <row r="344" ht="15.75" customHeight="1" spans="4:7">
      <c r="D344" s="37"/>
      <c r="E344" s="37"/>
      <c r="F344" s="37"/>
      <c r="G344" s="37"/>
    </row>
    <row r="345" ht="15.75" customHeight="1" spans="4:7">
      <c r="D345" s="37"/>
      <c r="E345" s="37"/>
      <c r="F345" s="37"/>
      <c r="G345" s="37"/>
    </row>
    <row r="346" ht="15.75" customHeight="1" spans="4:7">
      <c r="D346" s="37"/>
      <c r="E346" s="37"/>
      <c r="F346" s="37"/>
      <c r="G346" s="37"/>
    </row>
    <row r="347" ht="15.75" customHeight="1" spans="4:7">
      <c r="D347" s="37"/>
      <c r="E347" s="37"/>
      <c r="F347" s="37"/>
      <c r="G347" s="37"/>
    </row>
    <row r="348" ht="15.75" customHeight="1" spans="4:7">
      <c r="D348" s="37"/>
      <c r="E348" s="37"/>
      <c r="F348" s="37"/>
      <c r="G348" s="37"/>
    </row>
    <row r="349" ht="15.75" customHeight="1" spans="4:7">
      <c r="D349" s="37"/>
      <c r="E349" s="37"/>
      <c r="F349" s="37"/>
      <c r="G349" s="37"/>
    </row>
    <row r="350" ht="15.75" customHeight="1" spans="4:7">
      <c r="D350" s="37"/>
      <c r="E350" s="37"/>
      <c r="F350" s="37"/>
      <c r="G350" s="37"/>
    </row>
    <row r="351" ht="15.75" customHeight="1" spans="4:7">
      <c r="D351" s="37"/>
      <c r="E351" s="37"/>
      <c r="F351" s="37"/>
      <c r="G351" s="37"/>
    </row>
    <row r="352" ht="15.75" customHeight="1" spans="4:7">
      <c r="D352" s="37"/>
      <c r="E352" s="37"/>
      <c r="F352" s="37"/>
      <c r="G352" s="37"/>
    </row>
    <row r="353" ht="15.75" customHeight="1" spans="4:7">
      <c r="D353" s="37"/>
      <c r="E353" s="37"/>
      <c r="F353" s="37"/>
      <c r="G353" s="37"/>
    </row>
    <row r="354" ht="15.75" customHeight="1" spans="4:7">
      <c r="D354" s="37"/>
      <c r="E354" s="37"/>
      <c r="F354" s="37"/>
      <c r="G354" s="37"/>
    </row>
    <row r="355" ht="15.75" customHeight="1" spans="4:7">
      <c r="D355" s="37"/>
      <c r="E355" s="37"/>
      <c r="F355" s="37"/>
      <c r="G355" s="37"/>
    </row>
    <row r="356" ht="15.75" customHeight="1" spans="4:7">
      <c r="D356" s="37"/>
      <c r="E356" s="37"/>
      <c r="F356" s="37"/>
      <c r="G356" s="37"/>
    </row>
    <row r="357" ht="15.75" customHeight="1" spans="4:7">
      <c r="D357" s="37"/>
      <c r="E357" s="37"/>
      <c r="F357" s="37"/>
      <c r="G357" s="37"/>
    </row>
    <row r="358" ht="15.75" customHeight="1" spans="4:7">
      <c r="D358" s="37"/>
      <c r="E358" s="37"/>
      <c r="F358" s="37"/>
      <c r="G358" s="37"/>
    </row>
    <row r="359" ht="15.75" customHeight="1" spans="4:7">
      <c r="D359" s="37"/>
      <c r="E359" s="37"/>
      <c r="F359" s="37"/>
      <c r="G359" s="37"/>
    </row>
    <row r="360" ht="15.75" customHeight="1" spans="4:7">
      <c r="D360" s="37"/>
      <c r="E360" s="37"/>
      <c r="F360" s="37"/>
      <c r="G360" s="37"/>
    </row>
    <row r="361" ht="15.75" customHeight="1" spans="4:7">
      <c r="D361" s="37"/>
      <c r="E361" s="37"/>
      <c r="F361" s="37"/>
      <c r="G361" s="37"/>
    </row>
    <row r="362" ht="15.75" customHeight="1" spans="4:7">
      <c r="D362" s="37"/>
      <c r="E362" s="37"/>
      <c r="F362" s="37"/>
      <c r="G362" s="37"/>
    </row>
    <row r="363" ht="15.75" customHeight="1" spans="4:7">
      <c r="D363" s="37"/>
      <c r="E363" s="37"/>
      <c r="F363" s="37"/>
      <c r="G363" s="37"/>
    </row>
    <row r="364" ht="15.75" customHeight="1" spans="4:7">
      <c r="D364" s="37"/>
      <c r="E364" s="37"/>
      <c r="F364" s="37"/>
      <c r="G364" s="37"/>
    </row>
    <row r="365" ht="15.75" customHeight="1" spans="4:7">
      <c r="D365" s="37"/>
      <c r="E365" s="37"/>
      <c r="F365" s="37"/>
      <c r="G365" s="37"/>
    </row>
    <row r="366" ht="15.75" customHeight="1" spans="4:7">
      <c r="D366" s="37"/>
      <c r="E366" s="37"/>
      <c r="F366" s="37"/>
      <c r="G366" s="37"/>
    </row>
    <row r="367" ht="15.75" customHeight="1" spans="4:7">
      <c r="D367" s="37"/>
      <c r="E367" s="37"/>
      <c r="F367" s="37"/>
      <c r="G367" s="37"/>
    </row>
    <row r="368" ht="15.75" customHeight="1" spans="4:7">
      <c r="D368" s="37"/>
      <c r="E368" s="37"/>
      <c r="F368" s="37"/>
      <c r="G368" s="37"/>
    </row>
    <row r="369" ht="15.75" customHeight="1" spans="4:7">
      <c r="D369" s="37"/>
      <c r="E369" s="37"/>
      <c r="F369" s="37"/>
      <c r="G369" s="37"/>
    </row>
    <row r="370" ht="15.75" customHeight="1" spans="4:7">
      <c r="D370" s="37"/>
      <c r="E370" s="37"/>
      <c r="F370" s="37"/>
      <c r="G370" s="37"/>
    </row>
    <row r="371" ht="15.75" customHeight="1" spans="4:7">
      <c r="D371" s="37"/>
      <c r="E371" s="37"/>
      <c r="F371" s="37"/>
      <c r="G371" s="37"/>
    </row>
    <row r="372" ht="15.75" customHeight="1" spans="4:7">
      <c r="D372" s="37"/>
      <c r="E372" s="37"/>
      <c r="F372" s="37"/>
      <c r="G372" s="37"/>
    </row>
    <row r="373" ht="15.75" customHeight="1" spans="4:7">
      <c r="D373" s="37"/>
      <c r="E373" s="37"/>
      <c r="F373" s="37"/>
      <c r="G373" s="37"/>
    </row>
    <row r="374" ht="15.75" customHeight="1" spans="4:7">
      <c r="D374" s="37"/>
      <c r="E374" s="37"/>
      <c r="F374" s="37"/>
      <c r="G374" s="37"/>
    </row>
    <row r="375" ht="15.75" customHeight="1" spans="4:7">
      <c r="D375" s="37"/>
      <c r="E375" s="37"/>
      <c r="F375" s="37"/>
      <c r="G375" s="37"/>
    </row>
    <row r="376" ht="15.75" customHeight="1" spans="4:7">
      <c r="D376" s="37"/>
      <c r="E376" s="37"/>
      <c r="F376" s="37"/>
      <c r="G376" s="37"/>
    </row>
    <row r="377" ht="15.75" customHeight="1" spans="4:7">
      <c r="D377" s="37"/>
      <c r="E377" s="37"/>
      <c r="F377" s="37"/>
      <c r="G377" s="37"/>
    </row>
    <row r="378" ht="15.75" customHeight="1" spans="4:7">
      <c r="D378" s="37"/>
      <c r="E378" s="37"/>
      <c r="F378" s="37"/>
      <c r="G378" s="37"/>
    </row>
    <row r="379" ht="15.75" customHeight="1" spans="4:7">
      <c r="D379" s="37"/>
      <c r="E379" s="37"/>
      <c r="F379" s="37"/>
      <c r="G379" s="37"/>
    </row>
    <row r="380" ht="15.75" customHeight="1" spans="4:7">
      <c r="D380" s="37"/>
      <c r="E380" s="37"/>
      <c r="F380" s="37"/>
      <c r="G380" s="37"/>
    </row>
    <row r="381" ht="15.75" customHeight="1" spans="4:7">
      <c r="D381" s="37"/>
      <c r="E381" s="37"/>
      <c r="F381" s="37"/>
      <c r="G381" s="37"/>
    </row>
    <row r="382" ht="15.75" customHeight="1" spans="4:7">
      <c r="D382" s="37"/>
      <c r="E382" s="37"/>
      <c r="F382" s="37"/>
      <c r="G382" s="37"/>
    </row>
    <row r="383" ht="15.75" customHeight="1" spans="4:7">
      <c r="D383" s="37"/>
      <c r="E383" s="37"/>
      <c r="F383" s="37"/>
      <c r="G383" s="37"/>
    </row>
    <row r="384" ht="15.75" customHeight="1" spans="4:7">
      <c r="D384" s="37"/>
      <c r="E384" s="37"/>
      <c r="F384" s="37"/>
      <c r="G384" s="37"/>
    </row>
    <row r="385" ht="15.75" customHeight="1" spans="4:7">
      <c r="D385" s="37"/>
      <c r="E385" s="37"/>
      <c r="F385" s="37"/>
      <c r="G385" s="37"/>
    </row>
    <row r="386" ht="15.75" customHeight="1" spans="4:7">
      <c r="D386" s="37"/>
      <c r="E386" s="37"/>
      <c r="F386" s="37"/>
      <c r="G386" s="37"/>
    </row>
    <row r="387" ht="15.75" customHeight="1" spans="4:7">
      <c r="D387" s="37"/>
      <c r="E387" s="37"/>
      <c r="F387" s="37"/>
      <c r="G387" s="37"/>
    </row>
    <row r="388" ht="15.75" customHeight="1" spans="4:7">
      <c r="D388" s="37"/>
      <c r="E388" s="37"/>
      <c r="F388" s="37"/>
      <c r="G388" s="37"/>
    </row>
    <row r="389" ht="15.75" customHeight="1" spans="4:7">
      <c r="D389" s="37"/>
      <c r="E389" s="37"/>
      <c r="F389" s="37"/>
      <c r="G389" s="37"/>
    </row>
    <row r="390" ht="15.75" customHeight="1" spans="4:7">
      <c r="D390" s="37"/>
      <c r="E390" s="37"/>
      <c r="F390" s="37"/>
      <c r="G390" s="37"/>
    </row>
    <row r="391" ht="15.75" customHeight="1" spans="4:7">
      <c r="D391" s="37"/>
      <c r="E391" s="37"/>
      <c r="F391" s="37"/>
      <c r="G391" s="37"/>
    </row>
    <row r="392" ht="15.75" customHeight="1" spans="4:7">
      <c r="D392" s="37"/>
      <c r="E392" s="37"/>
      <c r="F392" s="37"/>
      <c r="G392" s="37"/>
    </row>
    <row r="393" ht="15.75" customHeight="1" spans="4:7">
      <c r="D393" s="37"/>
      <c r="E393" s="37"/>
      <c r="F393" s="37"/>
      <c r="G393" s="37"/>
    </row>
    <row r="394" ht="15.75" customHeight="1" spans="4:7">
      <c r="D394" s="37"/>
      <c r="E394" s="37"/>
      <c r="F394" s="37"/>
      <c r="G394" s="37"/>
    </row>
    <row r="395" ht="15.75" customHeight="1" spans="4:7">
      <c r="D395" s="37"/>
      <c r="E395" s="37"/>
      <c r="F395" s="37"/>
      <c r="G395" s="37"/>
    </row>
    <row r="396" ht="15.75" customHeight="1" spans="4:7">
      <c r="D396" s="37"/>
      <c r="E396" s="37"/>
      <c r="F396" s="37"/>
      <c r="G396" s="37"/>
    </row>
    <row r="397" ht="15.75" customHeight="1" spans="4:7">
      <c r="D397" s="37"/>
      <c r="E397" s="37"/>
      <c r="F397" s="37"/>
      <c r="G397" s="37"/>
    </row>
    <row r="398" ht="15.75" customHeight="1" spans="4:7">
      <c r="D398" s="37"/>
      <c r="E398" s="37"/>
      <c r="F398" s="37"/>
      <c r="G398" s="37"/>
    </row>
    <row r="399" ht="15.75" customHeight="1" spans="4:7">
      <c r="D399" s="37"/>
      <c r="E399" s="37"/>
      <c r="F399" s="37"/>
      <c r="G399" s="37"/>
    </row>
    <row r="400" ht="15.75" customHeight="1" spans="4:7">
      <c r="D400" s="37"/>
      <c r="E400" s="37"/>
      <c r="F400" s="37"/>
      <c r="G400" s="37"/>
    </row>
    <row r="401" ht="15.75" customHeight="1" spans="4:7">
      <c r="D401" s="37"/>
      <c r="E401" s="37"/>
      <c r="F401" s="37"/>
      <c r="G401" s="37"/>
    </row>
    <row r="402" ht="15.75" customHeight="1" spans="4:7">
      <c r="D402" s="37"/>
      <c r="E402" s="37"/>
      <c r="F402" s="37"/>
      <c r="G402" s="37"/>
    </row>
    <row r="403" ht="15.75" customHeight="1" spans="4:7">
      <c r="D403" s="37"/>
      <c r="E403" s="37"/>
      <c r="F403" s="37"/>
      <c r="G403" s="37"/>
    </row>
    <row r="404" ht="15.75" customHeight="1" spans="4:7">
      <c r="D404" s="37"/>
      <c r="E404" s="37"/>
      <c r="F404" s="37"/>
      <c r="G404" s="37"/>
    </row>
    <row r="405" ht="15.75" customHeight="1" spans="4:7">
      <c r="D405" s="37"/>
      <c r="E405" s="37"/>
      <c r="F405" s="37"/>
      <c r="G405" s="37"/>
    </row>
    <row r="406" ht="15.75" customHeight="1" spans="4:7">
      <c r="D406" s="37"/>
      <c r="E406" s="37"/>
      <c r="F406" s="37"/>
      <c r="G406" s="37"/>
    </row>
    <row r="407" ht="15.75" customHeight="1" spans="4:7">
      <c r="D407" s="37"/>
      <c r="E407" s="37"/>
      <c r="F407" s="37"/>
      <c r="G407" s="37"/>
    </row>
    <row r="408" ht="15.75" customHeight="1" spans="4:7">
      <c r="D408" s="37"/>
      <c r="E408" s="37"/>
      <c r="F408" s="37"/>
      <c r="G408" s="37"/>
    </row>
    <row r="409" ht="15.75" customHeight="1" spans="4:7">
      <c r="D409" s="37"/>
      <c r="E409" s="37"/>
      <c r="F409" s="37"/>
      <c r="G409" s="37"/>
    </row>
    <row r="410" ht="15.75" customHeight="1" spans="4:7">
      <c r="D410" s="37"/>
      <c r="E410" s="37"/>
      <c r="F410" s="37"/>
      <c r="G410" s="37"/>
    </row>
    <row r="411" ht="15.75" customHeight="1" spans="4:7">
      <c r="D411" s="37"/>
      <c r="E411" s="37"/>
      <c r="F411" s="37"/>
      <c r="G411" s="37"/>
    </row>
    <row r="412" ht="15.75" customHeight="1" spans="4:7">
      <c r="D412" s="37"/>
      <c r="E412" s="37"/>
      <c r="F412" s="37"/>
      <c r="G412" s="37"/>
    </row>
    <row r="413" ht="15.75" customHeight="1" spans="4:7">
      <c r="D413" s="37"/>
      <c r="E413" s="37"/>
      <c r="F413" s="37"/>
      <c r="G413" s="37"/>
    </row>
    <row r="414" ht="15.75" customHeight="1" spans="4:7">
      <c r="D414" s="37"/>
      <c r="E414" s="37"/>
      <c r="F414" s="37"/>
      <c r="G414" s="37"/>
    </row>
    <row r="415" ht="15.75" customHeight="1" spans="4:7">
      <c r="D415" s="37"/>
      <c r="E415" s="37"/>
      <c r="F415" s="37"/>
      <c r="G415" s="37"/>
    </row>
    <row r="416" ht="15.75" customHeight="1" spans="4:7">
      <c r="D416" s="37"/>
      <c r="E416" s="37"/>
      <c r="F416" s="37"/>
      <c r="G416" s="37"/>
    </row>
    <row r="417" ht="15.75" customHeight="1" spans="4:7">
      <c r="D417" s="37"/>
      <c r="E417" s="37"/>
      <c r="F417" s="37"/>
      <c r="G417" s="37"/>
    </row>
    <row r="418" ht="15.75" customHeight="1" spans="4:7">
      <c r="D418" s="37"/>
      <c r="E418" s="37"/>
      <c r="F418" s="37"/>
      <c r="G418" s="37"/>
    </row>
    <row r="419" ht="15.75" customHeight="1" spans="4:7">
      <c r="D419" s="37"/>
      <c r="E419" s="37"/>
      <c r="F419" s="37"/>
      <c r="G419" s="37"/>
    </row>
    <row r="420" ht="15.75" customHeight="1" spans="4:7">
      <c r="D420" s="37"/>
      <c r="E420" s="37"/>
      <c r="F420" s="37"/>
      <c r="G420" s="37"/>
    </row>
    <row r="421" ht="15.75" customHeight="1" spans="4:7">
      <c r="D421" s="37"/>
      <c r="E421" s="37"/>
      <c r="F421" s="37"/>
      <c r="G421" s="37"/>
    </row>
    <row r="422" ht="15.75" customHeight="1" spans="4:7">
      <c r="D422" s="37"/>
      <c r="E422" s="37"/>
      <c r="F422" s="37"/>
      <c r="G422" s="37"/>
    </row>
    <row r="423" ht="15.75" customHeight="1" spans="4:7">
      <c r="D423" s="37"/>
      <c r="E423" s="37"/>
      <c r="F423" s="37"/>
      <c r="G423" s="37"/>
    </row>
    <row r="424" ht="15.75" customHeight="1" spans="4:7">
      <c r="D424" s="37"/>
      <c r="E424" s="37"/>
      <c r="F424" s="37"/>
      <c r="G424" s="37"/>
    </row>
    <row r="425" ht="15.75" customHeight="1" spans="4:7">
      <c r="D425" s="37"/>
      <c r="E425" s="37"/>
      <c r="F425" s="37"/>
      <c r="G425" s="37"/>
    </row>
    <row r="426" ht="15.75" customHeight="1" spans="4:7">
      <c r="D426" s="37"/>
      <c r="E426" s="37"/>
      <c r="F426" s="37"/>
      <c r="G426" s="37"/>
    </row>
    <row r="427" ht="15.75" customHeight="1" spans="4:7">
      <c r="D427" s="37"/>
      <c r="E427" s="37"/>
      <c r="F427" s="37"/>
      <c r="G427" s="37"/>
    </row>
    <row r="428" ht="15.75" customHeight="1" spans="4:7">
      <c r="D428" s="37"/>
      <c r="E428" s="37"/>
      <c r="F428" s="37"/>
      <c r="G428" s="37"/>
    </row>
    <row r="429" ht="15.75" customHeight="1" spans="4:7">
      <c r="D429" s="37"/>
      <c r="E429" s="37"/>
      <c r="F429" s="37"/>
      <c r="G429" s="37"/>
    </row>
    <row r="430" ht="15.75" customHeight="1" spans="4:7">
      <c r="D430" s="37"/>
      <c r="E430" s="37"/>
      <c r="F430" s="37"/>
      <c r="G430" s="37"/>
    </row>
    <row r="431" ht="15.75" customHeight="1" spans="4:7">
      <c r="D431" s="37"/>
      <c r="E431" s="37"/>
      <c r="F431" s="37"/>
      <c r="G431" s="37"/>
    </row>
    <row r="432" ht="15.75" customHeight="1" spans="4:7">
      <c r="D432" s="37"/>
      <c r="E432" s="37"/>
      <c r="F432" s="37"/>
      <c r="G432" s="37"/>
    </row>
    <row r="433" ht="15.75" customHeight="1" spans="4:7">
      <c r="D433" s="37"/>
      <c r="E433" s="37"/>
      <c r="F433" s="37"/>
      <c r="G433" s="37"/>
    </row>
    <row r="434" ht="15.75" customHeight="1" spans="4:7">
      <c r="D434" s="37"/>
      <c r="E434" s="37"/>
      <c r="F434" s="37"/>
      <c r="G434" s="37"/>
    </row>
    <row r="435" ht="15.75" customHeight="1" spans="4:7">
      <c r="D435" s="37"/>
      <c r="E435" s="37"/>
      <c r="F435" s="37"/>
      <c r="G435" s="37"/>
    </row>
    <row r="436" ht="15.75" customHeight="1" spans="4:7">
      <c r="D436" s="37"/>
      <c r="E436" s="37"/>
      <c r="F436" s="37"/>
      <c r="G436" s="37"/>
    </row>
    <row r="437" ht="15.75" customHeight="1" spans="4:7">
      <c r="D437" s="37"/>
      <c r="E437" s="37"/>
      <c r="F437" s="37"/>
      <c r="G437" s="37"/>
    </row>
    <row r="438" ht="15.75" customHeight="1" spans="4:7">
      <c r="D438" s="37"/>
      <c r="E438" s="37"/>
      <c r="F438" s="37"/>
      <c r="G438" s="37"/>
    </row>
    <row r="439" ht="15.75" customHeight="1" spans="4:7">
      <c r="D439" s="37"/>
      <c r="E439" s="37"/>
      <c r="F439" s="37"/>
      <c r="G439" s="37"/>
    </row>
    <row r="440" ht="15.75" customHeight="1" spans="4:7">
      <c r="D440" s="37"/>
      <c r="E440" s="37"/>
      <c r="F440" s="37"/>
      <c r="G440" s="37"/>
    </row>
    <row r="441" ht="15.75" customHeight="1" spans="4:7">
      <c r="D441" s="37"/>
      <c r="E441" s="37"/>
      <c r="F441" s="37"/>
      <c r="G441" s="37"/>
    </row>
    <row r="442" ht="15.75" customHeight="1" spans="4:7">
      <c r="D442" s="37"/>
      <c r="E442" s="37"/>
      <c r="F442" s="37"/>
      <c r="G442" s="37"/>
    </row>
    <row r="443" ht="15.75" customHeight="1" spans="4:7">
      <c r="D443" s="37"/>
      <c r="E443" s="37"/>
      <c r="F443" s="37"/>
      <c r="G443" s="37"/>
    </row>
    <row r="444" ht="15.75" customHeight="1" spans="4:7">
      <c r="D444" s="37"/>
      <c r="E444" s="37"/>
      <c r="F444" s="37"/>
      <c r="G444" s="37"/>
    </row>
    <row r="445" ht="15.75" customHeight="1" spans="4:7">
      <c r="D445" s="37"/>
      <c r="E445" s="37"/>
      <c r="F445" s="37"/>
      <c r="G445" s="37"/>
    </row>
    <row r="446" ht="15.75" customHeight="1" spans="4:7">
      <c r="D446" s="37"/>
      <c r="E446" s="37"/>
      <c r="F446" s="37"/>
      <c r="G446" s="37"/>
    </row>
    <row r="447" ht="15.75" customHeight="1" spans="4:7">
      <c r="D447" s="37"/>
      <c r="E447" s="37"/>
      <c r="F447" s="37"/>
      <c r="G447" s="37"/>
    </row>
    <row r="448" ht="15.75" customHeight="1" spans="4:7">
      <c r="D448" s="37"/>
      <c r="E448" s="37"/>
      <c r="F448" s="37"/>
      <c r="G448" s="37"/>
    </row>
    <row r="449" ht="15.75" customHeight="1" spans="4:7">
      <c r="D449" s="37"/>
      <c r="E449" s="37"/>
      <c r="F449" s="37"/>
      <c r="G449" s="37"/>
    </row>
    <row r="450" ht="15.75" customHeight="1" spans="4:7">
      <c r="D450" s="37"/>
      <c r="E450" s="37"/>
      <c r="F450" s="37"/>
      <c r="G450" s="37"/>
    </row>
    <row r="451" ht="15.75" customHeight="1" spans="4:7">
      <c r="D451" s="37"/>
      <c r="E451" s="37"/>
      <c r="F451" s="37"/>
      <c r="G451" s="37"/>
    </row>
    <row r="452" ht="15.75" customHeight="1" spans="4:7">
      <c r="D452" s="37"/>
      <c r="E452" s="37"/>
      <c r="F452" s="37"/>
      <c r="G452" s="37"/>
    </row>
    <row r="453" ht="15.75" customHeight="1" spans="4:7">
      <c r="D453" s="37"/>
      <c r="E453" s="37"/>
      <c r="F453" s="37"/>
      <c r="G453" s="37"/>
    </row>
    <row r="454" ht="15.75" customHeight="1" spans="4:7">
      <c r="D454" s="37"/>
      <c r="E454" s="37"/>
      <c r="F454" s="37"/>
      <c r="G454" s="37"/>
    </row>
    <row r="455" ht="15.75" customHeight="1" spans="4:7">
      <c r="D455" s="37"/>
      <c r="E455" s="37"/>
      <c r="F455" s="37"/>
      <c r="G455" s="37"/>
    </row>
    <row r="456" ht="15.75" customHeight="1" spans="4:7">
      <c r="D456" s="37"/>
      <c r="E456" s="37"/>
      <c r="F456" s="37"/>
      <c r="G456" s="37"/>
    </row>
    <row r="457" ht="15.75" customHeight="1" spans="4:7">
      <c r="D457" s="37"/>
      <c r="E457" s="37"/>
      <c r="F457" s="37"/>
      <c r="G457" s="37"/>
    </row>
    <row r="458" ht="15.75" customHeight="1" spans="4:7">
      <c r="D458" s="37"/>
      <c r="E458" s="37"/>
      <c r="F458" s="37"/>
      <c r="G458" s="37"/>
    </row>
    <row r="459" ht="15.75" customHeight="1" spans="4:7">
      <c r="D459" s="37"/>
      <c r="E459" s="37"/>
      <c r="F459" s="37"/>
      <c r="G459" s="37"/>
    </row>
    <row r="460" ht="15.75" customHeight="1" spans="4:7">
      <c r="D460" s="37"/>
      <c r="E460" s="37"/>
      <c r="F460" s="37"/>
      <c r="G460" s="37"/>
    </row>
    <row r="461" ht="15.75" customHeight="1" spans="4:7">
      <c r="D461" s="37"/>
      <c r="E461" s="37"/>
      <c r="F461" s="37"/>
      <c r="G461" s="37"/>
    </row>
    <row r="462" ht="15.75" customHeight="1" spans="4:7">
      <c r="D462" s="37"/>
      <c r="E462" s="37"/>
      <c r="F462" s="37"/>
      <c r="G462" s="37"/>
    </row>
    <row r="463" ht="15.75" customHeight="1" spans="4:7">
      <c r="D463" s="37"/>
      <c r="E463" s="37"/>
      <c r="F463" s="37"/>
      <c r="G463" s="37"/>
    </row>
    <row r="464" ht="15.75" customHeight="1" spans="4:7">
      <c r="D464" s="37"/>
      <c r="E464" s="37"/>
      <c r="F464" s="37"/>
      <c r="G464" s="37"/>
    </row>
    <row r="465" ht="15.75" customHeight="1" spans="4:7">
      <c r="D465" s="37"/>
      <c r="E465" s="37"/>
      <c r="F465" s="37"/>
      <c r="G465" s="37"/>
    </row>
    <row r="466" ht="15.75" customHeight="1" spans="4:7">
      <c r="D466" s="37"/>
      <c r="E466" s="37"/>
      <c r="F466" s="37"/>
      <c r="G466" s="37"/>
    </row>
    <row r="467" ht="15.75" customHeight="1" spans="4:7">
      <c r="D467" s="37"/>
      <c r="E467" s="37"/>
      <c r="F467" s="37"/>
      <c r="G467" s="37"/>
    </row>
    <row r="468" ht="15.75" customHeight="1" spans="4:7">
      <c r="D468" s="37"/>
      <c r="E468" s="37"/>
      <c r="F468" s="37"/>
      <c r="G468" s="37"/>
    </row>
    <row r="469" ht="15.75" customHeight="1" spans="4:7">
      <c r="D469" s="37"/>
      <c r="E469" s="37"/>
      <c r="F469" s="37"/>
      <c r="G469" s="37"/>
    </row>
    <row r="470" ht="15.75" customHeight="1" spans="4:7">
      <c r="D470" s="37"/>
      <c r="E470" s="37"/>
      <c r="F470" s="37"/>
      <c r="G470" s="37"/>
    </row>
    <row r="471" ht="15.75" customHeight="1" spans="4:7">
      <c r="D471" s="37"/>
      <c r="E471" s="37"/>
      <c r="F471" s="37"/>
      <c r="G471" s="37"/>
    </row>
    <row r="472" ht="15.75" customHeight="1" spans="4:7">
      <c r="D472" s="37"/>
      <c r="E472" s="37"/>
      <c r="F472" s="37"/>
      <c r="G472" s="37"/>
    </row>
    <row r="473" ht="15.75" customHeight="1" spans="4:7">
      <c r="D473" s="37"/>
      <c r="E473" s="37"/>
      <c r="F473" s="37"/>
      <c r="G473" s="37"/>
    </row>
    <row r="474" ht="15.75" customHeight="1" spans="4:7">
      <c r="D474" s="37"/>
      <c r="E474" s="37"/>
      <c r="F474" s="37"/>
      <c r="G474" s="37"/>
    </row>
    <row r="475" ht="15.75" customHeight="1" spans="4:7">
      <c r="D475" s="37"/>
      <c r="E475" s="37"/>
      <c r="F475" s="37"/>
      <c r="G475" s="37"/>
    </row>
    <row r="476" ht="15.75" customHeight="1" spans="4:7">
      <c r="D476" s="37"/>
      <c r="E476" s="37"/>
      <c r="F476" s="37"/>
      <c r="G476" s="37"/>
    </row>
    <row r="477" ht="15.75" customHeight="1" spans="4:7">
      <c r="D477" s="37"/>
      <c r="E477" s="37"/>
      <c r="F477" s="37"/>
      <c r="G477" s="37"/>
    </row>
    <row r="478" ht="15.75" customHeight="1" spans="4:7">
      <c r="D478" s="37"/>
      <c r="E478" s="37"/>
      <c r="F478" s="37"/>
      <c r="G478" s="37"/>
    </row>
    <row r="479" ht="15.75" customHeight="1" spans="4:7">
      <c r="D479" s="37"/>
      <c r="E479" s="37"/>
      <c r="F479" s="37"/>
      <c r="G479" s="37"/>
    </row>
    <row r="480" ht="15.75" customHeight="1" spans="4:7">
      <c r="D480" s="37"/>
      <c r="E480" s="37"/>
      <c r="F480" s="37"/>
      <c r="G480" s="37"/>
    </row>
    <row r="481" ht="15.75" customHeight="1" spans="4:7">
      <c r="D481" s="37"/>
      <c r="E481" s="37"/>
      <c r="F481" s="37"/>
      <c r="G481" s="37"/>
    </row>
    <row r="482" ht="15.75" customHeight="1" spans="4:7">
      <c r="D482" s="37"/>
      <c r="E482" s="37"/>
      <c r="F482" s="37"/>
      <c r="G482" s="37"/>
    </row>
    <row r="483" ht="15.75" customHeight="1" spans="4:7">
      <c r="D483" s="37"/>
      <c r="E483" s="37"/>
      <c r="F483" s="37"/>
      <c r="G483" s="37"/>
    </row>
    <row r="484" ht="15.75" customHeight="1" spans="4:7">
      <c r="D484" s="37"/>
      <c r="E484" s="37"/>
      <c r="F484" s="37"/>
      <c r="G484" s="37"/>
    </row>
    <row r="485" ht="15.75" customHeight="1" spans="4:7">
      <c r="D485" s="37"/>
      <c r="E485" s="37"/>
      <c r="F485" s="37"/>
      <c r="G485" s="37"/>
    </row>
    <row r="486" ht="15.75" customHeight="1" spans="4:7">
      <c r="D486" s="37"/>
      <c r="E486" s="37"/>
      <c r="F486" s="37"/>
      <c r="G486" s="37"/>
    </row>
    <row r="487" ht="15.75" customHeight="1" spans="4:7">
      <c r="D487" s="37"/>
      <c r="E487" s="37"/>
      <c r="F487" s="37"/>
      <c r="G487" s="37"/>
    </row>
    <row r="488" ht="15.75" customHeight="1" spans="4:7">
      <c r="D488" s="37"/>
      <c r="E488" s="37"/>
      <c r="F488" s="37"/>
      <c r="G488" s="37"/>
    </row>
    <row r="489" ht="15.75" customHeight="1" spans="4:7">
      <c r="D489" s="37"/>
      <c r="E489" s="37"/>
      <c r="F489" s="37"/>
      <c r="G489" s="37"/>
    </row>
    <row r="490" ht="15.75" customHeight="1" spans="4:7">
      <c r="D490" s="37"/>
      <c r="E490" s="37"/>
      <c r="F490" s="37"/>
      <c r="G490" s="37"/>
    </row>
    <row r="491" ht="15.75" customHeight="1" spans="4:7">
      <c r="D491" s="37"/>
      <c r="E491" s="37"/>
      <c r="F491" s="37"/>
      <c r="G491" s="37"/>
    </row>
    <row r="492" ht="15.75" customHeight="1" spans="4:7">
      <c r="D492" s="37"/>
      <c r="E492" s="37"/>
      <c r="F492" s="37"/>
      <c r="G492" s="37"/>
    </row>
    <row r="493" ht="15.75" customHeight="1" spans="4:7">
      <c r="D493" s="37"/>
      <c r="E493" s="37"/>
      <c r="F493" s="37"/>
      <c r="G493" s="37"/>
    </row>
    <row r="494" ht="15.75" customHeight="1" spans="4:7">
      <c r="D494" s="37"/>
      <c r="E494" s="37"/>
      <c r="F494" s="37"/>
      <c r="G494" s="37"/>
    </row>
    <row r="495" ht="15.75" customHeight="1" spans="4:7">
      <c r="D495" s="37"/>
      <c r="E495" s="37"/>
      <c r="F495" s="37"/>
      <c r="G495" s="37"/>
    </row>
    <row r="496" ht="15.75" customHeight="1" spans="4:7">
      <c r="D496" s="37"/>
      <c r="E496" s="37"/>
      <c r="F496" s="37"/>
      <c r="G496" s="37"/>
    </row>
    <row r="497" ht="15.75" customHeight="1" spans="4:7">
      <c r="D497" s="37"/>
      <c r="E497" s="37"/>
      <c r="F497" s="37"/>
      <c r="G497" s="37"/>
    </row>
    <row r="498" ht="15.75" customHeight="1" spans="4:7">
      <c r="D498" s="37"/>
      <c r="E498" s="37"/>
      <c r="F498" s="37"/>
      <c r="G498" s="37"/>
    </row>
    <row r="499" ht="15.75" customHeight="1" spans="4:7">
      <c r="D499" s="37"/>
      <c r="E499" s="37"/>
      <c r="F499" s="37"/>
      <c r="G499" s="37"/>
    </row>
    <row r="500" ht="15.75" customHeight="1" spans="4:7">
      <c r="D500" s="37"/>
      <c r="E500" s="37"/>
      <c r="F500" s="37"/>
      <c r="G500" s="37"/>
    </row>
    <row r="501" ht="15.75" customHeight="1" spans="4:7">
      <c r="D501" s="37"/>
      <c r="E501" s="37"/>
      <c r="F501" s="37"/>
      <c r="G501" s="37"/>
    </row>
    <row r="502" ht="15.75" customHeight="1" spans="4:7">
      <c r="D502" s="37"/>
      <c r="E502" s="37"/>
      <c r="F502" s="37"/>
      <c r="G502" s="37"/>
    </row>
    <row r="503" ht="15.75" customHeight="1" spans="4:7">
      <c r="D503" s="37"/>
      <c r="E503" s="37"/>
      <c r="F503" s="37"/>
      <c r="G503" s="37"/>
    </row>
    <row r="504" ht="15.75" customHeight="1" spans="4:7">
      <c r="D504" s="37"/>
      <c r="E504" s="37"/>
      <c r="F504" s="37"/>
      <c r="G504" s="37"/>
    </row>
    <row r="505" ht="15.75" customHeight="1" spans="4:7">
      <c r="D505" s="37"/>
      <c r="E505" s="37"/>
      <c r="F505" s="37"/>
      <c r="G505" s="37"/>
    </row>
    <row r="506" ht="15.75" customHeight="1" spans="4:7">
      <c r="D506" s="37"/>
      <c r="E506" s="37"/>
      <c r="F506" s="37"/>
      <c r="G506" s="37"/>
    </row>
    <row r="507" ht="15.75" customHeight="1" spans="4:7">
      <c r="D507" s="37"/>
      <c r="E507" s="37"/>
      <c r="F507" s="37"/>
      <c r="G507" s="37"/>
    </row>
    <row r="508" ht="15.75" customHeight="1" spans="4:7">
      <c r="D508" s="37"/>
      <c r="E508" s="37"/>
      <c r="F508" s="37"/>
      <c r="G508" s="37"/>
    </row>
    <row r="509" ht="15.75" customHeight="1" spans="4:7">
      <c r="D509" s="37"/>
      <c r="E509" s="37"/>
      <c r="F509" s="37"/>
      <c r="G509" s="37"/>
    </row>
    <row r="510" ht="15.75" customHeight="1" spans="4:7">
      <c r="D510" s="37"/>
      <c r="E510" s="37"/>
      <c r="F510" s="37"/>
      <c r="G510" s="37"/>
    </row>
    <row r="511" ht="15.75" customHeight="1" spans="4:7">
      <c r="D511" s="37"/>
      <c r="E511" s="37"/>
      <c r="F511" s="37"/>
      <c r="G511" s="37"/>
    </row>
    <row r="512" ht="15.75" customHeight="1" spans="4:7">
      <c r="D512" s="37"/>
      <c r="E512" s="37"/>
      <c r="F512" s="37"/>
      <c r="G512" s="37"/>
    </row>
    <row r="513" ht="15.75" customHeight="1" spans="4:7">
      <c r="D513" s="37"/>
      <c r="E513" s="37"/>
      <c r="F513" s="37"/>
      <c r="G513" s="37"/>
    </row>
    <row r="514" ht="15.75" customHeight="1" spans="4:7">
      <c r="D514" s="37"/>
      <c r="E514" s="37"/>
      <c r="F514" s="37"/>
      <c r="G514" s="37"/>
    </row>
    <row r="515" ht="15.75" customHeight="1" spans="4:7">
      <c r="D515" s="37"/>
      <c r="E515" s="37"/>
      <c r="F515" s="37"/>
      <c r="G515" s="37"/>
    </row>
    <row r="516" ht="15.75" customHeight="1" spans="4:7">
      <c r="D516" s="37"/>
      <c r="E516" s="37"/>
      <c r="F516" s="37"/>
      <c r="G516" s="37"/>
    </row>
    <row r="517" ht="15.75" customHeight="1" spans="4:7">
      <c r="D517" s="37"/>
      <c r="E517" s="37"/>
      <c r="F517" s="37"/>
      <c r="G517" s="37"/>
    </row>
    <row r="518" ht="15.75" customHeight="1" spans="4:7">
      <c r="D518" s="37"/>
      <c r="E518" s="37"/>
      <c r="F518" s="37"/>
      <c r="G518" s="37"/>
    </row>
    <row r="519" ht="15.75" customHeight="1" spans="4:7">
      <c r="D519" s="37"/>
      <c r="E519" s="37"/>
      <c r="F519" s="37"/>
      <c r="G519" s="37"/>
    </row>
    <row r="520" ht="15.75" customHeight="1" spans="4:7">
      <c r="D520" s="37"/>
      <c r="E520" s="37"/>
      <c r="F520" s="37"/>
      <c r="G520" s="37"/>
    </row>
    <row r="521" ht="15.75" customHeight="1" spans="4:7">
      <c r="D521" s="37"/>
      <c r="E521" s="37"/>
      <c r="F521" s="37"/>
      <c r="G521" s="37"/>
    </row>
    <row r="522" ht="15.75" customHeight="1" spans="4:7">
      <c r="D522" s="37"/>
      <c r="E522" s="37"/>
      <c r="F522" s="37"/>
      <c r="G522" s="37"/>
    </row>
    <row r="523" ht="15.75" customHeight="1" spans="4:7">
      <c r="D523" s="37"/>
      <c r="E523" s="37"/>
      <c r="F523" s="37"/>
      <c r="G523" s="37"/>
    </row>
    <row r="524" ht="15.75" customHeight="1" spans="4:7">
      <c r="D524" s="37"/>
      <c r="E524" s="37"/>
      <c r="F524" s="37"/>
      <c r="G524" s="37"/>
    </row>
    <row r="525" ht="15.75" customHeight="1" spans="4:7">
      <c r="D525" s="37"/>
      <c r="E525" s="37"/>
      <c r="F525" s="37"/>
      <c r="G525" s="37"/>
    </row>
    <row r="526" ht="15.75" customHeight="1" spans="4:7">
      <c r="D526" s="37"/>
      <c r="E526" s="37"/>
      <c r="F526" s="37"/>
      <c r="G526" s="37"/>
    </row>
    <row r="527" ht="15.75" customHeight="1" spans="4:7">
      <c r="D527" s="37"/>
      <c r="E527" s="37"/>
      <c r="F527" s="37"/>
      <c r="G527" s="37"/>
    </row>
    <row r="528" ht="15.75" customHeight="1" spans="4:7">
      <c r="D528" s="37"/>
      <c r="E528" s="37"/>
      <c r="F528" s="37"/>
      <c r="G528" s="37"/>
    </row>
    <row r="529" ht="15.75" customHeight="1" spans="4:7">
      <c r="D529" s="37"/>
      <c r="E529" s="37"/>
      <c r="F529" s="37"/>
      <c r="G529" s="37"/>
    </row>
    <row r="530" ht="15.75" customHeight="1" spans="4:7">
      <c r="D530" s="37"/>
      <c r="E530" s="37"/>
      <c r="F530" s="37"/>
      <c r="G530" s="37"/>
    </row>
    <row r="531" ht="15.75" customHeight="1" spans="4:7">
      <c r="D531" s="37"/>
      <c r="E531" s="37"/>
      <c r="F531" s="37"/>
      <c r="G531" s="37"/>
    </row>
    <row r="532" ht="15.75" customHeight="1" spans="4:7">
      <c r="D532" s="37"/>
      <c r="E532" s="37"/>
      <c r="F532" s="37"/>
      <c r="G532" s="37"/>
    </row>
    <row r="533" ht="15.75" customHeight="1" spans="4:7">
      <c r="D533" s="37"/>
      <c r="E533" s="37"/>
      <c r="F533" s="37"/>
      <c r="G533" s="37"/>
    </row>
    <row r="534" ht="15.75" customHeight="1" spans="4:7">
      <c r="D534" s="37"/>
      <c r="E534" s="37"/>
      <c r="F534" s="37"/>
      <c r="G534" s="37"/>
    </row>
    <row r="535" ht="15.75" customHeight="1" spans="4:7">
      <c r="D535" s="37"/>
      <c r="E535" s="37"/>
      <c r="F535" s="37"/>
      <c r="G535" s="37"/>
    </row>
    <row r="536" ht="15.75" customHeight="1" spans="4:7">
      <c r="D536" s="37"/>
      <c r="E536" s="37"/>
      <c r="F536" s="37"/>
      <c r="G536" s="37"/>
    </row>
    <row r="537" ht="15.75" customHeight="1" spans="4:7">
      <c r="D537" s="37"/>
      <c r="E537" s="37"/>
      <c r="F537" s="37"/>
      <c r="G537" s="37"/>
    </row>
    <row r="538" ht="15.75" customHeight="1" spans="4:7">
      <c r="D538" s="37"/>
      <c r="E538" s="37"/>
      <c r="F538" s="37"/>
      <c r="G538" s="37"/>
    </row>
    <row r="539" ht="15.75" customHeight="1" spans="4:7">
      <c r="D539" s="37"/>
      <c r="E539" s="37"/>
      <c r="F539" s="37"/>
      <c r="G539" s="37"/>
    </row>
    <row r="540" ht="15.75" customHeight="1" spans="4:7">
      <c r="D540" s="37"/>
      <c r="E540" s="37"/>
      <c r="F540" s="37"/>
      <c r="G540" s="37"/>
    </row>
    <row r="541" ht="15.75" customHeight="1" spans="4:7">
      <c r="D541" s="37"/>
      <c r="E541" s="37"/>
      <c r="F541" s="37"/>
      <c r="G541" s="37"/>
    </row>
    <row r="542" ht="15.75" customHeight="1" spans="4:7">
      <c r="D542" s="37"/>
      <c r="E542" s="37"/>
      <c r="F542" s="37"/>
      <c r="G542" s="37"/>
    </row>
    <row r="543" ht="15.75" customHeight="1" spans="4:7">
      <c r="D543" s="37"/>
      <c r="E543" s="37"/>
      <c r="F543" s="37"/>
      <c r="G543" s="37"/>
    </row>
    <row r="544" ht="15.75" customHeight="1" spans="4:7">
      <c r="D544" s="37"/>
      <c r="E544" s="37"/>
      <c r="F544" s="37"/>
      <c r="G544" s="37"/>
    </row>
    <row r="545" ht="15.75" customHeight="1" spans="4:7">
      <c r="D545" s="37"/>
      <c r="E545" s="37"/>
      <c r="F545" s="37"/>
      <c r="G545" s="37"/>
    </row>
    <row r="546" ht="15.75" customHeight="1" spans="4:7">
      <c r="D546" s="37"/>
      <c r="E546" s="37"/>
      <c r="F546" s="37"/>
      <c r="G546" s="37"/>
    </row>
    <row r="547" ht="15.75" customHeight="1" spans="4:7">
      <c r="D547" s="37"/>
      <c r="E547" s="37"/>
      <c r="F547" s="37"/>
      <c r="G547" s="37"/>
    </row>
    <row r="548" ht="15.75" customHeight="1" spans="4:7">
      <c r="D548" s="37"/>
      <c r="E548" s="37"/>
      <c r="F548" s="37"/>
      <c r="G548" s="37"/>
    </row>
    <row r="549" ht="15.75" customHeight="1" spans="4:7">
      <c r="D549" s="37"/>
      <c r="E549" s="37"/>
      <c r="F549" s="37"/>
      <c r="G549" s="37"/>
    </row>
    <row r="550" ht="15.75" customHeight="1" spans="4:7">
      <c r="D550" s="37"/>
      <c r="E550" s="37"/>
      <c r="F550" s="37"/>
      <c r="G550" s="37"/>
    </row>
    <row r="551" ht="15.75" customHeight="1" spans="4:7">
      <c r="D551" s="37"/>
      <c r="E551" s="37"/>
      <c r="F551" s="37"/>
      <c r="G551" s="37"/>
    </row>
    <row r="552" ht="15.75" customHeight="1" spans="4:7">
      <c r="D552" s="37"/>
      <c r="E552" s="37"/>
      <c r="F552" s="37"/>
      <c r="G552" s="37"/>
    </row>
    <row r="553" ht="15.75" customHeight="1" spans="4:7">
      <c r="D553" s="37"/>
      <c r="E553" s="37"/>
      <c r="F553" s="37"/>
      <c r="G553" s="37"/>
    </row>
    <row r="554" ht="15.75" customHeight="1" spans="4:7">
      <c r="D554" s="37"/>
      <c r="E554" s="37"/>
      <c r="F554" s="37"/>
      <c r="G554" s="37"/>
    </row>
    <row r="555" ht="15.75" customHeight="1" spans="4:7">
      <c r="D555" s="37"/>
      <c r="E555" s="37"/>
      <c r="F555" s="37"/>
      <c r="G555" s="37"/>
    </row>
    <row r="556" ht="15.75" customHeight="1" spans="4:7">
      <c r="D556" s="37"/>
      <c r="E556" s="37"/>
      <c r="F556" s="37"/>
      <c r="G556" s="37"/>
    </row>
    <row r="557" ht="15.75" customHeight="1" spans="4:7">
      <c r="D557" s="37"/>
      <c r="E557" s="37"/>
      <c r="F557" s="37"/>
      <c r="G557" s="37"/>
    </row>
    <row r="558" ht="15.75" customHeight="1" spans="4:7">
      <c r="D558" s="37"/>
      <c r="E558" s="37"/>
      <c r="F558" s="37"/>
      <c r="G558" s="37"/>
    </row>
    <row r="559" ht="15.75" customHeight="1" spans="4:7">
      <c r="D559" s="37"/>
      <c r="E559" s="37"/>
      <c r="F559" s="37"/>
      <c r="G559" s="37"/>
    </row>
    <row r="560" ht="15.75" customHeight="1" spans="4:7">
      <c r="D560" s="37"/>
      <c r="E560" s="37"/>
      <c r="F560" s="37"/>
      <c r="G560" s="37"/>
    </row>
    <row r="561" ht="15.75" customHeight="1" spans="4:7">
      <c r="D561" s="37"/>
      <c r="E561" s="37"/>
      <c r="F561" s="37"/>
      <c r="G561" s="37"/>
    </row>
    <row r="562" ht="15.75" customHeight="1" spans="4:7">
      <c r="D562" s="37"/>
      <c r="E562" s="37"/>
      <c r="F562" s="37"/>
      <c r="G562" s="37"/>
    </row>
    <row r="563" ht="15.75" customHeight="1" spans="4:7">
      <c r="D563" s="37"/>
      <c r="E563" s="37"/>
      <c r="F563" s="37"/>
      <c r="G563" s="37"/>
    </row>
    <row r="564" ht="15.75" customHeight="1" spans="4:7">
      <c r="D564" s="37"/>
      <c r="E564" s="37"/>
      <c r="F564" s="37"/>
      <c r="G564" s="37"/>
    </row>
    <row r="565" ht="15.75" customHeight="1" spans="4:7">
      <c r="D565" s="37"/>
      <c r="E565" s="37"/>
      <c r="F565" s="37"/>
      <c r="G565" s="37"/>
    </row>
    <row r="566" ht="15.75" customHeight="1" spans="4:7">
      <c r="D566" s="37"/>
      <c r="E566" s="37"/>
      <c r="F566" s="37"/>
      <c r="G566" s="37"/>
    </row>
    <row r="567" ht="15.75" customHeight="1" spans="4:7">
      <c r="D567" s="37"/>
      <c r="E567" s="37"/>
      <c r="F567" s="37"/>
      <c r="G567" s="37"/>
    </row>
    <row r="568" ht="15.75" customHeight="1" spans="4:7">
      <c r="D568" s="37"/>
      <c r="E568" s="37"/>
      <c r="F568" s="37"/>
      <c r="G568" s="37"/>
    </row>
    <row r="569" ht="15.75" customHeight="1" spans="4:7">
      <c r="D569" s="37"/>
      <c r="E569" s="37"/>
      <c r="F569" s="37"/>
      <c r="G569" s="37"/>
    </row>
    <row r="570" ht="15.75" customHeight="1" spans="4:7">
      <c r="D570" s="37"/>
      <c r="E570" s="37"/>
      <c r="F570" s="37"/>
      <c r="G570" s="37"/>
    </row>
    <row r="571" ht="15.75" customHeight="1" spans="4:7">
      <c r="D571" s="37"/>
      <c r="E571" s="37"/>
      <c r="F571" s="37"/>
      <c r="G571" s="37"/>
    </row>
    <row r="572" ht="15.75" customHeight="1" spans="4:7">
      <c r="D572" s="37"/>
      <c r="E572" s="37"/>
      <c r="F572" s="37"/>
      <c r="G572" s="37"/>
    </row>
    <row r="573" ht="15.75" customHeight="1" spans="4:7">
      <c r="D573" s="37"/>
      <c r="E573" s="37"/>
      <c r="F573" s="37"/>
      <c r="G573" s="37"/>
    </row>
    <row r="574" ht="15.75" customHeight="1" spans="4:7">
      <c r="D574" s="37"/>
      <c r="E574" s="37"/>
      <c r="F574" s="37"/>
      <c r="G574" s="37"/>
    </row>
    <row r="575" ht="15.75" customHeight="1" spans="4:7">
      <c r="D575" s="37"/>
      <c r="E575" s="37"/>
      <c r="F575" s="37"/>
      <c r="G575" s="37"/>
    </row>
    <row r="576" ht="15.75" customHeight="1" spans="4:7">
      <c r="D576" s="37"/>
      <c r="E576" s="37"/>
      <c r="F576" s="37"/>
      <c r="G576" s="37"/>
    </row>
    <row r="577" ht="15.75" customHeight="1" spans="4:7">
      <c r="D577" s="37"/>
      <c r="E577" s="37"/>
      <c r="F577" s="37"/>
      <c r="G577" s="37"/>
    </row>
    <row r="578" ht="15.75" customHeight="1" spans="4:7">
      <c r="D578" s="37"/>
      <c r="E578" s="37"/>
      <c r="F578" s="37"/>
      <c r="G578" s="37"/>
    </row>
    <row r="579" ht="15.75" customHeight="1" spans="4:7">
      <c r="D579" s="37"/>
      <c r="E579" s="37"/>
      <c r="F579" s="37"/>
      <c r="G579" s="37"/>
    </row>
    <row r="580" ht="15.75" customHeight="1" spans="4:7">
      <c r="D580" s="37"/>
      <c r="E580" s="37"/>
      <c r="F580" s="37"/>
      <c r="G580" s="37"/>
    </row>
    <row r="581" ht="15.75" customHeight="1" spans="4:7">
      <c r="D581" s="37"/>
      <c r="E581" s="37"/>
      <c r="F581" s="37"/>
      <c r="G581" s="37"/>
    </row>
    <row r="582" ht="15.75" customHeight="1" spans="4:7">
      <c r="D582" s="37"/>
      <c r="E582" s="37"/>
      <c r="F582" s="37"/>
      <c r="G582" s="37"/>
    </row>
    <row r="583" ht="15.75" customHeight="1" spans="4:7">
      <c r="D583" s="37"/>
      <c r="E583" s="37"/>
      <c r="F583" s="37"/>
      <c r="G583" s="37"/>
    </row>
    <row r="584" ht="15.75" customHeight="1" spans="4:7">
      <c r="D584" s="37"/>
      <c r="E584" s="37"/>
      <c r="F584" s="37"/>
      <c r="G584" s="37"/>
    </row>
    <row r="585" ht="15.75" customHeight="1" spans="4:7">
      <c r="D585" s="37"/>
      <c r="E585" s="37"/>
      <c r="F585" s="37"/>
      <c r="G585" s="37"/>
    </row>
    <row r="586" ht="15.75" customHeight="1" spans="4:7">
      <c r="D586" s="37"/>
      <c r="E586" s="37"/>
      <c r="F586" s="37"/>
      <c r="G586" s="37"/>
    </row>
    <row r="587" ht="15.75" customHeight="1" spans="4:7">
      <c r="D587" s="37"/>
      <c r="E587" s="37"/>
      <c r="F587" s="37"/>
      <c r="G587" s="37"/>
    </row>
    <row r="588" ht="15.75" customHeight="1" spans="4:7">
      <c r="D588" s="37"/>
      <c r="E588" s="37"/>
      <c r="F588" s="37"/>
      <c r="G588" s="37"/>
    </row>
    <row r="589" ht="15.75" customHeight="1" spans="4:7">
      <c r="D589" s="37"/>
      <c r="E589" s="37"/>
      <c r="F589" s="37"/>
      <c r="G589" s="37"/>
    </row>
    <row r="590" ht="15.75" customHeight="1" spans="4:7">
      <c r="D590" s="37"/>
      <c r="E590" s="37"/>
      <c r="F590" s="37"/>
      <c r="G590" s="37"/>
    </row>
    <row r="591" ht="15.75" customHeight="1" spans="4:7">
      <c r="D591" s="37"/>
      <c r="E591" s="37"/>
      <c r="F591" s="37"/>
      <c r="G591" s="37"/>
    </row>
    <row r="592" ht="15.75" customHeight="1" spans="4:7">
      <c r="D592" s="37"/>
      <c r="E592" s="37"/>
      <c r="F592" s="37"/>
      <c r="G592" s="37"/>
    </row>
    <row r="593" ht="15.75" customHeight="1" spans="4:7">
      <c r="D593" s="37"/>
      <c r="E593" s="37"/>
      <c r="F593" s="37"/>
      <c r="G593" s="37"/>
    </row>
    <row r="594" ht="15.75" customHeight="1" spans="4:7">
      <c r="D594" s="37"/>
      <c r="E594" s="37"/>
      <c r="F594" s="37"/>
      <c r="G594" s="37"/>
    </row>
    <row r="595" ht="15.75" customHeight="1" spans="4:7">
      <c r="D595" s="37"/>
      <c r="E595" s="37"/>
      <c r="F595" s="37"/>
      <c r="G595" s="37"/>
    </row>
    <row r="596" ht="15.75" customHeight="1" spans="4:7">
      <c r="D596" s="37"/>
      <c r="E596" s="37"/>
      <c r="F596" s="37"/>
      <c r="G596" s="37"/>
    </row>
    <row r="597" ht="15.75" customHeight="1" spans="4:7">
      <c r="D597" s="37"/>
      <c r="E597" s="37"/>
      <c r="F597" s="37"/>
      <c r="G597" s="37"/>
    </row>
    <row r="598" ht="15.75" customHeight="1" spans="4:7">
      <c r="D598" s="37"/>
      <c r="E598" s="37"/>
      <c r="F598" s="37"/>
      <c r="G598" s="37"/>
    </row>
    <row r="599" ht="15.75" customHeight="1" spans="4:7">
      <c r="D599" s="37"/>
      <c r="E599" s="37"/>
      <c r="F599" s="37"/>
      <c r="G599" s="37"/>
    </row>
    <row r="600" ht="15.75" customHeight="1" spans="4:7">
      <c r="D600" s="37"/>
      <c r="E600" s="37"/>
      <c r="F600" s="37"/>
      <c r="G600" s="37"/>
    </row>
    <row r="601" ht="15.75" customHeight="1" spans="4:7">
      <c r="D601" s="37"/>
      <c r="E601" s="37"/>
      <c r="F601" s="37"/>
      <c r="G601" s="37"/>
    </row>
    <row r="602" ht="15.75" customHeight="1" spans="4:7">
      <c r="D602" s="37"/>
      <c r="E602" s="37"/>
      <c r="F602" s="37"/>
      <c r="G602" s="37"/>
    </row>
    <row r="603" ht="15.75" customHeight="1" spans="4:7">
      <c r="D603" s="37"/>
      <c r="E603" s="37"/>
      <c r="F603" s="37"/>
      <c r="G603" s="37"/>
    </row>
    <row r="604" ht="15.75" customHeight="1" spans="4:7">
      <c r="D604" s="37"/>
      <c r="E604" s="37"/>
      <c r="F604" s="37"/>
      <c r="G604" s="37"/>
    </row>
    <row r="605" ht="15.75" customHeight="1" spans="4:7">
      <c r="D605" s="37"/>
      <c r="E605" s="37"/>
      <c r="F605" s="37"/>
      <c r="G605" s="37"/>
    </row>
    <row r="606" ht="15.75" customHeight="1" spans="4:7">
      <c r="D606" s="37"/>
      <c r="E606" s="37"/>
      <c r="F606" s="37"/>
      <c r="G606" s="37"/>
    </row>
    <row r="607" ht="15.75" customHeight="1" spans="4:7">
      <c r="D607" s="37"/>
      <c r="E607" s="37"/>
      <c r="F607" s="37"/>
      <c r="G607" s="37"/>
    </row>
    <row r="608" ht="15.75" customHeight="1" spans="4:7">
      <c r="D608" s="37"/>
      <c r="E608" s="37"/>
      <c r="F608" s="37"/>
      <c r="G608" s="37"/>
    </row>
    <row r="609" ht="15.75" customHeight="1" spans="4:7">
      <c r="D609" s="37"/>
      <c r="E609" s="37"/>
      <c r="F609" s="37"/>
      <c r="G609" s="37"/>
    </row>
    <row r="610" ht="15.75" customHeight="1" spans="4:7">
      <c r="D610" s="37"/>
      <c r="E610" s="37"/>
      <c r="F610" s="37"/>
      <c r="G610" s="37"/>
    </row>
    <row r="611" ht="15.75" customHeight="1" spans="4:7">
      <c r="D611" s="37"/>
      <c r="E611" s="37"/>
      <c r="F611" s="37"/>
      <c r="G611" s="37"/>
    </row>
    <row r="612" ht="15.75" customHeight="1" spans="4:7">
      <c r="D612" s="37"/>
      <c r="E612" s="37"/>
      <c r="F612" s="37"/>
      <c r="G612" s="37"/>
    </row>
    <row r="613" ht="15.75" customHeight="1" spans="4:7">
      <c r="D613" s="37"/>
      <c r="E613" s="37"/>
      <c r="F613" s="37"/>
      <c r="G613" s="37"/>
    </row>
    <row r="614" ht="15.75" customHeight="1" spans="4:7">
      <c r="D614" s="37"/>
      <c r="E614" s="37"/>
      <c r="F614" s="37"/>
      <c r="G614" s="37"/>
    </row>
    <row r="615" ht="15.75" customHeight="1" spans="4:7">
      <c r="D615" s="37"/>
      <c r="E615" s="37"/>
      <c r="F615" s="37"/>
      <c r="G615" s="37"/>
    </row>
    <row r="616" ht="15.75" customHeight="1" spans="4:7">
      <c r="D616" s="37"/>
      <c r="E616" s="37"/>
      <c r="F616" s="37"/>
      <c r="G616" s="37"/>
    </row>
    <row r="617" ht="15.75" customHeight="1" spans="4:7">
      <c r="D617" s="37"/>
      <c r="E617" s="37"/>
      <c r="F617" s="37"/>
      <c r="G617" s="37"/>
    </row>
    <row r="618" ht="15.75" customHeight="1" spans="4:7">
      <c r="D618" s="37"/>
      <c r="E618" s="37"/>
      <c r="F618" s="37"/>
      <c r="G618" s="37"/>
    </row>
    <row r="619" ht="15.75" customHeight="1" spans="4:7">
      <c r="D619" s="37"/>
      <c r="E619" s="37"/>
      <c r="F619" s="37"/>
      <c r="G619" s="37"/>
    </row>
    <row r="620" ht="15.75" customHeight="1" spans="4:7">
      <c r="D620" s="37"/>
      <c r="E620" s="37"/>
      <c r="F620" s="37"/>
      <c r="G620" s="37"/>
    </row>
    <row r="621" ht="15.75" customHeight="1" spans="4:7">
      <c r="D621" s="37"/>
      <c r="E621" s="37"/>
      <c r="F621" s="37"/>
      <c r="G621" s="37"/>
    </row>
    <row r="622" ht="15.75" customHeight="1" spans="4:7">
      <c r="D622" s="37"/>
      <c r="E622" s="37"/>
      <c r="F622" s="37"/>
      <c r="G622" s="37"/>
    </row>
    <row r="623" ht="15.75" customHeight="1" spans="4:7">
      <c r="D623" s="37"/>
      <c r="E623" s="37"/>
      <c r="F623" s="37"/>
      <c r="G623" s="37"/>
    </row>
    <row r="624" ht="15.75" customHeight="1" spans="4:7">
      <c r="D624" s="37"/>
      <c r="E624" s="37"/>
      <c r="F624" s="37"/>
      <c r="G624" s="37"/>
    </row>
    <row r="625" ht="15.75" customHeight="1" spans="4:7">
      <c r="D625" s="37"/>
      <c r="E625" s="37"/>
      <c r="F625" s="37"/>
      <c r="G625" s="37"/>
    </row>
    <row r="626" ht="15.75" customHeight="1" spans="4:7">
      <c r="D626" s="37"/>
      <c r="E626" s="37"/>
      <c r="F626" s="37"/>
      <c r="G626" s="37"/>
    </row>
    <row r="627" ht="15.75" customHeight="1" spans="4:7">
      <c r="D627" s="37"/>
      <c r="E627" s="37"/>
      <c r="F627" s="37"/>
      <c r="G627" s="37"/>
    </row>
    <row r="628" ht="15.75" customHeight="1" spans="4:7">
      <c r="D628" s="37"/>
      <c r="E628" s="37"/>
      <c r="F628" s="37"/>
      <c r="G628" s="37"/>
    </row>
    <row r="629" ht="15.75" customHeight="1" spans="4:7">
      <c r="D629" s="37"/>
      <c r="E629" s="37"/>
      <c r="F629" s="37"/>
      <c r="G629" s="37"/>
    </row>
    <row r="630" ht="15.75" customHeight="1" spans="4:7">
      <c r="D630" s="37"/>
      <c r="E630" s="37"/>
      <c r="F630" s="37"/>
      <c r="G630" s="37"/>
    </row>
    <row r="631" ht="15.75" customHeight="1" spans="4:7">
      <c r="D631" s="37"/>
      <c r="E631" s="37"/>
      <c r="F631" s="37"/>
      <c r="G631" s="37"/>
    </row>
    <row r="632" ht="15.75" customHeight="1" spans="4:7">
      <c r="D632" s="37"/>
      <c r="E632" s="37"/>
      <c r="F632" s="37"/>
      <c r="G632" s="37"/>
    </row>
    <row r="633" ht="15.75" customHeight="1" spans="4:7">
      <c r="D633" s="37"/>
      <c r="E633" s="37"/>
      <c r="F633" s="37"/>
      <c r="G633" s="37"/>
    </row>
    <row r="634" ht="15.75" customHeight="1" spans="4:7">
      <c r="D634" s="37"/>
      <c r="E634" s="37"/>
      <c r="F634" s="37"/>
      <c r="G634" s="37"/>
    </row>
    <row r="635" ht="15.75" customHeight="1" spans="4:7">
      <c r="D635" s="37"/>
      <c r="E635" s="37"/>
      <c r="F635" s="37"/>
      <c r="G635" s="37"/>
    </row>
    <row r="636" ht="15.75" customHeight="1" spans="4:7">
      <c r="D636" s="37"/>
      <c r="E636" s="37"/>
      <c r="F636" s="37"/>
      <c r="G636" s="37"/>
    </row>
    <row r="637" ht="15.75" customHeight="1" spans="4:7">
      <c r="D637" s="37"/>
      <c r="E637" s="37"/>
      <c r="F637" s="37"/>
      <c r="G637" s="37"/>
    </row>
    <row r="638" ht="15.75" customHeight="1" spans="4:7">
      <c r="D638" s="37"/>
      <c r="E638" s="37"/>
      <c r="F638" s="37"/>
      <c r="G638" s="37"/>
    </row>
    <row r="639" ht="15.75" customHeight="1" spans="4:7">
      <c r="D639" s="37"/>
      <c r="E639" s="37"/>
      <c r="F639" s="37"/>
      <c r="G639" s="37"/>
    </row>
    <row r="640" ht="15.75" customHeight="1" spans="4:7">
      <c r="D640" s="37"/>
      <c r="E640" s="37"/>
      <c r="F640" s="37"/>
      <c r="G640" s="37"/>
    </row>
    <row r="641" ht="15.75" customHeight="1" spans="4:7">
      <c r="D641" s="37"/>
      <c r="E641" s="37"/>
      <c r="F641" s="37"/>
      <c r="G641" s="37"/>
    </row>
    <row r="642" ht="15.75" customHeight="1" spans="4:7">
      <c r="D642" s="37"/>
      <c r="E642" s="37"/>
      <c r="F642" s="37"/>
      <c r="G642" s="37"/>
    </row>
    <row r="643" ht="15.75" customHeight="1" spans="4:7">
      <c r="D643" s="37"/>
      <c r="E643" s="37"/>
      <c r="F643" s="37"/>
      <c r="G643" s="37"/>
    </row>
    <row r="644" ht="15.75" customHeight="1" spans="4:7">
      <c r="D644" s="37"/>
      <c r="E644" s="37"/>
      <c r="F644" s="37"/>
      <c r="G644" s="37"/>
    </row>
    <row r="645" ht="15.75" customHeight="1" spans="4:7">
      <c r="D645" s="37"/>
      <c r="E645" s="37"/>
      <c r="F645" s="37"/>
      <c r="G645" s="37"/>
    </row>
    <row r="646" ht="15.75" customHeight="1" spans="4:7">
      <c r="D646" s="37"/>
      <c r="E646" s="37"/>
      <c r="F646" s="37"/>
      <c r="G646" s="37"/>
    </row>
    <row r="647" ht="15.75" customHeight="1" spans="4:7">
      <c r="D647" s="37"/>
      <c r="E647" s="37"/>
      <c r="F647" s="37"/>
      <c r="G647" s="37"/>
    </row>
    <row r="648" ht="15.75" customHeight="1" spans="4:7">
      <c r="D648" s="37"/>
      <c r="E648" s="37"/>
      <c r="F648" s="37"/>
      <c r="G648" s="37"/>
    </row>
    <row r="649" ht="15.75" customHeight="1" spans="4:7">
      <c r="D649" s="37"/>
      <c r="E649" s="37"/>
      <c r="F649" s="37"/>
      <c r="G649" s="37"/>
    </row>
    <row r="650" ht="15.75" customHeight="1" spans="4:7">
      <c r="D650" s="37"/>
      <c r="E650" s="37"/>
      <c r="F650" s="37"/>
      <c r="G650" s="37"/>
    </row>
    <row r="651" ht="15.75" customHeight="1" spans="4:7">
      <c r="D651" s="37"/>
      <c r="E651" s="37"/>
      <c r="F651" s="37"/>
      <c r="G651" s="37"/>
    </row>
    <row r="652" ht="15.75" customHeight="1" spans="4:7">
      <c r="D652" s="37"/>
      <c r="E652" s="37"/>
      <c r="F652" s="37"/>
      <c r="G652" s="37"/>
    </row>
    <row r="653" ht="15.75" customHeight="1" spans="4:7">
      <c r="D653" s="37"/>
      <c r="E653" s="37"/>
      <c r="F653" s="37"/>
      <c r="G653" s="37"/>
    </row>
    <row r="654" ht="15.75" customHeight="1" spans="4:7">
      <c r="D654" s="37"/>
      <c r="E654" s="37"/>
      <c r="F654" s="37"/>
      <c r="G654" s="37"/>
    </row>
    <row r="655" ht="15.75" customHeight="1" spans="4:7">
      <c r="D655" s="37"/>
      <c r="E655" s="37"/>
      <c r="F655" s="37"/>
      <c r="G655" s="37"/>
    </row>
    <row r="656" ht="15.75" customHeight="1" spans="4:7">
      <c r="D656" s="37"/>
      <c r="E656" s="37"/>
      <c r="F656" s="37"/>
      <c r="G656" s="37"/>
    </row>
    <row r="657" ht="15.75" customHeight="1" spans="4:7">
      <c r="D657" s="37"/>
      <c r="E657" s="37"/>
      <c r="F657" s="37"/>
      <c r="G657" s="37"/>
    </row>
    <row r="658" ht="15.75" customHeight="1" spans="4:7">
      <c r="D658" s="37"/>
      <c r="E658" s="37"/>
      <c r="F658" s="37"/>
      <c r="G658" s="37"/>
    </row>
    <row r="659" ht="15.75" customHeight="1" spans="4:7">
      <c r="D659" s="37"/>
      <c r="E659" s="37"/>
      <c r="F659" s="37"/>
      <c r="G659" s="37"/>
    </row>
    <row r="660" ht="15.75" customHeight="1" spans="4:7">
      <c r="D660" s="37"/>
      <c r="E660" s="37"/>
      <c r="F660" s="37"/>
      <c r="G660" s="37"/>
    </row>
    <row r="661" ht="15.75" customHeight="1" spans="4:7">
      <c r="D661" s="37"/>
      <c r="E661" s="37"/>
      <c r="F661" s="37"/>
      <c r="G661" s="37"/>
    </row>
    <row r="662" ht="15.75" customHeight="1" spans="4:7">
      <c r="D662" s="37"/>
      <c r="E662" s="37"/>
      <c r="F662" s="37"/>
      <c r="G662" s="37"/>
    </row>
    <row r="663" ht="15.75" customHeight="1" spans="4:7">
      <c r="D663" s="37"/>
      <c r="E663" s="37"/>
      <c r="F663" s="37"/>
      <c r="G663" s="37"/>
    </row>
    <row r="664" ht="15.75" customHeight="1" spans="4:7">
      <c r="D664" s="37"/>
      <c r="E664" s="37"/>
      <c r="F664" s="37"/>
      <c r="G664" s="37"/>
    </row>
    <row r="665" ht="15.75" customHeight="1" spans="4:7">
      <c r="D665" s="37"/>
      <c r="E665" s="37"/>
      <c r="F665" s="37"/>
      <c r="G665" s="37"/>
    </row>
    <row r="666" ht="15.75" customHeight="1" spans="4:7">
      <c r="D666" s="37"/>
      <c r="E666" s="37"/>
      <c r="F666" s="37"/>
      <c r="G666" s="37"/>
    </row>
    <row r="667" ht="15.75" customHeight="1" spans="4:7">
      <c r="D667" s="37"/>
      <c r="E667" s="37"/>
      <c r="F667" s="37"/>
      <c r="G667" s="37"/>
    </row>
    <row r="668" ht="15.75" customHeight="1" spans="4:7">
      <c r="D668" s="37"/>
      <c r="E668" s="37"/>
      <c r="F668" s="37"/>
      <c r="G668" s="37"/>
    </row>
    <row r="669" ht="15.75" customHeight="1" spans="4:7">
      <c r="D669" s="37"/>
      <c r="E669" s="37"/>
      <c r="F669" s="37"/>
      <c r="G669" s="37"/>
    </row>
    <row r="670" ht="15.75" customHeight="1" spans="4:7">
      <c r="D670" s="37"/>
      <c r="E670" s="37"/>
      <c r="F670" s="37"/>
      <c r="G670" s="37"/>
    </row>
    <row r="671" ht="15.75" customHeight="1" spans="4:7">
      <c r="D671" s="37"/>
      <c r="E671" s="37"/>
      <c r="F671" s="37"/>
      <c r="G671" s="37"/>
    </row>
    <row r="672" ht="15.75" customHeight="1" spans="4:7">
      <c r="D672" s="37"/>
      <c r="E672" s="37"/>
      <c r="F672" s="37"/>
      <c r="G672" s="37"/>
    </row>
    <row r="673" ht="15.75" customHeight="1" spans="4:7">
      <c r="D673" s="37"/>
      <c r="E673" s="37"/>
      <c r="F673" s="37"/>
      <c r="G673" s="37"/>
    </row>
    <row r="674" ht="15.75" customHeight="1" spans="4:7">
      <c r="D674" s="37"/>
      <c r="E674" s="37"/>
      <c r="F674" s="37"/>
      <c r="G674" s="37"/>
    </row>
    <row r="675" ht="15.75" customHeight="1" spans="4:7">
      <c r="D675" s="37"/>
      <c r="E675" s="37"/>
      <c r="F675" s="37"/>
      <c r="G675" s="37"/>
    </row>
    <row r="676" ht="15.75" customHeight="1" spans="4:7">
      <c r="D676" s="37"/>
      <c r="E676" s="37"/>
      <c r="F676" s="37"/>
      <c r="G676" s="37"/>
    </row>
    <row r="677" ht="15.75" customHeight="1" spans="4:7">
      <c r="D677" s="37"/>
      <c r="E677" s="37"/>
      <c r="F677" s="37"/>
      <c r="G677" s="37"/>
    </row>
    <row r="678" ht="15.75" customHeight="1" spans="4:7">
      <c r="D678" s="37"/>
      <c r="E678" s="37"/>
      <c r="F678" s="37"/>
      <c r="G678" s="37"/>
    </row>
    <row r="679" ht="15.75" customHeight="1" spans="4:7">
      <c r="D679" s="37"/>
      <c r="E679" s="37"/>
      <c r="F679" s="37"/>
      <c r="G679" s="37"/>
    </row>
    <row r="680" ht="15.75" customHeight="1" spans="4:7">
      <c r="D680" s="37"/>
      <c r="E680" s="37"/>
      <c r="F680" s="37"/>
      <c r="G680" s="37"/>
    </row>
    <row r="681" ht="15.75" customHeight="1" spans="4:7">
      <c r="D681" s="37"/>
      <c r="E681" s="37"/>
      <c r="F681" s="37"/>
      <c r="G681" s="37"/>
    </row>
    <row r="682" ht="15.75" customHeight="1" spans="4:7">
      <c r="D682" s="37"/>
      <c r="E682" s="37"/>
      <c r="F682" s="37"/>
      <c r="G682" s="37"/>
    </row>
    <row r="683" ht="15.75" customHeight="1" spans="4:7">
      <c r="D683" s="37"/>
      <c r="E683" s="37"/>
      <c r="F683" s="37"/>
      <c r="G683" s="37"/>
    </row>
    <row r="684" ht="15.75" customHeight="1" spans="4:7">
      <c r="D684" s="37"/>
      <c r="E684" s="37"/>
      <c r="F684" s="37"/>
      <c r="G684" s="37"/>
    </row>
    <row r="685" ht="15.75" customHeight="1" spans="4:7">
      <c r="D685" s="37"/>
      <c r="E685" s="37"/>
      <c r="F685" s="37"/>
      <c r="G685" s="37"/>
    </row>
    <row r="686" ht="15.75" customHeight="1" spans="4:7">
      <c r="D686" s="37"/>
      <c r="E686" s="37"/>
      <c r="F686" s="37"/>
      <c r="G686" s="37"/>
    </row>
    <row r="687" ht="15.75" customHeight="1" spans="4:7">
      <c r="D687" s="37"/>
      <c r="E687" s="37"/>
      <c r="F687" s="37"/>
      <c r="G687" s="37"/>
    </row>
    <row r="688" ht="15.75" customHeight="1" spans="4:7">
      <c r="D688" s="37"/>
      <c r="E688" s="37"/>
      <c r="F688" s="37"/>
      <c r="G688" s="37"/>
    </row>
    <row r="689" ht="15.75" customHeight="1" spans="4:7">
      <c r="D689" s="37"/>
      <c r="E689" s="37"/>
      <c r="F689" s="37"/>
      <c r="G689" s="37"/>
    </row>
    <row r="690" ht="15.75" customHeight="1" spans="4:7">
      <c r="D690" s="37"/>
      <c r="E690" s="37"/>
      <c r="F690" s="37"/>
      <c r="G690" s="37"/>
    </row>
    <row r="691" ht="15.75" customHeight="1" spans="4:7">
      <c r="D691" s="37"/>
      <c r="E691" s="37"/>
      <c r="F691" s="37"/>
      <c r="G691" s="37"/>
    </row>
    <row r="692" ht="15.75" customHeight="1" spans="4:7">
      <c r="D692" s="37"/>
      <c r="E692" s="37"/>
      <c r="F692" s="37"/>
      <c r="G692" s="37"/>
    </row>
    <row r="693" ht="15.75" customHeight="1" spans="4:7">
      <c r="D693" s="37"/>
      <c r="E693" s="37"/>
      <c r="F693" s="37"/>
      <c r="G693" s="37"/>
    </row>
    <row r="694" ht="15.75" customHeight="1" spans="4:7">
      <c r="D694" s="37"/>
      <c r="E694" s="37"/>
      <c r="F694" s="37"/>
      <c r="G694" s="37"/>
    </row>
    <row r="695" ht="15.75" customHeight="1" spans="4:7">
      <c r="D695" s="37"/>
      <c r="E695" s="37"/>
      <c r="F695" s="37"/>
      <c r="G695" s="37"/>
    </row>
    <row r="696" ht="15.75" customHeight="1" spans="4:7">
      <c r="D696" s="37"/>
      <c r="E696" s="37"/>
      <c r="F696" s="37"/>
      <c r="G696" s="37"/>
    </row>
    <row r="697" ht="15.75" customHeight="1" spans="4:7">
      <c r="D697" s="37"/>
      <c r="E697" s="37"/>
      <c r="F697" s="37"/>
      <c r="G697" s="37"/>
    </row>
    <row r="698" ht="15.75" customHeight="1" spans="4:7">
      <c r="D698" s="37"/>
      <c r="E698" s="37"/>
      <c r="F698" s="37"/>
      <c r="G698" s="37"/>
    </row>
    <row r="699" ht="15.75" customHeight="1" spans="4:7">
      <c r="D699" s="37"/>
      <c r="E699" s="37"/>
      <c r="F699" s="37"/>
      <c r="G699" s="37"/>
    </row>
    <row r="700" ht="15.75" customHeight="1" spans="4:7">
      <c r="D700" s="37"/>
      <c r="E700" s="37"/>
      <c r="F700" s="37"/>
      <c r="G700" s="37"/>
    </row>
    <row r="701" ht="15.75" customHeight="1" spans="4:7">
      <c r="D701" s="37"/>
      <c r="E701" s="37"/>
      <c r="F701" s="37"/>
      <c r="G701" s="37"/>
    </row>
    <row r="702" ht="15.75" customHeight="1" spans="4:7">
      <c r="D702" s="37"/>
      <c r="E702" s="37"/>
      <c r="F702" s="37"/>
      <c r="G702" s="37"/>
    </row>
    <row r="703" ht="15.75" customHeight="1" spans="4:7">
      <c r="D703" s="37"/>
      <c r="E703" s="37"/>
      <c r="F703" s="37"/>
      <c r="G703" s="37"/>
    </row>
    <row r="704" ht="15.75" customHeight="1" spans="4:7">
      <c r="D704" s="37"/>
      <c r="E704" s="37"/>
      <c r="F704" s="37"/>
      <c r="G704" s="37"/>
    </row>
    <row r="705" ht="15.75" customHeight="1" spans="4:7">
      <c r="D705" s="37"/>
      <c r="E705" s="37"/>
      <c r="F705" s="37"/>
      <c r="G705" s="37"/>
    </row>
    <row r="706" ht="15.75" customHeight="1" spans="4:7">
      <c r="D706" s="37"/>
      <c r="E706" s="37"/>
      <c r="F706" s="37"/>
      <c r="G706" s="37"/>
    </row>
    <row r="707" ht="15.75" customHeight="1" spans="4:7">
      <c r="D707" s="37"/>
      <c r="E707" s="37"/>
      <c r="F707" s="37"/>
      <c r="G707" s="37"/>
    </row>
    <row r="708" ht="15.75" customHeight="1" spans="4:7">
      <c r="D708" s="37"/>
      <c r="E708" s="37"/>
      <c r="F708" s="37"/>
      <c r="G708" s="37"/>
    </row>
    <row r="709" ht="15.75" customHeight="1" spans="4:7">
      <c r="D709" s="37"/>
      <c r="E709" s="37"/>
      <c r="F709" s="37"/>
      <c r="G709" s="37"/>
    </row>
    <row r="710" ht="15.75" customHeight="1" spans="4:7">
      <c r="D710" s="37"/>
      <c r="E710" s="37"/>
      <c r="F710" s="37"/>
      <c r="G710" s="37"/>
    </row>
    <row r="711" ht="15.75" customHeight="1" spans="4:7">
      <c r="D711" s="37"/>
      <c r="E711" s="37"/>
      <c r="F711" s="37"/>
      <c r="G711" s="37"/>
    </row>
    <row r="712" ht="15.75" customHeight="1" spans="4:7">
      <c r="D712" s="37"/>
      <c r="E712" s="37"/>
      <c r="F712" s="37"/>
      <c r="G712" s="37"/>
    </row>
    <row r="713" ht="15.75" customHeight="1" spans="4:7">
      <c r="D713" s="37"/>
      <c r="E713" s="37"/>
      <c r="F713" s="37"/>
      <c r="G713" s="37"/>
    </row>
    <row r="714" ht="15.75" customHeight="1" spans="4:7">
      <c r="D714" s="37"/>
      <c r="E714" s="37"/>
      <c r="F714" s="37"/>
      <c r="G714" s="37"/>
    </row>
    <row r="715" ht="15.75" customHeight="1" spans="4:7">
      <c r="D715" s="37"/>
      <c r="E715" s="37"/>
      <c r="F715" s="37"/>
      <c r="G715" s="37"/>
    </row>
    <row r="716" ht="15.75" customHeight="1" spans="4:7">
      <c r="D716" s="37"/>
      <c r="E716" s="37"/>
      <c r="F716" s="37"/>
      <c r="G716" s="37"/>
    </row>
    <row r="717" ht="15.75" customHeight="1" spans="4:7">
      <c r="D717" s="37"/>
      <c r="E717" s="37"/>
      <c r="F717" s="37"/>
      <c r="G717" s="37"/>
    </row>
    <row r="718" ht="15.75" customHeight="1" spans="4:7">
      <c r="D718" s="37"/>
      <c r="E718" s="37"/>
      <c r="F718" s="37"/>
      <c r="G718" s="37"/>
    </row>
    <row r="719" ht="15.75" customHeight="1" spans="4:7">
      <c r="D719" s="37"/>
      <c r="E719" s="37"/>
      <c r="F719" s="37"/>
      <c r="G719" s="37"/>
    </row>
    <row r="720" ht="15.75" customHeight="1" spans="4:7">
      <c r="D720" s="37"/>
      <c r="E720" s="37"/>
      <c r="F720" s="37"/>
      <c r="G720" s="37"/>
    </row>
    <row r="721" ht="15.75" customHeight="1" spans="4:7">
      <c r="D721" s="37"/>
      <c r="E721" s="37"/>
      <c r="F721" s="37"/>
      <c r="G721" s="37"/>
    </row>
    <row r="722" ht="15.75" customHeight="1" spans="4:7">
      <c r="D722" s="37"/>
      <c r="E722" s="37"/>
      <c r="F722" s="37"/>
      <c r="G722" s="37"/>
    </row>
    <row r="723" ht="15.75" customHeight="1" spans="4:7">
      <c r="D723" s="37"/>
      <c r="E723" s="37"/>
      <c r="F723" s="37"/>
      <c r="G723" s="37"/>
    </row>
    <row r="724" ht="15.75" customHeight="1" spans="4:7">
      <c r="D724" s="37"/>
      <c r="E724" s="37"/>
      <c r="F724" s="37"/>
      <c r="G724" s="37"/>
    </row>
    <row r="725" ht="15.75" customHeight="1" spans="4:7">
      <c r="D725" s="37"/>
      <c r="E725" s="37"/>
      <c r="F725" s="37"/>
      <c r="G725" s="37"/>
    </row>
    <row r="726" ht="15.75" customHeight="1" spans="4:7">
      <c r="D726" s="37"/>
      <c r="E726" s="37"/>
      <c r="F726" s="37"/>
      <c r="G726" s="37"/>
    </row>
    <row r="727" ht="15.75" customHeight="1" spans="4:7">
      <c r="D727" s="37"/>
      <c r="E727" s="37"/>
      <c r="F727" s="37"/>
      <c r="G727" s="37"/>
    </row>
    <row r="728" ht="15.75" customHeight="1" spans="4:7">
      <c r="D728" s="37"/>
      <c r="E728" s="37"/>
      <c r="F728" s="37"/>
      <c r="G728" s="37"/>
    </row>
    <row r="729" ht="15.75" customHeight="1" spans="4:7">
      <c r="D729" s="37"/>
      <c r="E729" s="37"/>
      <c r="F729" s="37"/>
      <c r="G729" s="37"/>
    </row>
    <row r="730" ht="15.75" customHeight="1" spans="4:7">
      <c r="D730" s="37"/>
      <c r="E730" s="37"/>
      <c r="F730" s="37"/>
      <c r="G730" s="37"/>
    </row>
    <row r="731" ht="15.75" customHeight="1" spans="4:7">
      <c r="D731" s="37"/>
      <c r="E731" s="37"/>
      <c r="F731" s="37"/>
      <c r="G731" s="37"/>
    </row>
    <row r="732" ht="15.75" customHeight="1" spans="4:7">
      <c r="D732" s="37"/>
      <c r="E732" s="37"/>
      <c r="F732" s="37"/>
      <c r="G732" s="37"/>
    </row>
    <row r="733" ht="15.75" customHeight="1" spans="4:7">
      <c r="D733" s="37"/>
      <c r="E733" s="37"/>
      <c r="F733" s="37"/>
      <c r="G733" s="37"/>
    </row>
    <row r="734" ht="15.75" customHeight="1" spans="4:7">
      <c r="D734" s="37"/>
      <c r="E734" s="37"/>
      <c r="F734" s="37"/>
      <c r="G734" s="37"/>
    </row>
    <row r="735" ht="15.75" customHeight="1" spans="4:7">
      <c r="D735" s="37"/>
      <c r="E735" s="37"/>
      <c r="F735" s="37"/>
      <c r="G735" s="37"/>
    </row>
    <row r="736" ht="15.75" customHeight="1" spans="4:7">
      <c r="D736" s="37"/>
      <c r="E736" s="37"/>
      <c r="F736" s="37"/>
      <c r="G736" s="37"/>
    </row>
    <row r="737" ht="15.75" customHeight="1" spans="4:7">
      <c r="D737" s="37"/>
      <c r="E737" s="37"/>
      <c r="F737" s="37"/>
      <c r="G737" s="37"/>
    </row>
    <row r="738" ht="15.75" customHeight="1" spans="4:7">
      <c r="D738" s="37"/>
      <c r="E738" s="37"/>
      <c r="F738" s="37"/>
      <c r="G738" s="37"/>
    </row>
    <row r="739" ht="15.75" customHeight="1" spans="4:7">
      <c r="D739" s="37"/>
      <c r="E739" s="37"/>
      <c r="F739" s="37"/>
      <c r="G739" s="37"/>
    </row>
    <row r="740" ht="15.75" customHeight="1" spans="4:7">
      <c r="D740" s="37"/>
      <c r="E740" s="37"/>
      <c r="F740" s="37"/>
      <c r="G740" s="37"/>
    </row>
    <row r="741" ht="15.75" customHeight="1" spans="4:7">
      <c r="D741" s="37"/>
      <c r="E741" s="37"/>
      <c r="F741" s="37"/>
      <c r="G741" s="37"/>
    </row>
    <row r="742" ht="15.75" customHeight="1" spans="4:7">
      <c r="D742" s="37"/>
      <c r="E742" s="37"/>
      <c r="F742" s="37"/>
      <c r="G742" s="37"/>
    </row>
    <row r="743" ht="15.75" customHeight="1" spans="4:7">
      <c r="D743" s="37"/>
      <c r="E743" s="37"/>
      <c r="F743" s="37"/>
      <c r="G743" s="37"/>
    </row>
    <row r="744" ht="15.75" customHeight="1" spans="4:7">
      <c r="D744" s="37"/>
      <c r="E744" s="37"/>
      <c r="F744" s="37"/>
      <c r="G744" s="37"/>
    </row>
    <row r="745" ht="15.75" customHeight="1" spans="4:7">
      <c r="D745" s="37"/>
      <c r="E745" s="37"/>
      <c r="F745" s="37"/>
      <c r="G745" s="37"/>
    </row>
    <row r="746" ht="15.75" customHeight="1" spans="4:7">
      <c r="D746" s="37"/>
      <c r="E746" s="37"/>
      <c r="F746" s="37"/>
      <c r="G746" s="37"/>
    </row>
    <row r="747" ht="15.75" customHeight="1" spans="4:7">
      <c r="D747" s="37"/>
      <c r="E747" s="37"/>
      <c r="F747" s="37"/>
      <c r="G747" s="37"/>
    </row>
    <row r="748" ht="15.75" customHeight="1" spans="4:7">
      <c r="D748" s="37"/>
      <c r="E748" s="37"/>
      <c r="F748" s="37"/>
      <c r="G748" s="37"/>
    </row>
    <row r="749" ht="15.75" customHeight="1" spans="4:7">
      <c r="D749" s="37"/>
      <c r="E749" s="37"/>
      <c r="F749" s="37"/>
      <c r="G749" s="37"/>
    </row>
    <row r="750" ht="15.75" customHeight="1" spans="4:7">
      <c r="D750" s="37"/>
      <c r="E750" s="37"/>
      <c r="F750" s="37"/>
      <c r="G750" s="37"/>
    </row>
    <row r="751" ht="15.75" customHeight="1" spans="4:7">
      <c r="D751" s="37"/>
      <c r="E751" s="37"/>
      <c r="F751" s="37"/>
      <c r="G751" s="37"/>
    </row>
    <row r="752" ht="15.75" customHeight="1" spans="4:7">
      <c r="D752" s="37"/>
      <c r="E752" s="37"/>
      <c r="F752" s="37"/>
      <c r="G752" s="37"/>
    </row>
    <row r="753" ht="15.75" customHeight="1" spans="4:7">
      <c r="D753" s="37"/>
      <c r="E753" s="37"/>
      <c r="F753" s="37"/>
      <c r="G753" s="37"/>
    </row>
    <row r="754" ht="15.75" customHeight="1" spans="4:7">
      <c r="D754" s="37"/>
      <c r="E754" s="37"/>
      <c r="F754" s="37"/>
      <c r="G754" s="37"/>
    </row>
    <row r="755" ht="15.75" customHeight="1" spans="4:7">
      <c r="D755" s="37"/>
      <c r="E755" s="37"/>
      <c r="F755" s="37"/>
      <c r="G755" s="37"/>
    </row>
    <row r="756" ht="15.75" customHeight="1" spans="4:7">
      <c r="D756" s="37"/>
      <c r="E756" s="37"/>
      <c r="F756" s="37"/>
      <c r="G756" s="37"/>
    </row>
    <row r="757" ht="15.75" customHeight="1" spans="4:7">
      <c r="D757" s="37"/>
      <c r="E757" s="37"/>
      <c r="F757" s="37"/>
      <c r="G757" s="37"/>
    </row>
    <row r="758" ht="15.75" customHeight="1" spans="4:7">
      <c r="D758" s="37"/>
      <c r="E758" s="37"/>
      <c r="F758" s="37"/>
      <c r="G758" s="37"/>
    </row>
    <row r="759" ht="15.75" customHeight="1" spans="4:7">
      <c r="D759" s="37"/>
      <c r="E759" s="37"/>
      <c r="F759" s="37"/>
      <c r="G759" s="37"/>
    </row>
    <row r="760" ht="15.75" customHeight="1" spans="4:7">
      <c r="D760" s="37"/>
      <c r="E760" s="37"/>
      <c r="F760" s="37"/>
      <c r="G760" s="37"/>
    </row>
    <row r="761" ht="15.75" customHeight="1" spans="4:7">
      <c r="D761" s="37"/>
      <c r="E761" s="37"/>
      <c r="F761" s="37"/>
      <c r="G761" s="37"/>
    </row>
    <row r="762" ht="15.75" customHeight="1" spans="4:7">
      <c r="D762" s="37"/>
      <c r="E762" s="37"/>
      <c r="F762" s="37"/>
      <c r="G762" s="37"/>
    </row>
    <row r="763" ht="15.75" customHeight="1" spans="4:7">
      <c r="D763" s="37"/>
      <c r="E763" s="37"/>
      <c r="F763" s="37"/>
      <c r="G763" s="37"/>
    </row>
    <row r="764" ht="15.75" customHeight="1" spans="4:7">
      <c r="D764" s="37"/>
      <c r="E764" s="37"/>
      <c r="F764" s="37"/>
      <c r="G764" s="37"/>
    </row>
    <row r="765" ht="15.75" customHeight="1" spans="4:7">
      <c r="D765" s="37"/>
      <c r="E765" s="37"/>
      <c r="F765" s="37"/>
      <c r="G765" s="37"/>
    </row>
    <row r="766" ht="15.75" customHeight="1" spans="4:7">
      <c r="D766" s="37"/>
      <c r="E766" s="37"/>
      <c r="F766" s="37"/>
      <c r="G766" s="37"/>
    </row>
    <row r="767" ht="15.75" customHeight="1" spans="4:7">
      <c r="D767" s="37"/>
      <c r="E767" s="37"/>
      <c r="F767" s="37"/>
      <c r="G767" s="37"/>
    </row>
    <row r="768" ht="15.75" customHeight="1" spans="4:7">
      <c r="D768" s="37"/>
      <c r="E768" s="37"/>
      <c r="F768" s="37"/>
      <c r="G768" s="37"/>
    </row>
    <row r="769" ht="15.75" customHeight="1" spans="4:7">
      <c r="D769" s="37"/>
      <c r="E769" s="37"/>
      <c r="F769" s="37"/>
      <c r="G769" s="37"/>
    </row>
    <row r="770" ht="15.75" customHeight="1" spans="4:7">
      <c r="D770" s="37"/>
      <c r="E770" s="37"/>
      <c r="F770" s="37"/>
      <c r="G770" s="37"/>
    </row>
    <row r="771" ht="15.75" customHeight="1" spans="4:7">
      <c r="D771" s="37"/>
      <c r="E771" s="37"/>
      <c r="F771" s="37"/>
      <c r="G771" s="37"/>
    </row>
    <row r="772" ht="15.75" customHeight="1" spans="4:7">
      <c r="D772" s="37"/>
      <c r="E772" s="37"/>
      <c r="F772" s="37"/>
      <c r="G772" s="37"/>
    </row>
    <row r="773" ht="15.75" customHeight="1" spans="4:7">
      <c r="D773" s="37"/>
      <c r="E773" s="37"/>
      <c r="F773" s="37"/>
      <c r="G773" s="37"/>
    </row>
    <row r="774" ht="15.75" customHeight="1" spans="4:7">
      <c r="D774" s="37"/>
      <c r="E774" s="37"/>
      <c r="F774" s="37"/>
      <c r="G774" s="37"/>
    </row>
    <row r="775" ht="15.75" customHeight="1" spans="4:7">
      <c r="D775" s="37"/>
      <c r="E775" s="37"/>
      <c r="F775" s="37"/>
      <c r="G775" s="37"/>
    </row>
    <row r="776" ht="15.75" customHeight="1" spans="4:7">
      <c r="D776" s="37"/>
      <c r="E776" s="37"/>
      <c r="F776" s="37"/>
      <c r="G776" s="37"/>
    </row>
    <row r="777" ht="15.75" customHeight="1" spans="4:7">
      <c r="D777" s="37"/>
      <c r="E777" s="37"/>
      <c r="F777" s="37"/>
      <c r="G777" s="37"/>
    </row>
    <row r="778" ht="15.75" customHeight="1" spans="4:7">
      <c r="D778" s="37"/>
      <c r="E778" s="37"/>
      <c r="F778" s="37"/>
      <c r="G778" s="37"/>
    </row>
    <row r="779" ht="15.75" customHeight="1" spans="4:7">
      <c r="D779" s="37"/>
      <c r="E779" s="37"/>
      <c r="F779" s="37"/>
      <c r="G779" s="37"/>
    </row>
    <row r="780" ht="15.75" customHeight="1" spans="4:7">
      <c r="D780" s="37"/>
      <c r="E780" s="37"/>
      <c r="F780" s="37"/>
      <c r="G780" s="37"/>
    </row>
    <row r="781" ht="15.75" customHeight="1" spans="4:7">
      <c r="D781" s="37"/>
      <c r="E781" s="37"/>
      <c r="F781" s="37"/>
      <c r="G781" s="37"/>
    </row>
    <row r="782" ht="15.75" customHeight="1" spans="4:7">
      <c r="D782" s="37"/>
      <c r="E782" s="37"/>
      <c r="F782" s="37"/>
      <c r="G782" s="37"/>
    </row>
    <row r="783" ht="15.75" customHeight="1" spans="4:7">
      <c r="D783" s="37"/>
      <c r="E783" s="37"/>
      <c r="F783" s="37"/>
      <c r="G783" s="37"/>
    </row>
    <row r="784" ht="15.75" customHeight="1" spans="4:7">
      <c r="D784" s="37"/>
      <c r="E784" s="37"/>
      <c r="F784" s="37"/>
      <c r="G784" s="37"/>
    </row>
    <row r="785" ht="15.75" customHeight="1" spans="4:7">
      <c r="D785" s="37"/>
      <c r="E785" s="37"/>
      <c r="F785" s="37"/>
      <c r="G785" s="37"/>
    </row>
    <row r="786" ht="15.75" customHeight="1" spans="4:7">
      <c r="D786" s="37"/>
      <c r="E786" s="37"/>
      <c r="F786" s="37"/>
      <c r="G786" s="37"/>
    </row>
    <row r="787" ht="15.75" customHeight="1" spans="4:7">
      <c r="D787" s="37"/>
      <c r="E787" s="37"/>
      <c r="F787" s="37"/>
      <c r="G787" s="37"/>
    </row>
    <row r="788" ht="15.75" customHeight="1" spans="4:7">
      <c r="D788" s="37"/>
      <c r="E788" s="37"/>
      <c r="F788" s="37"/>
      <c r="G788" s="37"/>
    </row>
    <row r="789" ht="15.75" customHeight="1" spans="4:7">
      <c r="D789" s="37"/>
      <c r="E789" s="37"/>
      <c r="F789" s="37"/>
      <c r="G789" s="37"/>
    </row>
    <row r="790" ht="15.75" customHeight="1" spans="4:7">
      <c r="D790" s="37"/>
      <c r="E790" s="37"/>
      <c r="F790" s="37"/>
      <c r="G790" s="37"/>
    </row>
    <row r="791" ht="15.75" customHeight="1" spans="4:7">
      <c r="D791" s="37"/>
      <c r="E791" s="37"/>
      <c r="F791" s="37"/>
      <c r="G791" s="37"/>
    </row>
    <row r="792" ht="15.75" customHeight="1" spans="4:7">
      <c r="D792" s="37"/>
      <c r="E792" s="37"/>
      <c r="F792" s="37"/>
      <c r="G792" s="37"/>
    </row>
    <row r="793" ht="15.75" customHeight="1" spans="4:7">
      <c r="D793" s="37"/>
      <c r="E793" s="37"/>
      <c r="F793" s="37"/>
      <c r="G793" s="37"/>
    </row>
    <row r="794" ht="15.75" customHeight="1" spans="4:7">
      <c r="D794" s="37"/>
      <c r="E794" s="37"/>
      <c r="F794" s="37"/>
      <c r="G794" s="37"/>
    </row>
    <row r="795" ht="15.75" customHeight="1" spans="4:7">
      <c r="D795" s="37"/>
      <c r="E795" s="37"/>
      <c r="F795" s="37"/>
      <c r="G795" s="37"/>
    </row>
    <row r="796" ht="15.75" customHeight="1" spans="4:7">
      <c r="D796" s="37"/>
      <c r="E796" s="37"/>
      <c r="F796" s="37"/>
      <c r="G796" s="37"/>
    </row>
    <row r="797" ht="15.75" customHeight="1" spans="4:7">
      <c r="D797" s="37"/>
      <c r="E797" s="37"/>
      <c r="F797" s="37"/>
      <c r="G797" s="37"/>
    </row>
    <row r="798" ht="15.75" customHeight="1" spans="4:7">
      <c r="D798" s="37"/>
      <c r="E798" s="37"/>
      <c r="F798" s="37"/>
      <c r="G798" s="37"/>
    </row>
    <row r="799" ht="15.75" customHeight="1" spans="4:7">
      <c r="D799" s="37"/>
      <c r="E799" s="37"/>
      <c r="F799" s="37"/>
      <c r="G799" s="37"/>
    </row>
    <row r="800" ht="15.75" customHeight="1" spans="4:7">
      <c r="D800" s="37"/>
      <c r="E800" s="37"/>
      <c r="F800" s="37"/>
      <c r="G800" s="37"/>
    </row>
    <row r="801" ht="15.75" customHeight="1" spans="4:7">
      <c r="D801" s="37"/>
      <c r="E801" s="37"/>
      <c r="F801" s="37"/>
      <c r="G801" s="37"/>
    </row>
    <row r="802" ht="15.75" customHeight="1" spans="4:7">
      <c r="D802" s="37"/>
      <c r="E802" s="37"/>
      <c r="F802" s="37"/>
      <c r="G802" s="37"/>
    </row>
    <row r="803" ht="15.75" customHeight="1" spans="4:7">
      <c r="D803" s="37"/>
      <c r="E803" s="37"/>
      <c r="F803" s="37"/>
      <c r="G803" s="37"/>
    </row>
    <row r="804" ht="15.75" customHeight="1" spans="4:7">
      <c r="D804" s="37"/>
      <c r="E804" s="37"/>
      <c r="F804" s="37"/>
      <c r="G804" s="37"/>
    </row>
    <row r="805" ht="15.75" customHeight="1" spans="4:7">
      <c r="D805" s="37"/>
      <c r="E805" s="37"/>
      <c r="F805" s="37"/>
      <c r="G805" s="37"/>
    </row>
    <row r="806" ht="15.75" customHeight="1" spans="4:7">
      <c r="D806" s="37"/>
      <c r="E806" s="37"/>
      <c r="F806" s="37"/>
      <c r="G806" s="37"/>
    </row>
    <row r="807" ht="15.75" customHeight="1" spans="4:7">
      <c r="D807" s="37"/>
      <c r="E807" s="37"/>
      <c r="F807" s="37"/>
      <c r="G807" s="37"/>
    </row>
    <row r="808" ht="15.75" customHeight="1" spans="4:7">
      <c r="D808" s="37"/>
      <c r="E808" s="37"/>
      <c r="F808" s="37"/>
      <c r="G808" s="37"/>
    </row>
    <row r="809" ht="15.75" customHeight="1" spans="4:7">
      <c r="D809" s="37"/>
      <c r="E809" s="37"/>
      <c r="F809" s="37"/>
      <c r="G809" s="37"/>
    </row>
    <row r="810" ht="15.75" customHeight="1" spans="4:7">
      <c r="D810" s="37"/>
      <c r="E810" s="37"/>
      <c r="F810" s="37"/>
      <c r="G810" s="37"/>
    </row>
    <row r="811" ht="15.75" customHeight="1" spans="4:7">
      <c r="D811" s="37"/>
      <c r="E811" s="37"/>
      <c r="F811" s="37"/>
      <c r="G811" s="37"/>
    </row>
    <row r="812" ht="15.75" customHeight="1" spans="4:7">
      <c r="D812" s="37"/>
      <c r="E812" s="37"/>
      <c r="F812" s="37"/>
      <c r="G812" s="37"/>
    </row>
    <row r="813" ht="15.75" customHeight="1" spans="4:7">
      <c r="D813" s="37"/>
      <c r="E813" s="37"/>
      <c r="F813" s="37"/>
      <c r="G813" s="37"/>
    </row>
    <row r="814" ht="15.75" customHeight="1" spans="4:7">
      <c r="D814" s="37"/>
      <c r="E814" s="37"/>
      <c r="F814" s="37"/>
      <c r="G814" s="37"/>
    </row>
    <row r="815" ht="15.75" customHeight="1" spans="4:7">
      <c r="D815" s="37"/>
      <c r="E815" s="37"/>
      <c r="F815" s="37"/>
      <c r="G815" s="37"/>
    </row>
    <row r="816" ht="15.75" customHeight="1" spans="4:7">
      <c r="D816" s="37"/>
      <c r="E816" s="37"/>
      <c r="F816" s="37"/>
      <c r="G816" s="37"/>
    </row>
    <row r="817" ht="15.75" customHeight="1" spans="4:7">
      <c r="D817" s="37"/>
      <c r="E817" s="37"/>
      <c r="F817" s="37"/>
      <c r="G817" s="37"/>
    </row>
    <row r="818" ht="15.75" customHeight="1" spans="4:7">
      <c r="D818" s="37"/>
      <c r="E818" s="37"/>
      <c r="F818" s="37"/>
      <c r="G818" s="37"/>
    </row>
    <row r="819" ht="15.75" customHeight="1" spans="4:7">
      <c r="D819" s="37"/>
      <c r="E819" s="37"/>
      <c r="F819" s="37"/>
      <c r="G819" s="37"/>
    </row>
    <row r="820" ht="15.75" customHeight="1" spans="4:7">
      <c r="D820" s="37"/>
      <c r="E820" s="37"/>
      <c r="F820" s="37"/>
      <c r="G820" s="37"/>
    </row>
    <row r="821" ht="15.75" customHeight="1" spans="4:7">
      <c r="D821" s="37"/>
      <c r="E821" s="37"/>
      <c r="F821" s="37"/>
      <c r="G821" s="37"/>
    </row>
    <row r="822" ht="15.75" customHeight="1" spans="4:7">
      <c r="D822" s="37"/>
      <c r="E822" s="37"/>
      <c r="F822" s="37"/>
      <c r="G822" s="37"/>
    </row>
    <row r="823" ht="15.75" customHeight="1" spans="4:7">
      <c r="D823" s="37"/>
      <c r="E823" s="37"/>
      <c r="F823" s="37"/>
      <c r="G823" s="37"/>
    </row>
    <row r="824" ht="15.75" customHeight="1" spans="4:7">
      <c r="D824" s="37"/>
      <c r="E824" s="37"/>
      <c r="F824" s="37"/>
      <c r="G824" s="37"/>
    </row>
    <row r="825" ht="15.75" customHeight="1" spans="4:7">
      <c r="D825" s="37"/>
      <c r="E825" s="37"/>
      <c r="F825" s="37"/>
      <c r="G825" s="37"/>
    </row>
    <row r="826" ht="15.75" customHeight="1" spans="4:7">
      <c r="D826" s="37"/>
      <c r="E826" s="37"/>
      <c r="F826" s="37"/>
      <c r="G826" s="37"/>
    </row>
    <row r="827" ht="15.75" customHeight="1" spans="4:7">
      <c r="D827" s="37"/>
      <c r="E827" s="37"/>
      <c r="F827" s="37"/>
      <c r="G827" s="37"/>
    </row>
    <row r="828" ht="15.75" customHeight="1" spans="4:7">
      <c r="D828" s="37"/>
      <c r="E828" s="37"/>
      <c r="F828" s="37"/>
      <c r="G828" s="37"/>
    </row>
    <row r="829" ht="15.75" customHeight="1" spans="4:7">
      <c r="D829" s="37"/>
      <c r="E829" s="37"/>
      <c r="F829" s="37"/>
      <c r="G829" s="37"/>
    </row>
    <row r="830" ht="15.75" customHeight="1" spans="4:7">
      <c r="D830" s="37"/>
      <c r="E830" s="37"/>
      <c r="F830" s="37"/>
      <c r="G830" s="37"/>
    </row>
    <row r="831" ht="15.75" customHeight="1" spans="4:7">
      <c r="D831" s="37"/>
      <c r="E831" s="37"/>
      <c r="F831" s="37"/>
      <c r="G831" s="37"/>
    </row>
    <row r="832" ht="15.75" customHeight="1" spans="4:7">
      <c r="D832" s="37"/>
      <c r="E832" s="37"/>
      <c r="F832" s="37"/>
      <c r="G832" s="37"/>
    </row>
    <row r="833" ht="15.75" customHeight="1" spans="4:7">
      <c r="D833" s="37"/>
      <c r="E833" s="37"/>
      <c r="F833" s="37"/>
      <c r="G833" s="37"/>
    </row>
    <row r="834" ht="15.75" customHeight="1" spans="4:7">
      <c r="D834" s="37"/>
      <c r="E834" s="37"/>
      <c r="F834" s="37"/>
      <c r="G834" s="37"/>
    </row>
    <row r="835" ht="15.75" customHeight="1" spans="4:7">
      <c r="D835" s="37"/>
      <c r="E835" s="37"/>
      <c r="F835" s="37"/>
      <c r="G835" s="37"/>
    </row>
    <row r="836" ht="15.75" customHeight="1" spans="4:7">
      <c r="D836" s="37"/>
      <c r="E836" s="37"/>
      <c r="F836" s="37"/>
      <c r="G836" s="37"/>
    </row>
    <row r="837" ht="15.75" customHeight="1" spans="4:7">
      <c r="D837" s="37"/>
      <c r="E837" s="37"/>
      <c r="F837" s="37"/>
      <c r="G837" s="37"/>
    </row>
    <row r="838" ht="15.75" customHeight="1" spans="4:7">
      <c r="D838" s="37"/>
      <c r="E838" s="37"/>
      <c r="F838" s="37"/>
      <c r="G838" s="37"/>
    </row>
    <row r="839" ht="15.75" customHeight="1" spans="4:7">
      <c r="D839" s="37"/>
      <c r="E839" s="37"/>
      <c r="F839" s="37"/>
      <c r="G839" s="37"/>
    </row>
    <row r="840" ht="15.75" customHeight="1" spans="4:7">
      <c r="D840" s="37"/>
      <c r="E840" s="37"/>
      <c r="F840" s="37"/>
      <c r="G840" s="37"/>
    </row>
    <row r="841" ht="15.75" customHeight="1" spans="4:7">
      <c r="D841" s="37"/>
      <c r="E841" s="37"/>
      <c r="F841" s="37"/>
      <c r="G841" s="37"/>
    </row>
    <row r="842" ht="15.75" customHeight="1" spans="4:7">
      <c r="D842" s="37"/>
      <c r="E842" s="37"/>
      <c r="F842" s="37"/>
      <c r="G842" s="37"/>
    </row>
    <row r="843" ht="15.75" customHeight="1" spans="4:7">
      <c r="D843" s="37"/>
      <c r="E843" s="37"/>
      <c r="F843" s="37"/>
      <c r="G843" s="37"/>
    </row>
    <row r="844" ht="15.75" customHeight="1" spans="4:7">
      <c r="D844" s="37"/>
      <c r="E844" s="37"/>
      <c r="F844" s="37"/>
      <c r="G844" s="37"/>
    </row>
    <row r="845" ht="15.75" customHeight="1" spans="4:7">
      <c r="D845" s="37"/>
      <c r="E845" s="37"/>
      <c r="F845" s="37"/>
      <c r="G845" s="37"/>
    </row>
    <row r="846" ht="15.75" customHeight="1" spans="4:7">
      <c r="D846" s="37"/>
      <c r="E846" s="37"/>
      <c r="F846" s="37"/>
      <c r="G846" s="37"/>
    </row>
    <row r="847" ht="15.75" customHeight="1" spans="4:7">
      <c r="D847" s="37"/>
      <c r="E847" s="37"/>
      <c r="F847" s="37"/>
      <c r="G847" s="37"/>
    </row>
    <row r="848" ht="15.75" customHeight="1" spans="4:7">
      <c r="D848" s="37"/>
      <c r="E848" s="37"/>
      <c r="F848" s="37"/>
      <c r="G848" s="37"/>
    </row>
    <row r="849" ht="15.75" customHeight="1" spans="4:7">
      <c r="D849" s="37"/>
      <c r="E849" s="37"/>
      <c r="F849" s="37"/>
      <c r="G849" s="37"/>
    </row>
    <row r="850" ht="15.75" customHeight="1" spans="4:7">
      <c r="D850" s="37"/>
      <c r="E850" s="37"/>
      <c r="F850" s="37"/>
      <c r="G850" s="37"/>
    </row>
    <row r="851" ht="15.75" customHeight="1" spans="4:7">
      <c r="D851" s="37"/>
      <c r="E851" s="37"/>
      <c r="F851" s="37"/>
      <c r="G851" s="37"/>
    </row>
    <row r="852" ht="15.75" customHeight="1" spans="4:7">
      <c r="D852" s="37"/>
      <c r="E852" s="37"/>
      <c r="F852" s="37"/>
      <c r="G852" s="37"/>
    </row>
    <row r="853" ht="15.75" customHeight="1" spans="4:7">
      <c r="D853" s="37"/>
      <c r="E853" s="37"/>
      <c r="F853" s="37"/>
      <c r="G853" s="37"/>
    </row>
    <row r="854" ht="15.75" customHeight="1" spans="4:7">
      <c r="D854" s="37"/>
      <c r="E854" s="37"/>
      <c r="F854" s="37"/>
      <c r="G854" s="37"/>
    </row>
    <row r="855" ht="15.75" customHeight="1" spans="4:7">
      <c r="D855" s="37"/>
      <c r="E855" s="37"/>
      <c r="F855" s="37"/>
      <c r="G855" s="37"/>
    </row>
    <row r="856" ht="15.75" customHeight="1" spans="4:7">
      <c r="D856" s="37"/>
      <c r="E856" s="37"/>
      <c r="F856" s="37"/>
      <c r="G856" s="37"/>
    </row>
    <row r="857" ht="15.75" customHeight="1" spans="4:7">
      <c r="D857" s="37"/>
      <c r="E857" s="37"/>
      <c r="F857" s="37"/>
      <c r="G857" s="37"/>
    </row>
    <row r="858" ht="15.75" customHeight="1" spans="4:7">
      <c r="D858" s="37"/>
      <c r="E858" s="37"/>
      <c r="F858" s="37"/>
      <c r="G858" s="37"/>
    </row>
    <row r="859" ht="15.75" customHeight="1" spans="4:7">
      <c r="D859" s="37"/>
      <c r="E859" s="37"/>
      <c r="F859" s="37"/>
      <c r="G859" s="37"/>
    </row>
    <row r="860" ht="15.75" customHeight="1" spans="4:7">
      <c r="D860" s="37"/>
      <c r="E860" s="37"/>
      <c r="F860" s="37"/>
      <c r="G860" s="37"/>
    </row>
    <row r="861" ht="15.75" customHeight="1" spans="4:7">
      <c r="D861" s="37"/>
      <c r="E861" s="37"/>
      <c r="F861" s="37"/>
      <c r="G861" s="37"/>
    </row>
    <row r="862" ht="15.75" customHeight="1" spans="4:7">
      <c r="D862" s="37"/>
      <c r="E862" s="37"/>
      <c r="F862" s="37"/>
      <c r="G862" s="37"/>
    </row>
    <row r="863" ht="15.75" customHeight="1" spans="4:7">
      <c r="D863" s="37"/>
      <c r="E863" s="37"/>
      <c r="F863" s="37"/>
      <c r="G863" s="37"/>
    </row>
    <row r="864" ht="15.75" customHeight="1" spans="4:7">
      <c r="D864" s="37"/>
      <c r="E864" s="37"/>
      <c r="F864" s="37"/>
      <c r="G864" s="37"/>
    </row>
    <row r="865" ht="15.75" customHeight="1" spans="4:7">
      <c r="D865" s="37"/>
      <c r="E865" s="37"/>
      <c r="F865" s="37"/>
      <c r="G865" s="37"/>
    </row>
    <row r="866" ht="15.75" customHeight="1" spans="4:7">
      <c r="D866" s="37"/>
      <c r="E866" s="37"/>
      <c r="F866" s="37"/>
      <c r="G866" s="37"/>
    </row>
    <row r="867" ht="15.75" customHeight="1" spans="4:7">
      <c r="D867" s="37"/>
      <c r="E867" s="37"/>
      <c r="F867" s="37"/>
      <c r="G867" s="37"/>
    </row>
    <row r="868" ht="15.75" customHeight="1" spans="4:7">
      <c r="D868" s="37"/>
      <c r="E868" s="37"/>
      <c r="F868" s="37"/>
      <c r="G868" s="37"/>
    </row>
    <row r="869" ht="15.75" customHeight="1" spans="4:7">
      <c r="D869" s="37"/>
      <c r="E869" s="37"/>
      <c r="F869" s="37"/>
      <c r="G869" s="37"/>
    </row>
    <row r="870" ht="15.75" customHeight="1" spans="4:7">
      <c r="D870" s="37"/>
      <c r="E870" s="37"/>
      <c r="F870" s="37"/>
      <c r="G870" s="37"/>
    </row>
    <row r="871" ht="15.75" customHeight="1" spans="4:7">
      <c r="D871" s="37"/>
      <c r="E871" s="37"/>
      <c r="F871" s="37"/>
      <c r="G871" s="37"/>
    </row>
    <row r="872" ht="15.75" customHeight="1" spans="4:7">
      <c r="D872" s="37"/>
      <c r="E872" s="37"/>
      <c r="F872" s="37"/>
      <c r="G872" s="37"/>
    </row>
    <row r="873" ht="15.75" customHeight="1" spans="4:7">
      <c r="D873" s="37"/>
      <c r="E873" s="37"/>
      <c r="F873" s="37"/>
      <c r="G873" s="37"/>
    </row>
    <row r="874" ht="15.75" customHeight="1" spans="4:7">
      <c r="D874" s="37"/>
      <c r="E874" s="37"/>
      <c r="F874" s="37"/>
      <c r="G874" s="37"/>
    </row>
    <row r="875" ht="15.75" customHeight="1" spans="4:7">
      <c r="D875" s="37"/>
      <c r="E875" s="37"/>
      <c r="F875" s="37"/>
      <c r="G875" s="37"/>
    </row>
    <row r="876" ht="15.75" customHeight="1" spans="4:7">
      <c r="D876" s="37"/>
      <c r="E876" s="37"/>
      <c r="F876" s="37"/>
      <c r="G876" s="37"/>
    </row>
    <row r="877" ht="15.75" customHeight="1" spans="4:7">
      <c r="D877" s="37"/>
      <c r="E877" s="37"/>
      <c r="F877" s="37"/>
      <c r="G877" s="37"/>
    </row>
    <row r="878" ht="15.75" customHeight="1" spans="4:7">
      <c r="D878" s="37"/>
      <c r="E878" s="37"/>
      <c r="F878" s="37"/>
      <c r="G878" s="37"/>
    </row>
    <row r="879" ht="15.75" customHeight="1" spans="4:7">
      <c r="D879" s="37"/>
      <c r="E879" s="37"/>
      <c r="F879" s="37"/>
      <c r="G879" s="37"/>
    </row>
    <row r="880" ht="15.75" customHeight="1" spans="4:7">
      <c r="D880" s="37"/>
      <c r="E880" s="37"/>
      <c r="F880" s="37"/>
      <c r="G880" s="37"/>
    </row>
    <row r="881" ht="15.75" customHeight="1" spans="4:7">
      <c r="D881" s="37"/>
      <c r="E881" s="37"/>
      <c r="F881" s="37"/>
      <c r="G881" s="37"/>
    </row>
    <row r="882" ht="15.75" customHeight="1" spans="4:7">
      <c r="D882" s="37"/>
      <c r="E882" s="37"/>
      <c r="F882" s="37"/>
      <c r="G882" s="37"/>
    </row>
    <row r="883" ht="15.75" customHeight="1" spans="4:7">
      <c r="D883" s="37"/>
      <c r="E883" s="37"/>
      <c r="F883" s="37"/>
      <c r="G883" s="37"/>
    </row>
    <row r="884" ht="15.75" customHeight="1" spans="4:7">
      <c r="D884" s="37"/>
      <c r="E884" s="37"/>
      <c r="F884" s="37"/>
      <c r="G884" s="37"/>
    </row>
    <row r="885" ht="15.75" customHeight="1" spans="4:7">
      <c r="D885" s="37"/>
      <c r="E885" s="37"/>
      <c r="F885" s="37"/>
      <c r="G885" s="37"/>
    </row>
    <row r="886" ht="15.75" customHeight="1" spans="4:7">
      <c r="D886" s="37"/>
      <c r="E886" s="37"/>
      <c r="F886" s="37"/>
      <c r="G886" s="37"/>
    </row>
    <row r="887" ht="15.75" customHeight="1" spans="4:7">
      <c r="D887" s="37"/>
      <c r="E887" s="37"/>
      <c r="F887" s="37"/>
      <c r="G887" s="37"/>
    </row>
    <row r="888" ht="15.75" customHeight="1" spans="4:7">
      <c r="D888" s="37"/>
      <c r="E888" s="37"/>
      <c r="F888" s="37"/>
      <c r="G888" s="37"/>
    </row>
    <row r="889" ht="15.75" customHeight="1" spans="4:7">
      <c r="D889" s="37"/>
      <c r="E889" s="37"/>
      <c r="F889" s="37"/>
      <c r="G889" s="37"/>
    </row>
    <row r="890" ht="15.75" customHeight="1" spans="4:7">
      <c r="D890" s="37"/>
      <c r="E890" s="37"/>
      <c r="F890" s="37"/>
      <c r="G890" s="37"/>
    </row>
    <row r="891" ht="15.75" customHeight="1" spans="4:7">
      <c r="D891" s="37"/>
      <c r="E891" s="37"/>
      <c r="F891" s="37"/>
      <c r="G891" s="37"/>
    </row>
    <row r="892" ht="15.75" customHeight="1" spans="4:7">
      <c r="D892" s="37"/>
      <c r="E892" s="37"/>
      <c r="F892" s="37"/>
      <c r="G892" s="37"/>
    </row>
    <row r="893" ht="15.75" customHeight="1" spans="4:7">
      <c r="D893" s="37"/>
      <c r="E893" s="37"/>
      <c r="F893" s="37"/>
      <c r="G893" s="37"/>
    </row>
    <row r="894" ht="15.75" customHeight="1" spans="4:7">
      <c r="D894" s="37"/>
      <c r="E894" s="37"/>
      <c r="F894" s="37"/>
      <c r="G894" s="37"/>
    </row>
    <row r="895" ht="15.75" customHeight="1" spans="4:7">
      <c r="D895" s="37"/>
      <c r="E895" s="37"/>
      <c r="F895" s="37"/>
      <c r="G895" s="37"/>
    </row>
    <row r="896" ht="15.75" customHeight="1" spans="4:7">
      <c r="D896" s="37"/>
      <c r="E896" s="37"/>
      <c r="F896" s="37"/>
      <c r="G896" s="37"/>
    </row>
    <row r="897" ht="15.75" customHeight="1" spans="4:7">
      <c r="D897" s="37"/>
      <c r="E897" s="37"/>
      <c r="F897" s="37"/>
      <c r="G897" s="37"/>
    </row>
    <row r="898" ht="15.75" customHeight="1" spans="4:7">
      <c r="D898" s="37"/>
      <c r="E898" s="37"/>
      <c r="F898" s="37"/>
      <c r="G898" s="37"/>
    </row>
    <row r="899" ht="15.75" customHeight="1" spans="4:7">
      <c r="D899" s="37"/>
      <c r="E899" s="37"/>
      <c r="F899" s="37"/>
      <c r="G899" s="37"/>
    </row>
    <row r="900" ht="15.75" customHeight="1" spans="4:7">
      <c r="D900" s="37"/>
      <c r="E900" s="37"/>
      <c r="F900" s="37"/>
      <c r="G900" s="37"/>
    </row>
    <row r="901" ht="15.75" customHeight="1" spans="4:7">
      <c r="D901" s="37"/>
      <c r="E901" s="37"/>
      <c r="F901" s="37"/>
      <c r="G901" s="37"/>
    </row>
    <row r="902" ht="15.75" customHeight="1" spans="4:7">
      <c r="D902" s="37"/>
      <c r="E902" s="37"/>
      <c r="F902" s="37"/>
      <c r="G902" s="37"/>
    </row>
    <row r="903" ht="15.75" customHeight="1" spans="4:7">
      <c r="D903" s="37"/>
      <c r="E903" s="37"/>
      <c r="F903" s="37"/>
      <c r="G903" s="37"/>
    </row>
    <row r="904" ht="15.75" customHeight="1" spans="4:7">
      <c r="D904" s="37"/>
      <c r="E904" s="37"/>
      <c r="F904" s="37"/>
      <c r="G904" s="37"/>
    </row>
    <row r="905" ht="15.75" customHeight="1" spans="4:7">
      <c r="D905" s="37"/>
      <c r="E905" s="37"/>
      <c r="F905" s="37"/>
      <c r="G905" s="37"/>
    </row>
    <row r="906" ht="15.75" customHeight="1" spans="4:7">
      <c r="D906" s="37"/>
      <c r="E906" s="37"/>
      <c r="F906" s="37"/>
      <c r="G906" s="37"/>
    </row>
    <row r="907" ht="15.75" customHeight="1" spans="4:7">
      <c r="D907" s="37"/>
      <c r="E907" s="37"/>
      <c r="F907" s="37"/>
      <c r="G907" s="37"/>
    </row>
    <row r="908" ht="15.75" customHeight="1" spans="4:7">
      <c r="D908" s="37"/>
      <c r="E908" s="37"/>
      <c r="F908" s="37"/>
      <c r="G908" s="37"/>
    </row>
    <row r="909" ht="15.75" customHeight="1" spans="4:7">
      <c r="D909" s="37"/>
      <c r="E909" s="37"/>
      <c r="F909" s="37"/>
      <c r="G909" s="37"/>
    </row>
    <row r="910" ht="15.75" customHeight="1" spans="4:7">
      <c r="D910" s="37"/>
      <c r="E910" s="37"/>
      <c r="F910" s="37"/>
      <c r="G910" s="37"/>
    </row>
    <row r="911" ht="15.75" customHeight="1" spans="4:7">
      <c r="D911" s="37"/>
      <c r="E911" s="37"/>
      <c r="F911" s="37"/>
      <c r="G911" s="37"/>
    </row>
    <row r="912" ht="15.75" customHeight="1" spans="4:7">
      <c r="D912" s="37"/>
      <c r="E912" s="37"/>
      <c r="F912" s="37"/>
      <c r="G912" s="37"/>
    </row>
    <row r="913" ht="15.75" customHeight="1" spans="4:7">
      <c r="D913" s="37"/>
      <c r="E913" s="37"/>
      <c r="F913" s="37"/>
      <c r="G913" s="37"/>
    </row>
    <row r="914" ht="15.75" customHeight="1" spans="4:7">
      <c r="D914" s="37"/>
      <c r="E914" s="37"/>
      <c r="F914" s="37"/>
      <c r="G914" s="37"/>
    </row>
    <row r="915" ht="15.75" customHeight="1" spans="4:7">
      <c r="D915" s="37"/>
      <c r="E915" s="37"/>
      <c r="F915" s="37"/>
      <c r="G915" s="37"/>
    </row>
    <row r="916" ht="15.75" customHeight="1" spans="4:7">
      <c r="D916" s="37"/>
      <c r="E916" s="37"/>
      <c r="F916" s="37"/>
      <c r="G916" s="37"/>
    </row>
    <row r="917" ht="15.75" customHeight="1" spans="4:7">
      <c r="D917" s="37"/>
      <c r="E917" s="37"/>
      <c r="F917" s="37"/>
      <c r="G917" s="37"/>
    </row>
    <row r="918" ht="15.75" customHeight="1" spans="4:7">
      <c r="D918" s="37"/>
      <c r="E918" s="37"/>
      <c r="F918" s="37"/>
      <c r="G918" s="37"/>
    </row>
    <row r="919" ht="15.75" customHeight="1" spans="4:7">
      <c r="D919" s="37"/>
      <c r="E919" s="37"/>
      <c r="F919" s="37"/>
      <c r="G919" s="37"/>
    </row>
    <row r="920" ht="15.75" customHeight="1" spans="4:7">
      <c r="D920" s="37"/>
      <c r="E920" s="37"/>
      <c r="F920" s="37"/>
      <c r="G920" s="37"/>
    </row>
    <row r="921" ht="15.75" customHeight="1" spans="4:7">
      <c r="D921" s="37"/>
      <c r="E921" s="37"/>
      <c r="F921" s="37"/>
      <c r="G921" s="37"/>
    </row>
    <row r="922" ht="15.75" customHeight="1" spans="4:7">
      <c r="D922" s="37"/>
      <c r="E922" s="37"/>
      <c r="F922" s="37"/>
      <c r="G922" s="37"/>
    </row>
    <row r="923" ht="15.75" customHeight="1" spans="4:7">
      <c r="D923" s="37"/>
      <c r="E923" s="37"/>
      <c r="F923" s="37"/>
      <c r="G923" s="37"/>
    </row>
    <row r="924" ht="15.75" customHeight="1" spans="4:7">
      <c r="D924" s="37"/>
      <c r="E924" s="37"/>
      <c r="F924" s="37"/>
      <c r="G924" s="37"/>
    </row>
    <row r="925" ht="15.75" customHeight="1" spans="4:7">
      <c r="D925" s="37"/>
      <c r="E925" s="37"/>
      <c r="F925" s="37"/>
      <c r="G925" s="37"/>
    </row>
    <row r="926" ht="15.75" customHeight="1" spans="4:7">
      <c r="D926" s="37"/>
      <c r="E926" s="37"/>
      <c r="F926" s="37"/>
      <c r="G926" s="37"/>
    </row>
    <row r="927" ht="15.75" customHeight="1" spans="4:7">
      <c r="D927" s="37"/>
      <c r="E927" s="37"/>
      <c r="F927" s="37"/>
      <c r="G927" s="37"/>
    </row>
    <row r="928" ht="15.75" customHeight="1" spans="4:7">
      <c r="D928" s="37"/>
      <c r="E928" s="37"/>
      <c r="F928" s="37"/>
      <c r="G928" s="37"/>
    </row>
    <row r="929" ht="15.75" customHeight="1" spans="4:7">
      <c r="D929" s="37"/>
      <c r="E929" s="37"/>
      <c r="F929" s="37"/>
      <c r="G929" s="37"/>
    </row>
    <row r="930" ht="15.75" customHeight="1" spans="4:7">
      <c r="D930" s="37"/>
      <c r="E930" s="37"/>
      <c r="F930" s="37"/>
      <c r="G930" s="37"/>
    </row>
    <row r="931" ht="15.75" customHeight="1" spans="4:7">
      <c r="D931" s="37"/>
      <c r="E931" s="37"/>
      <c r="F931" s="37"/>
      <c r="G931" s="37"/>
    </row>
    <row r="932" ht="15.75" customHeight="1" spans="4:7">
      <c r="D932" s="37"/>
      <c r="E932" s="37"/>
      <c r="F932" s="37"/>
      <c r="G932" s="37"/>
    </row>
    <row r="933" ht="15.75" customHeight="1" spans="4:7">
      <c r="D933" s="37"/>
      <c r="E933" s="37"/>
      <c r="F933" s="37"/>
      <c r="G933" s="37"/>
    </row>
    <row r="934" ht="15.75" customHeight="1" spans="4:7">
      <c r="D934" s="37"/>
      <c r="E934" s="37"/>
      <c r="F934" s="37"/>
      <c r="G934" s="37"/>
    </row>
    <row r="935" ht="15.75" customHeight="1" spans="4:7">
      <c r="D935" s="37"/>
      <c r="E935" s="37"/>
      <c r="F935" s="37"/>
      <c r="G935" s="37"/>
    </row>
    <row r="936" ht="15.75" customHeight="1" spans="4:7">
      <c r="D936" s="37"/>
      <c r="E936" s="37"/>
      <c r="F936" s="37"/>
      <c r="G936" s="37"/>
    </row>
    <row r="937" ht="15.75" customHeight="1" spans="4:7">
      <c r="D937" s="37"/>
      <c r="E937" s="37"/>
      <c r="F937" s="37"/>
      <c r="G937" s="37"/>
    </row>
    <row r="938" ht="15.75" customHeight="1" spans="4:7">
      <c r="D938" s="37"/>
      <c r="E938" s="37"/>
      <c r="F938" s="37"/>
      <c r="G938" s="37"/>
    </row>
    <row r="939" ht="15.75" customHeight="1" spans="4:7">
      <c r="D939" s="37"/>
      <c r="E939" s="37"/>
      <c r="F939" s="37"/>
      <c r="G939" s="37"/>
    </row>
    <row r="940" ht="15.75" customHeight="1" spans="4:7">
      <c r="D940" s="37"/>
      <c r="E940" s="37"/>
      <c r="F940" s="37"/>
      <c r="G940" s="37"/>
    </row>
    <row r="941" ht="15.75" customHeight="1" spans="4:7">
      <c r="D941" s="37"/>
      <c r="E941" s="37"/>
      <c r="F941" s="37"/>
      <c r="G941" s="37"/>
    </row>
    <row r="942" ht="15.75" customHeight="1" spans="4:7">
      <c r="D942" s="37"/>
      <c r="E942" s="37"/>
      <c r="F942" s="37"/>
      <c r="G942" s="37"/>
    </row>
    <row r="943" ht="15.75" customHeight="1" spans="4:7">
      <c r="D943" s="37"/>
      <c r="E943" s="37"/>
      <c r="F943" s="37"/>
      <c r="G943" s="37"/>
    </row>
    <row r="944" ht="15.75" customHeight="1" spans="4:7">
      <c r="D944" s="37"/>
      <c r="E944" s="37"/>
      <c r="F944" s="37"/>
      <c r="G944" s="37"/>
    </row>
    <row r="945" ht="15.75" customHeight="1" spans="4:7">
      <c r="D945" s="37"/>
      <c r="E945" s="37"/>
      <c r="F945" s="37"/>
      <c r="G945" s="37"/>
    </row>
    <row r="946" ht="15.75" customHeight="1" spans="4:7">
      <c r="D946" s="37"/>
      <c r="E946" s="37"/>
      <c r="F946" s="37"/>
      <c r="G946" s="37"/>
    </row>
    <row r="947" ht="15.75" customHeight="1" spans="4:7">
      <c r="D947" s="37"/>
      <c r="E947" s="37"/>
      <c r="F947" s="37"/>
      <c r="G947" s="37"/>
    </row>
    <row r="948" ht="15.75" customHeight="1" spans="4:7">
      <c r="D948" s="37"/>
      <c r="E948" s="37"/>
      <c r="F948" s="37"/>
      <c r="G948" s="37"/>
    </row>
    <row r="949" ht="15.75" customHeight="1" spans="4:7">
      <c r="D949" s="37"/>
      <c r="E949" s="37"/>
      <c r="F949" s="37"/>
      <c r="G949" s="37"/>
    </row>
    <row r="950" ht="15.75" customHeight="1" spans="4:7">
      <c r="D950" s="37"/>
      <c r="E950" s="37"/>
      <c r="F950" s="37"/>
      <c r="G950" s="37"/>
    </row>
    <row r="951" ht="15.75" customHeight="1" spans="4:7">
      <c r="D951" s="37"/>
      <c r="E951" s="37"/>
      <c r="F951" s="37"/>
      <c r="G951" s="37"/>
    </row>
    <row r="952" ht="15.75" customHeight="1" spans="4:7">
      <c r="D952" s="37"/>
      <c r="E952" s="37"/>
      <c r="F952" s="37"/>
      <c r="G952" s="37"/>
    </row>
    <row r="953" ht="15.75" customHeight="1" spans="4:7">
      <c r="D953" s="37"/>
      <c r="E953" s="37"/>
      <c r="F953" s="37"/>
      <c r="G953" s="37"/>
    </row>
    <row r="954" ht="15.75" customHeight="1" spans="4:7">
      <c r="D954" s="37"/>
      <c r="E954" s="37"/>
      <c r="F954" s="37"/>
      <c r="G954" s="37"/>
    </row>
    <row r="955" ht="15.75" customHeight="1" spans="4:7">
      <c r="D955" s="37"/>
      <c r="E955" s="37"/>
      <c r="F955" s="37"/>
      <c r="G955" s="37"/>
    </row>
    <row r="956" ht="15.75" customHeight="1" spans="4:7">
      <c r="D956" s="37"/>
      <c r="E956" s="37"/>
      <c r="F956" s="37"/>
      <c r="G956" s="37"/>
    </row>
    <row r="957" ht="15.75" customHeight="1" spans="4:7">
      <c r="D957" s="37"/>
      <c r="E957" s="37"/>
      <c r="F957" s="37"/>
      <c r="G957" s="37"/>
    </row>
    <row r="958" ht="15.75" customHeight="1" spans="4:7">
      <c r="D958" s="37"/>
      <c r="E958" s="37"/>
      <c r="F958" s="37"/>
      <c r="G958" s="37"/>
    </row>
    <row r="959" ht="15.75" customHeight="1" spans="4:7">
      <c r="D959" s="37"/>
      <c r="E959" s="37"/>
      <c r="F959" s="37"/>
      <c r="G959" s="37"/>
    </row>
    <row r="960" ht="15.75" customHeight="1" spans="4:7">
      <c r="D960" s="37"/>
      <c r="E960" s="37"/>
      <c r="F960" s="37"/>
      <c r="G960" s="37"/>
    </row>
    <row r="961" ht="15.75" customHeight="1" spans="4:7">
      <c r="D961" s="37"/>
      <c r="E961" s="37"/>
      <c r="F961" s="37"/>
      <c r="G961" s="37"/>
    </row>
    <row r="962" ht="15.75" customHeight="1" spans="4:7">
      <c r="D962" s="37"/>
      <c r="E962" s="37"/>
      <c r="F962" s="37"/>
      <c r="G962" s="37"/>
    </row>
    <row r="963" ht="15.75" customHeight="1" spans="4:7">
      <c r="D963" s="37"/>
      <c r="E963" s="37"/>
      <c r="F963" s="37"/>
      <c r="G963" s="37"/>
    </row>
    <row r="964" ht="15.75" customHeight="1" spans="4:7">
      <c r="D964" s="37"/>
      <c r="E964" s="37"/>
      <c r="F964" s="37"/>
      <c r="G964" s="37"/>
    </row>
    <row r="965" ht="15.75" customHeight="1" spans="4:7">
      <c r="D965" s="37"/>
      <c r="E965" s="37"/>
      <c r="F965" s="37"/>
      <c r="G965" s="37"/>
    </row>
    <row r="966" ht="15.75" customHeight="1" spans="4:7">
      <c r="D966" s="37"/>
      <c r="E966" s="37"/>
      <c r="F966" s="37"/>
      <c r="G966" s="37"/>
    </row>
    <row r="967" ht="15.75" customHeight="1" spans="4:7">
      <c r="D967" s="37"/>
      <c r="E967" s="37"/>
      <c r="F967" s="37"/>
      <c r="G967" s="37"/>
    </row>
    <row r="968" ht="15.75" customHeight="1" spans="4:7">
      <c r="D968" s="37"/>
      <c r="E968" s="37"/>
      <c r="F968" s="37"/>
      <c r="G968" s="37"/>
    </row>
    <row r="969" ht="15.75" customHeight="1" spans="4:7">
      <c r="D969" s="37"/>
      <c r="E969" s="37"/>
      <c r="F969" s="37"/>
      <c r="G969" s="37"/>
    </row>
    <row r="970" ht="15.75" customHeight="1" spans="4:7">
      <c r="D970" s="37"/>
      <c r="E970" s="37"/>
      <c r="F970" s="37"/>
      <c r="G970" s="37"/>
    </row>
    <row r="971" ht="15.75" customHeight="1" spans="4:7">
      <c r="D971" s="37"/>
      <c r="E971" s="37"/>
      <c r="F971" s="37"/>
      <c r="G971" s="37"/>
    </row>
    <row r="972" ht="15.75" customHeight="1" spans="4:7">
      <c r="D972" s="37"/>
      <c r="E972" s="37"/>
      <c r="F972" s="37"/>
      <c r="G972" s="37"/>
    </row>
    <row r="973" ht="15.75" customHeight="1" spans="4:7">
      <c r="D973" s="37"/>
      <c r="E973" s="37"/>
      <c r="F973" s="37"/>
      <c r="G973" s="37"/>
    </row>
    <row r="974" ht="15.75" customHeight="1" spans="4:7">
      <c r="D974" s="37"/>
      <c r="E974" s="37"/>
      <c r="F974" s="37"/>
      <c r="G974" s="37"/>
    </row>
    <row r="975" ht="15.75" customHeight="1" spans="4:7">
      <c r="D975" s="37"/>
      <c r="E975" s="37"/>
      <c r="F975" s="37"/>
      <c r="G975" s="37"/>
    </row>
    <row r="976" ht="15.75" customHeight="1" spans="4:7">
      <c r="D976" s="37"/>
      <c r="E976" s="37"/>
      <c r="F976" s="37"/>
      <c r="G976" s="37"/>
    </row>
    <row r="977" ht="15.75" customHeight="1" spans="4:7">
      <c r="D977" s="37"/>
      <c r="E977" s="37"/>
      <c r="F977" s="37"/>
      <c r="G977" s="37"/>
    </row>
    <row r="978" ht="15.75" customHeight="1" spans="4:7">
      <c r="D978" s="37"/>
      <c r="E978" s="37"/>
      <c r="F978" s="37"/>
      <c r="G978" s="37"/>
    </row>
    <row r="979" ht="15.75" customHeight="1" spans="4:7">
      <c r="D979" s="37"/>
      <c r="E979" s="37"/>
      <c r="F979" s="37"/>
      <c r="G979" s="37"/>
    </row>
    <row r="980" ht="15.75" customHeight="1" spans="4:7">
      <c r="D980" s="37"/>
      <c r="E980" s="37"/>
      <c r="F980" s="37"/>
      <c r="G980" s="37"/>
    </row>
    <row r="981" ht="15.75" customHeight="1" spans="4:7">
      <c r="D981" s="37"/>
      <c r="E981" s="37"/>
      <c r="F981" s="37"/>
      <c r="G981" s="37"/>
    </row>
    <row r="982" ht="15.75" customHeight="1" spans="4:7">
      <c r="D982" s="37"/>
      <c r="E982" s="37"/>
      <c r="F982" s="37"/>
      <c r="G982" s="37"/>
    </row>
    <row r="983" ht="15.75" customHeight="1" spans="4:7">
      <c r="D983" s="37"/>
      <c r="E983" s="37"/>
      <c r="F983" s="37"/>
      <c r="G983" s="37"/>
    </row>
    <row r="984" ht="15.75" customHeight="1" spans="4:7">
      <c r="D984" s="37"/>
      <c r="E984" s="37"/>
      <c r="F984" s="37"/>
      <c r="G984" s="37"/>
    </row>
    <row r="985" ht="15.75" customHeight="1" spans="4:7">
      <c r="D985" s="37"/>
      <c r="E985" s="37"/>
      <c r="F985" s="37"/>
      <c r="G985" s="37"/>
    </row>
    <row r="986" ht="15.75" customHeight="1" spans="4:7">
      <c r="D986" s="37"/>
      <c r="E986" s="37"/>
      <c r="F986" s="37"/>
      <c r="G986" s="37"/>
    </row>
    <row r="987" ht="15.75" customHeight="1" spans="4:7">
      <c r="D987" s="37"/>
      <c r="E987" s="37"/>
      <c r="F987" s="37"/>
      <c r="G987" s="37"/>
    </row>
    <row r="988" ht="15.75" customHeight="1" spans="4:7">
      <c r="D988" s="37"/>
      <c r="E988" s="37"/>
      <c r="F988" s="37"/>
      <c r="G988" s="37"/>
    </row>
    <row r="989" ht="15.75" customHeight="1" spans="4:7">
      <c r="D989" s="37"/>
      <c r="E989" s="37"/>
      <c r="F989" s="37"/>
      <c r="G989" s="37"/>
    </row>
    <row r="990" ht="15.75" customHeight="1" spans="4:7">
      <c r="D990" s="37"/>
      <c r="E990" s="37"/>
      <c r="F990" s="37"/>
      <c r="G990" s="37"/>
    </row>
    <row r="991" ht="15.75" customHeight="1" spans="4:7">
      <c r="D991" s="37"/>
      <c r="E991" s="37"/>
      <c r="F991" s="37"/>
      <c r="G991" s="37"/>
    </row>
    <row r="992" ht="15.75" customHeight="1" spans="4:7">
      <c r="D992" s="37"/>
      <c r="E992" s="37"/>
      <c r="F992" s="37"/>
      <c r="G992" s="37"/>
    </row>
    <row r="993" ht="15.75" customHeight="1" spans="4:7">
      <c r="D993" s="37"/>
      <c r="E993" s="37"/>
      <c r="F993" s="37"/>
      <c r="G993" s="37"/>
    </row>
    <row r="994" ht="15.75" customHeight="1" spans="4:7">
      <c r="D994" s="37"/>
      <c r="E994" s="37"/>
      <c r="F994" s="37"/>
      <c r="G994" s="37"/>
    </row>
    <row r="995" ht="15.75" customHeight="1" spans="4:7">
      <c r="D995" s="37"/>
      <c r="E995" s="37"/>
      <c r="F995" s="37"/>
      <c r="G995" s="37"/>
    </row>
    <row r="996" ht="15.75" customHeight="1" spans="4:7">
      <c r="D996" s="37"/>
      <c r="E996" s="37"/>
      <c r="F996" s="37"/>
      <c r="G996" s="37"/>
    </row>
    <row r="997" ht="15.75" customHeight="1" spans="4:7">
      <c r="D997" s="37"/>
      <c r="E997" s="37"/>
      <c r="F997" s="37"/>
      <c r="G997" s="37"/>
    </row>
    <row r="998" ht="15.75" customHeight="1" spans="4:7">
      <c r="D998" s="37"/>
      <c r="E998" s="37"/>
      <c r="F998" s="37"/>
      <c r="G998" s="37"/>
    </row>
    <row r="999" ht="15.75" customHeight="1" spans="4:7">
      <c r="D999" s="37"/>
      <c r="E999" s="37"/>
      <c r="F999" s="37"/>
      <c r="G999" s="37"/>
    </row>
    <row r="1000" ht="15.75" customHeight="1" spans="4:7">
      <c r="D1000" s="37"/>
      <c r="E1000" s="37"/>
      <c r="F1000" s="37"/>
      <c r="G1000" s="37"/>
    </row>
  </sheetData>
  <pageMargins left="0.511811024" right="0.511811024" top="0.787401575" bottom="0.787401575" header="0" footer="0"/>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4.4285714285714" defaultRowHeight="15" customHeight="1" outlineLevelCol="6"/>
  <cols>
    <col min="1" max="1" width="23.4285714285714" customWidth="1"/>
    <col min="2" max="2" width="33.5714285714286" customWidth="1"/>
    <col min="3" max="3" width="6.42857142857143" customWidth="1"/>
    <col min="4" max="4" width="42.8571428571429" customWidth="1"/>
    <col min="5" max="5" width="37.4285714285714" customWidth="1"/>
    <col min="6" max="7" width="33.4285714285714" customWidth="1"/>
    <col min="8" max="26" width="8.71428571428571" customWidth="1"/>
  </cols>
  <sheetData>
    <row r="1" ht="30" spans="1:7">
      <c r="A1" s="60" t="s">
        <v>1051</v>
      </c>
      <c r="B1" s="13" t="s">
        <v>1052</v>
      </c>
      <c r="C1" s="13" t="s">
        <v>1053</v>
      </c>
      <c r="D1" s="117" t="s">
        <v>1054</v>
      </c>
      <c r="E1" s="117" t="s">
        <v>1055</v>
      </c>
      <c r="F1" s="117" t="s">
        <v>1056</v>
      </c>
      <c r="G1" s="117" t="s">
        <v>1057</v>
      </c>
    </row>
    <row r="2" ht="15.75" spans="1:7">
      <c r="A2" s="118" t="s">
        <v>1069</v>
      </c>
      <c r="B2" s="4" t="s">
        <v>1070</v>
      </c>
      <c r="C2" s="13">
        <v>2013</v>
      </c>
      <c r="D2" s="17">
        <v>0.014</v>
      </c>
      <c r="E2" s="18">
        <v>0.02</v>
      </c>
      <c r="F2" s="18">
        <v>0.0001456</v>
      </c>
      <c r="G2" s="18">
        <v>0.000208</v>
      </c>
    </row>
    <row r="3" ht="15.75" spans="1:7">
      <c r="A3" s="118" t="s">
        <v>1069</v>
      </c>
      <c r="B3" s="4" t="s">
        <v>1071</v>
      </c>
      <c r="C3" s="13">
        <v>2013</v>
      </c>
      <c r="D3" s="17">
        <v>0.06</v>
      </c>
      <c r="E3" s="18">
        <v>0.03</v>
      </c>
      <c r="F3" s="18">
        <v>0.000204</v>
      </c>
      <c r="G3" s="18">
        <v>0.000102</v>
      </c>
    </row>
    <row r="4" ht="15.75" spans="1:7">
      <c r="A4" s="118" t="s">
        <v>1069</v>
      </c>
      <c r="B4" s="4" t="s">
        <v>1072</v>
      </c>
      <c r="C4" s="13">
        <v>2013</v>
      </c>
      <c r="D4" s="17">
        <v>0.06</v>
      </c>
      <c r="E4" s="18">
        <v>0.03</v>
      </c>
      <c r="F4" s="18">
        <v>0.0002028</v>
      </c>
      <c r="G4" s="18">
        <v>0.0001014</v>
      </c>
    </row>
    <row r="5" ht="15.75" spans="1:7">
      <c r="A5" s="118" t="s">
        <v>1069</v>
      </c>
      <c r="B5" s="4" t="s">
        <v>1073</v>
      </c>
      <c r="C5" s="13">
        <v>2013</v>
      </c>
      <c r="D5" s="17">
        <v>0.06</v>
      </c>
      <c r="E5" s="18">
        <v>0.03</v>
      </c>
      <c r="F5" s="18">
        <v>0.000126</v>
      </c>
      <c r="G5" s="18">
        <v>6.3e-5</v>
      </c>
    </row>
    <row r="6" ht="15.75" spans="1:7">
      <c r="A6" s="118" t="s">
        <v>1069</v>
      </c>
      <c r="B6" s="4" t="s">
        <v>1070</v>
      </c>
      <c r="C6" s="13">
        <v>2014</v>
      </c>
      <c r="D6" s="17">
        <v>0.013</v>
      </c>
      <c r="E6" s="18">
        <v>0.02</v>
      </c>
      <c r="F6" s="18">
        <v>0.0001352</v>
      </c>
      <c r="G6" s="18">
        <v>0.000208</v>
      </c>
    </row>
    <row r="7" ht="15.75" spans="1:7">
      <c r="A7" s="118" t="s">
        <v>1069</v>
      </c>
      <c r="B7" s="4" t="s">
        <v>1071</v>
      </c>
      <c r="C7" s="13">
        <v>2014</v>
      </c>
      <c r="D7" s="17">
        <v>0.06</v>
      </c>
      <c r="E7" s="18">
        <v>0.03</v>
      </c>
      <c r="F7" s="18">
        <v>0.000204</v>
      </c>
      <c r="G7" s="18">
        <v>0.000102</v>
      </c>
    </row>
    <row r="8" ht="15.75" spans="1:7">
      <c r="A8" s="118" t="s">
        <v>1069</v>
      </c>
      <c r="B8" s="4" t="s">
        <v>1072</v>
      </c>
      <c r="C8" s="13">
        <v>2014</v>
      </c>
      <c r="D8" s="17">
        <v>0.06</v>
      </c>
      <c r="E8" s="18">
        <v>0.03</v>
      </c>
      <c r="F8" s="18">
        <v>0.0002028</v>
      </c>
      <c r="G8" s="18">
        <v>0.0001014</v>
      </c>
    </row>
    <row r="9" ht="15.75" spans="1:7">
      <c r="A9" s="118" t="s">
        <v>1069</v>
      </c>
      <c r="B9" s="4" t="s">
        <v>1073</v>
      </c>
      <c r="C9" s="13">
        <v>2014</v>
      </c>
      <c r="D9" s="17">
        <v>0.06</v>
      </c>
      <c r="E9" s="18">
        <v>0.03</v>
      </c>
      <c r="F9" s="18">
        <v>0.000126</v>
      </c>
      <c r="G9" s="18">
        <v>6.3e-5</v>
      </c>
    </row>
    <row r="10" ht="15.75" spans="1:7">
      <c r="A10" s="118" t="s">
        <v>1069</v>
      </c>
      <c r="B10" s="4" t="s">
        <v>1070</v>
      </c>
      <c r="C10" s="13">
        <v>2015</v>
      </c>
      <c r="D10" s="17">
        <v>0.012</v>
      </c>
      <c r="E10" s="18">
        <v>0.02</v>
      </c>
      <c r="F10" s="18">
        <v>0.0001272</v>
      </c>
      <c r="G10" s="18">
        <v>0.000212</v>
      </c>
    </row>
    <row r="11" ht="15.75" spans="1:7">
      <c r="A11" s="118" t="s">
        <v>1069</v>
      </c>
      <c r="B11" s="4" t="s">
        <v>1071</v>
      </c>
      <c r="C11" s="13">
        <v>2015</v>
      </c>
      <c r="D11" s="17">
        <v>0.06</v>
      </c>
      <c r="E11" s="18">
        <v>0.03</v>
      </c>
      <c r="F11" s="18">
        <v>0.000198</v>
      </c>
      <c r="G11" s="18">
        <v>9.9e-5</v>
      </c>
    </row>
    <row r="12" ht="15.75" spans="1:7">
      <c r="A12" s="118" t="s">
        <v>1069</v>
      </c>
      <c r="B12" s="4" t="s">
        <v>1072</v>
      </c>
      <c r="C12" s="13">
        <v>2015</v>
      </c>
      <c r="D12" s="17">
        <v>0.06</v>
      </c>
      <c r="E12" s="18">
        <v>0.03</v>
      </c>
      <c r="F12" s="18">
        <v>0.000204</v>
      </c>
      <c r="G12" s="18">
        <v>0.000102</v>
      </c>
    </row>
    <row r="13" ht="15.75" spans="1:7">
      <c r="A13" s="118" t="s">
        <v>1069</v>
      </c>
      <c r="B13" s="4" t="s">
        <v>1073</v>
      </c>
      <c r="C13" s="13">
        <v>2015</v>
      </c>
      <c r="D13" s="31">
        <v>0.06</v>
      </c>
      <c r="E13" s="18">
        <v>0.03</v>
      </c>
      <c r="F13" s="18">
        <v>0.000126</v>
      </c>
      <c r="G13" s="18">
        <v>6.3e-5</v>
      </c>
    </row>
    <row r="14" ht="15.75" spans="1:7">
      <c r="A14" s="118" t="s">
        <v>1069</v>
      </c>
      <c r="B14" s="4" t="s">
        <v>1070</v>
      </c>
      <c r="C14" s="13">
        <v>2016</v>
      </c>
      <c r="D14" s="18">
        <v>0.012</v>
      </c>
      <c r="E14" s="18">
        <v>0.02</v>
      </c>
      <c r="F14" s="18">
        <v>0.0001296</v>
      </c>
      <c r="G14" s="18">
        <v>0.000216</v>
      </c>
    </row>
    <row r="15" ht="15.75" spans="1:7">
      <c r="A15" s="118" t="s">
        <v>1069</v>
      </c>
      <c r="B15" s="4" t="s">
        <v>1071</v>
      </c>
      <c r="C15" s="13">
        <v>2016</v>
      </c>
      <c r="D15" s="18">
        <v>0.06</v>
      </c>
      <c r="E15" s="18">
        <v>0.03</v>
      </c>
      <c r="F15" s="18">
        <v>0.000198</v>
      </c>
      <c r="G15" s="18">
        <v>9.9e-5</v>
      </c>
    </row>
    <row r="16" ht="15.75" spans="1:7">
      <c r="A16" s="118" t="s">
        <v>1069</v>
      </c>
      <c r="B16" s="4" t="s">
        <v>1072</v>
      </c>
      <c r="C16" s="13">
        <v>2016</v>
      </c>
      <c r="D16" s="18">
        <v>0.06</v>
      </c>
      <c r="E16" s="18">
        <v>0.03</v>
      </c>
      <c r="F16" s="18">
        <v>0.000204</v>
      </c>
      <c r="G16" s="18">
        <v>0.000102</v>
      </c>
    </row>
    <row r="17" ht="15.75" spans="1:7">
      <c r="A17" s="118" t="s">
        <v>1069</v>
      </c>
      <c r="B17" s="4" t="s">
        <v>1073</v>
      </c>
      <c r="C17" s="13">
        <v>2016</v>
      </c>
      <c r="D17" s="18">
        <v>0.06</v>
      </c>
      <c r="E17" s="18">
        <v>0.03</v>
      </c>
      <c r="F17" s="18">
        <v>0.000126</v>
      </c>
      <c r="G17" s="18">
        <v>6.3e-5</v>
      </c>
    </row>
    <row r="18" ht="15.75" spans="1:7">
      <c r="A18" s="118" t="s">
        <v>1069</v>
      </c>
      <c r="B18" s="4" t="s">
        <v>1070</v>
      </c>
      <c r="C18" s="13">
        <v>2017</v>
      </c>
      <c r="D18" s="18">
        <v>0.01</v>
      </c>
      <c r="E18" s="18">
        <v>0.02</v>
      </c>
      <c r="F18" s="18">
        <v>0.000108</v>
      </c>
      <c r="G18" s="18">
        <v>0.000216</v>
      </c>
    </row>
    <row r="19" ht="15.75" spans="1:7">
      <c r="A19" s="118" t="s">
        <v>1069</v>
      </c>
      <c r="B19" s="4" t="s">
        <v>1071</v>
      </c>
      <c r="C19" s="13">
        <v>2017</v>
      </c>
      <c r="D19" s="18">
        <v>0.06</v>
      </c>
      <c r="E19" s="18">
        <v>0.03</v>
      </c>
      <c r="F19" s="18">
        <v>0.000198</v>
      </c>
      <c r="G19" s="18">
        <v>9.9e-5</v>
      </c>
    </row>
    <row r="20" ht="15.75" spans="1:7">
      <c r="A20" s="118" t="s">
        <v>1069</v>
      </c>
      <c r="B20" s="4" t="s">
        <v>1072</v>
      </c>
      <c r="C20" s="13">
        <v>2017</v>
      </c>
      <c r="D20" s="18">
        <v>0.06</v>
      </c>
      <c r="E20" s="18">
        <v>0.03</v>
      </c>
      <c r="F20" s="18">
        <v>0.000204</v>
      </c>
      <c r="G20" s="18">
        <v>0.000102</v>
      </c>
    </row>
    <row r="21" ht="15.75" customHeight="1" spans="1:7">
      <c r="A21" s="118" t="s">
        <v>1069</v>
      </c>
      <c r="B21" s="4" t="s">
        <v>1073</v>
      </c>
      <c r="C21" s="13">
        <v>2017</v>
      </c>
      <c r="D21" s="18">
        <v>0.06</v>
      </c>
      <c r="E21" s="18">
        <v>0.03</v>
      </c>
      <c r="F21" s="18">
        <v>0.000126</v>
      </c>
      <c r="G21" s="18">
        <v>6.3e-5</v>
      </c>
    </row>
    <row r="22" ht="15.75" customHeight="1" spans="1:7">
      <c r="A22" s="118" t="s">
        <v>1069</v>
      </c>
      <c r="B22" s="4" t="s">
        <v>1070</v>
      </c>
      <c r="C22" s="13">
        <v>2018</v>
      </c>
      <c r="D22" s="18">
        <v>0.011</v>
      </c>
      <c r="E22" s="18">
        <v>0.02</v>
      </c>
      <c r="F22" s="18">
        <v>0.0001221</v>
      </c>
      <c r="G22" s="18">
        <v>0.000222</v>
      </c>
    </row>
    <row r="23" ht="15.75" customHeight="1" spans="1:7">
      <c r="A23" s="118" t="s">
        <v>1069</v>
      </c>
      <c r="B23" s="4" t="s">
        <v>1071</v>
      </c>
      <c r="C23" s="13">
        <v>2018</v>
      </c>
      <c r="D23" s="18">
        <v>0.06</v>
      </c>
      <c r="E23" s="18">
        <v>0.03</v>
      </c>
      <c r="F23" s="18">
        <v>0.000198</v>
      </c>
      <c r="G23" s="18">
        <v>9.9e-5</v>
      </c>
    </row>
    <row r="24" ht="15.75" customHeight="1" spans="1:7">
      <c r="A24" s="118" t="s">
        <v>1069</v>
      </c>
      <c r="B24" s="4" t="s">
        <v>1072</v>
      </c>
      <c r="C24" s="13">
        <v>2018</v>
      </c>
      <c r="D24" s="18">
        <v>0.06</v>
      </c>
      <c r="E24" s="18">
        <v>0.03</v>
      </c>
      <c r="F24" s="18">
        <v>0.000204</v>
      </c>
      <c r="G24" s="18">
        <v>0.000102</v>
      </c>
    </row>
    <row r="25" ht="15.75" customHeight="1" spans="1:7">
      <c r="A25" s="118" t="s">
        <v>1069</v>
      </c>
      <c r="B25" s="4" t="s">
        <v>1073</v>
      </c>
      <c r="C25" s="13">
        <v>2018</v>
      </c>
      <c r="D25" s="18">
        <v>0.06</v>
      </c>
      <c r="E25" s="18">
        <v>0.03</v>
      </c>
      <c r="F25" s="18">
        <v>0.000126</v>
      </c>
      <c r="G25" s="18">
        <v>6.3e-5</v>
      </c>
    </row>
    <row r="26" ht="15.75" customHeight="1" spans="1:7">
      <c r="A26" s="118" t="s">
        <v>1069</v>
      </c>
      <c r="B26" s="4" t="s">
        <v>1070</v>
      </c>
      <c r="C26" s="13">
        <v>2019</v>
      </c>
      <c r="D26" s="18">
        <v>0.01</v>
      </c>
      <c r="E26" s="18">
        <v>0.02</v>
      </c>
      <c r="F26" s="18">
        <v>0.000112687736518468</v>
      </c>
      <c r="G26" s="18">
        <v>0.000225375473036935</v>
      </c>
    </row>
    <row r="27" ht="15.75" customHeight="1" spans="1:7">
      <c r="A27" s="118" t="s">
        <v>1069</v>
      </c>
      <c r="B27" s="4" t="s">
        <v>1071</v>
      </c>
      <c r="C27" s="13">
        <v>2019</v>
      </c>
      <c r="D27" s="18">
        <v>0.06</v>
      </c>
      <c r="E27" s="18">
        <v>0.03</v>
      </c>
      <c r="F27" s="18">
        <v>0.000198</v>
      </c>
      <c r="G27" s="18">
        <v>9.9e-5</v>
      </c>
    </row>
    <row r="28" ht="15.75" customHeight="1" spans="1:7">
      <c r="A28" s="118" t="s">
        <v>1069</v>
      </c>
      <c r="B28" s="4" t="s">
        <v>1072</v>
      </c>
      <c r="C28" s="13">
        <v>2019</v>
      </c>
      <c r="D28" s="18">
        <v>0.06</v>
      </c>
      <c r="E28" s="18">
        <v>0.03</v>
      </c>
      <c r="F28" s="18">
        <v>0.000204</v>
      </c>
      <c r="G28" s="18">
        <v>0.000102</v>
      </c>
    </row>
    <row r="29" ht="15.75" customHeight="1" spans="1:7">
      <c r="A29" s="118" t="s">
        <v>1069</v>
      </c>
      <c r="B29" s="4" t="s">
        <v>1073</v>
      </c>
      <c r="C29" s="13">
        <v>2019</v>
      </c>
      <c r="D29" s="18">
        <v>0.06</v>
      </c>
      <c r="E29" s="18">
        <v>0.03</v>
      </c>
      <c r="F29" s="18">
        <v>0.000126</v>
      </c>
      <c r="G29" s="18">
        <v>6.3e-5</v>
      </c>
    </row>
    <row r="30" ht="15.75" customHeight="1" spans="1:7">
      <c r="A30" s="118" t="s">
        <v>1069</v>
      </c>
      <c r="B30" s="4" t="s">
        <v>1070</v>
      </c>
      <c r="C30" s="13">
        <v>2020</v>
      </c>
      <c r="D30" s="18">
        <v>0.0174110536946083</v>
      </c>
      <c r="E30" s="18">
        <v>0.02</v>
      </c>
      <c r="F30" s="18">
        <v>0.000197463801691143</v>
      </c>
      <c r="G30" s="18">
        <v>0.00022682579142501</v>
      </c>
    </row>
    <row r="31" ht="15.75" customHeight="1" spans="1:7">
      <c r="A31" s="118" t="s">
        <v>1069</v>
      </c>
      <c r="B31" s="4" t="s">
        <v>1071</v>
      </c>
      <c r="C31" s="13">
        <v>2020</v>
      </c>
      <c r="D31" s="18">
        <v>0.06</v>
      </c>
      <c r="E31" s="18">
        <v>0.03</v>
      </c>
      <c r="F31" s="18">
        <v>0.000198</v>
      </c>
      <c r="G31" s="18">
        <v>9.9e-5</v>
      </c>
    </row>
    <row r="32" ht="15.75" customHeight="1" spans="1:7">
      <c r="A32" s="118" t="s">
        <v>1069</v>
      </c>
      <c r="B32" s="4" t="s">
        <v>1072</v>
      </c>
      <c r="C32" s="13">
        <v>2020</v>
      </c>
      <c r="D32" s="18">
        <v>0.06</v>
      </c>
      <c r="E32" s="18">
        <v>0.03</v>
      </c>
      <c r="F32" s="18">
        <v>0.000204</v>
      </c>
      <c r="G32" s="18">
        <v>0.000102</v>
      </c>
    </row>
    <row r="33" ht="15.75" customHeight="1" spans="1:7">
      <c r="A33" s="118" t="s">
        <v>1069</v>
      </c>
      <c r="B33" s="4" t="s">
        <v>1073</v>
      </c>
      <c r="C33" s="13">
        <v>2020</v>
      </c>
      <c r="D33" s="18">
        <v>0.06</v>
      </c>
      <c r="E33" s="18">
        <v>0.03</v>
      </c>
      <c r="F33" s="18">
        <v>0.000126</v>
      </c>
      <c r="G33" s="18">
        <v>6.3e-5</v>
      </c>
    </row>
    <row r="34" ht="15.75" customHeight="1" spans="1:7">
      <c r="A34" s="118" t="s">
        <v>1069</v>
      </c>
      <c r="B34" s="4" t="s">
        <v>1070</v>
      </c>
      <c r="C34" s="13">
        <v>2021</v>
      </c>
      <c r="D34" s="18">
        <v>0.0150891137676478</v>
      </c>
      <c r="E34" s="18">
        <v>0.02</v>
      </c>
      <c r="F34" s="18">
        <v>0.000173113683552832</v>
      </c>
      <c r="G34" s="18">
        <v>0.000229455071011527</v>
      </c>
    </row>
    <row r="35" ht="15.75" customHeight="1" spans="1:7">
      <c r="A35" s="118" t="s">
        <v>1069</v>
      </c>
      <c r="B35" s="4" t="s">
        <v>1071</v>
      </c>
      <c r="C35" s="13">
        <v>2021</v>
      </c>
      <c r="D35" s="18">
        <v>0.06</v>
      </c>
      <c r="E35" s="18">
        <v>0.03</v>
      </c>
      <c r="F35" s="18">
        <v>0.000198</v>
      </c>
      <c r="G35" s="18">
        <v>9.9e-5</v>
      </c>
    </row>
    <row r="36" ht="15.75" customHeight="1" spans="1:7">
      <c r="A36" s="118" t="s">
        <v>1069</v>
      </c>
      <c r="B36" s="4" t="s">
        <v>1072</v>
      </c>
      <c r="C36" s="13">
        <v>2021</v>
      </c>
      <c r="D36" s="18">
        <v>0.06</v>
      </c>
      <c r="E36" s="18">
        <v>0.03</v>
      </c>
      <c r="F36" s="18">
        <v>0.000204</v>
      </c>
      <c r="G36" s="18">
        <v>0.000102</v>
      </c>
    </row>
    <row r="37" ht="15.75" customHeight="1" spans="1:7">
      <c r="A37" s="118" t="s">
        <v>1069</v>
      </c>
      <c r="B37" s="4" t="s">
        <v>1073</v>
      </c>
      <c r="C37" s="13">
        <v>2021</v>
      </c>
      <c r="D37" s="18">
        <v>0.06</v>
      </c>
      <c r="E37" s="18">
        <v>0.03</v>
      </c>
      <c r="F37" s="18">
        <v>0.000126</v>
      </c>
      <c r="G37" s="18">
        <v>6.3e-5</v>
      </c>
    </row>
    <row r="38" ht="15.75" customHeight="1" spans="1:7">
      <c r="A38" s="118" t="s">
        <v>1069</v>
      </c>
      <c r="B38" s="4" t="s">
        <v>1070</v>
      </c>
      <c r="C38" s="13">
        <v>2022</v>
      </c>
      <c r="D38" s="18">
        <v>0.00775382307641874</v>
      </c>
      <c r="E38" s="18">
        <v>0.02</v>
      </c>
      <c r="F38" s="18">
        <v>9.07997383555104e-5</v>
      </c>
      <c r="G38" s="18">
        <v>0.000234206371387695</v>
      </c>
    </row>
    <row r="39" ht="15.75" customHeight="1" spans="1:7">
      <c r="A39" s="118" t="s">
        <v>1069</v>
      </c>
      <c r="B39" s="4" t="s">
        <v>1071</v>
      </c>
      <c r="C39" s="13">
        <v>2022</v>
      </c>
      <c r="D39" s="18">
        <v>0.06</v>
      </c>
      <c r="E39" s="18">
        <v>0.03</v>
      </c>
      <c r="F39" s="18">
        <v>0.000198</v>
      </c>
      <c r="G39" s="18">
        <v>9.9e-5</v>
      </c>
    </row>
    <row r="40" ht="15.75" customHeight="1" spans="1:7">
      <c r="A40" s="118" t="s">
        <v>1069</v>
      </c>
      <c r="B40" s="4" t="s">
        <v>1072</v>
      </c>
      <c r="C40" s="13">
        <v>2022</v>
      </c>
      <c r="D40" s="18">
        <v>0.06</v>
      </c>
      <c r="E40" s="18">
        <v>0.03</v>
      </c>
      <c r="F40" s="18">
        <v>0.000204</v>
      </c>
      <c r="G40" s="18">
        <v>0.000102</v>
      </c>
    </row>
    <row r="41" ht="15.75" customHeight="1" spans="1:7">
      <c r="A41" s="118" t="s">
        <v>1069</v>
      </c>
      <c r="B41" s="4" t="s">
        <v>1073</v>
      </c>
      <c r="C41" s="13">
        <v>2022</v>
      </c>
      <c r="D41" s="18">
        <v>0.06</v>
      </c>
      <c r="E41" s="18">
        <v>0.03</v>
      </c>
      <c r="F41" s="18">
        <v>0.000126</v>
      </c>
      <c r="G41" s="18">
        <v>6.3e-5</v>
      </c>
    </row>
    <row r="42" ht="15.75" customHeight="1" spans="1:7">
      <c r="A42" s="118" t="s">
        <v>1069</v>
      </c>
      <c r="B42" s="4" t="s">
        <v>1070</v>
      </c>
      <c r="C42" s="13">
        <v>2023</v>
      </c>
      <c r="D42" s="18">
        <v>0.007</v>
      </c>
      <c r="E42" s="18">
        <v>0.02</v>
      </c>
      <c r="F42" s="18">
        <v>7.91e-5</v>
      </c>
      <c r="G42" s="18">
        <v>0.000226</v>
      </c>
    </row>
    <row r="43" ht="15.75" customHeight="1" spans="1:7">
      <c r="A43" s="118" t="s">
        <v>1069</v>
      </c>
      <c r="B43" s="4" t="s">
        <v>1071</v>
      </c>
      <c r="C43" s="13">
        <v>2023</v>
      </c>
      <c r="D43" s="18">
        <v>0.00393338417313148</v>
      </c>
      <c r="E43" s="18">
        <v>0.03</v>
      </c>
      <c r="F43" s="18">
        <v>1.29801677713339e-5</v>
      </c>
      <c r="G43" s="18">
        <v>9.9e-5</v>
      </c>
    </row>
    <row r="44" ht="15.75" customHeight="1" spans="1:7">
      <c r="A44" s="118" t="s">
        <v>1069</v>
      </c>
      <c r="B44" s="4" t="s">
        <v>1072</v>
      </c>
      <c r="C44" s="13">
        <v>2023</v>
      </c>
      <c r="D44" s="18">
        <v>0.06</v>
      </c>
      <c r="E44" s="18">
        <v>0.03</v>
      </c>
      <c r="F44" s="18">
        <v>0.000204</v>
      </c>
      <c r="G44" s="18">
        <v>0.000102</v>
      </c>
    </row>
    <row r="45" ht="15.75" customHeight="1" spans="1:7">
      <c r="A45" s="118" t="s">
        <v>1069</v>
      </c>
      <c r="B45" s="4" t="s">
        <v>1073</v>
      </c>
      <c r="C45" s="13">
        <v>2023</v>
      </c>
      <c r="D45" s="18">
        <v>0.0091324200913242</v>
      </c>
      <c r="E45" s="18">
        <v>0.03</v>
      </c>
      <c r="F45" s="18">
        <v>1.91780821917808e-5</v>
      </c>
      <c r="G45" s="18">
        <v>6.3e-5</v>
      </c>
    </row>
    <row r="46" ht="15.75" customHeight="1" spans="1:7">
      <c r="A46" s="118" t="s">
        <v>1069</v>
      </c>
      <c r="B46" s="4" t="s">
        <v>1070</v>
      </c>
      <c r="C46" s="13">
        <v>2024</v>
      </c>
      <c r="D46" s="15">
        <v>0.007</v>
      </c>
      <c r="E46" s="15">
        <v>0.02</v>
      </c>
      <c r="F46" s="15">
        <v>7.91e-5</v>
      </c>
      <c r="G46" s="15">
        <v>0.000226</v>
      </c>
    </row>
    <row r="47" ht="15.75" customHeight="1" spans="1:7">
      <c r="A47" s="118" t="s">
        <v>1069</v>
      </c>
      <c r="B47" s="4" t="s">
        <v>1071</v>
      </c>
      <c r="C47" s="13">
        <v>2024</v>
      </c>
      <c r="D47" s="15">
        <v>0.00393338417313148</v>
      </c>
      <c r="E47" s="15">
        <v>0.03</v>
      </c>
      <c r="F47" s="15">
        <v>1.29801677713339e-5</v>
      </c>
      <c r="G47" s="15">
        <v>9.9e-5</v>
      </c>
    </row>
    <row r="48" ht="15.75" customHeight="1" spans="1:7">
      <c r="A48" s="118" t="s">
        <v>1069</v>
      </c>
      <c r="B48" s="4" t="s">
        <v>1072</v>
      </c>
      <c r="C48" s="13">
        <v>2024</v>
      </c>
      <c r="D48" s="15">
        <v>0.06</v>
      </c>
      <c r="E48" s="15">
        <v>0.03</v>
      </c>
      <c r="F48" s="15">
        <v>0.000204</v>
      </c>
      <c r="G48" s="15">
        <v>0.000102</v>
      </c>
    </row>
    <row r="49" ht="15.75" customHeight="1" spans="1:7">
      <c r="A49" s="118" t="s">
        <v>1069</v>
      </c>
      <c r="B49" s="4" t="s">
        <v>1073</v>
      </c>
      <c r="C49" s="13">
        <v>2024</v>
      </c>
      <c r="D49" s="15">
        <v>0.0091324200913242</v>
      </c>
      <c r="E49" s="15">
        <v>0.03</v>
      </c>
      <c r="F49" s="15">
        <v>1.91780821917808e-5</v>
      </c>
      <c r="G49" s="15">
        <v>6.3e-5</v>
      </c>
    </row>
    <row r="50" ht="15.75" customHeight="1" spans="1:7">
      <c r="A50" s="118" t="s">
        <v>1069</v>
      </c>
      <c r="B50" s="7" t="s">
        <v>1074</v>
      </c>
      <c r="C50" s="13">
        <v>2024</v>
      </c>
      <c r="D50" s="15">
        <v>0.003928571</v>
      </c>
      <c r="E50" s="15">
        <v>0.020075472</v>
      </c>
      <c r="F50" s="15">
        <v>2.03279805672954e-5</v>
      </c>
      <c r="G50" s="15">
        <v>0.000103878434345538</v>
      </c>
    </row>
    <row r="51" ht="15.75" customHeight="1" spans="1:7">
      <c r="A51" s="118" t="s">
        <v>1069</v>
      </c>
      <c r="B51" s="7" t="s">
        <v>1075</v>
      </c>
      <c r="C51" s="13">
        <v>2024</v>
      </c>
      <c r="D51" s="15">
        <v>0.004642857</v>
      </c>
      <c r="E51" s="15">
        <v>0.02445283</v>
      </c>
      <c r="F51" s="15">
        <v>1.96092522750315e-5</v>
      </c>
      <c r="G51" s="15">
        <v>0.000103277295059585</v>
      </c>
    </row>
    <row r="52" ht="15.75" customHeight="1" spans="1:7">
      <c r="A52" s="118" t="s">
        <v>1069</v>
      </c>
      <c r="B52" s="7" t="s">
        <v>1076</v>
      </c>
      <c r="C52" s="13">
        <v>2024</v>
      </c>
      <c r="D52" s="15">
        <v>0.007857143</v>
      </c>
      <c r="E52" s="15">
        <v>0.039962264</v>
      </c>
      <c r="F52" s="15">
        <v>2.02085512077729e-5</v>
      </c>
      <c r="G52" s="15">
        <v>0.00010278283829409</v>
      </c>
    </row>
    <row r="53" ht="15.75" customHeight="1" spans="1:7">
      <c r="A53" s="118" t="s">
        <v>1069</v>
      </c>
      <c r="B53" s="7" t="s">
        <v>1077</v>
      </c>
      <c r="C53" s="13">
        <v>2024</v>
      </c>
      <c r="D53" s="15">
        <v>0.006785714</v>
      </c>
      <c r="E53" s="15">
        <v>0.033509434</v>
      </c>
      <c r="F53" s="15">
        <v>2.06287117631417e-5</v>
      </c>
      <c r="G53" s="15">
        <v>0.000101869376653955</v>
      </c>
    </row>
    <row r="54" ht="15.75" customHeight="1" spans="1:7">
      <c r="A54" s="118" t="s">
        <v>1069</v>
      </c>
      <c r="B54" s="7" t="s">
        <v>1078</v>
      </c>
      <c r="C54" s="13">
        <v>2024</v>
      </c>
      <c r="D54" s="15">
        <v>0.004285714</v>
      </c>
      <c r="E54" s="15">
        <v>0.045622642</v>
      </c>
      <c r="F54" s="15">
        <v>1.40511720493463e-5</v>
      </c>
      <c r="G54" s="15">
        <v>0.000149578714792385</v>
      </c>
    </row>
    <row r="55" ht="15.75" customHeight="1" spans="1:7">
      <c r="A55" s="118" t="s">
        <v>1069</v>
      </c>
      <c r="B55" s="7" t="s">
        <v>1079</v>
      </c>
      <c r="C55" s="13">
        <v>2024</v>
      </c>
      <c r="D55" s="15">
        <v>0.005357143</v>
      </c>
      <c r="E55" s="15">
        <v>0.054264151</v>
      </c>
      <c r="F55" s="15">
        <v>1.47526771937379e-5</v>
      </c>
      <c r="G55" s="15">
        <v>0.000149434409888862</v>
      </c>
    </row>
    <row r="56" ht="15.75" customHeight="1" spans="1:7">
      <c r="A56" s="118" t="s">
        <v>1069</v>
      </c>
      <c r="B56" s="7" t="s">
        <v>1080</v>
      </c>
      <c r="C56" s="13">
        <v>2024</v>
      </c>
      <c r="D56" s="15">
        <v>0.005357143</v>
      </c>
      <c r="E56" s="15">
        <v>0.053886792</v>
      </c>
      <c r="F56" s="15">
        <v>1.48611467735728e-5</v>
      </c>
      <c r="G56" s="15">
        <v>0.00014948630735991</v>
      </c>
    </row>
    <row r="57" ht="15.75" customHeight="1" spans="1:7">
      <c r="A57" s="118" t="s">
        <v>1069</v>
      </c>
      <c r="B57" s="7" t="s">
        <v>1081</v>
      </c>
      <c r="C57" s="13">
        <v>2024</v>
      </c>
      <c r="D57" s="15">
        <v>0.005714286</v>
      </c>
      <c r="E57" s="15">
        <v>0.04509434</v>
      </c>
      <c r="F57" s="15">
        <v>1.64484062476402e-5</v>
      </c>
      <c r="G57" s="15">
        <v>0.000129802747672975</v>
      </c>
    </row>
    <row r="58" ht="15.75" customHeight="1" spans="1:7">
      <c r="A58" s="118" t="s">
        <v>1069</v>
      </c>
      <c r="B58" s="7" t="s">
        <v>1082</v>
      </c>
      <c r="C58" s="13">
        <v>2024</v>
      </c>
      <c r="D58" s="15">
        <v>0.003929</v>
      </c>
      <c r="E58" s="15">
        <v>0.020075472</v>
      </c>
      <c r="F58" s="15">
        <v>1.70123066358796e-5</v>
      </c>
      <c r="G58" s="15">
        <v>8.69254480845036e-5</v>
      </c>
    </row>
    <row r="59" ht="15.75" customHeight="1" spans="1:7">
      <c r="A59" s="118" t="s">
        <v>1069</v>
      </c>
      <c r="B59" s="7" t="s">
        <v>1083</v>
      </c>
      <c r="C59" s="13">
        <v>2024</v>
      </c>
      <c r="D59" s="15">
        <v>0.004643</v>
      </c>
      <c r="E59" s="15">
        <v>0.02445283</v>
      </c>
      <c r="F59" s="15">
        <v>1.64670204234298e-5</v>
      </c>
      <c r="G59" s="15">
        <v>8.67252317511644e-5</v>
      </c>
    </row>
    <row r="60" ht="15.75" customHeight="1" spans="1:7">
      <c r="A60" s="118" t="s">
        <v>1069</v>
      </c>
      <c r="B60" s="7" t="s">
        <v>1084</v>
      </c>
      <c r="C60" s="13">
        <v>2024</v>
      </c>
      <c r="D60" s="15">
        <v>0.007857</v>
      </c>
      <c r="E60" s="15">
        <v>0.039962264</v>
      </c>
      <c r="F60" s="15">
        <v>1.69694965189438e-5</v>
      </c>
      <c r="G60" s="15">
        <v>8.63102328925944e-5</v>
      </c>
    </row>
    <row r="61" ht="15.75" customHeight="1" spans="1:7">
      <c r="A61" s="118" t="s">
        <v>1069</v>
      </c>
      <c r="B61" s="7" t="s">
        <v>1085</v>
      </c>
      <c r="C61" s="13">
        <v>2024</v>
      </c>
      <c r="D61" s="15">
        <v>0.006786</v>
      </c>
      <c r="E61" s="15">
        <v>0.033509434</v>
      </c>
      <c r="F61" s="15">
        <v>1.73228962665718e-5</v>
      </c>
      <c r="G61" s="15">
        <v>8.5540885519236e-5</v>
      </c>
    </row>
    <row r="62" ht="15.75" customHeight="1" spans="1:7">
      <c r="A62" s="118" t="s">
        <v>1069</v>
      </c>
      <c r="B62" s="7" t="s">
        <v>1086</v>
      </c>
      <c r="C62" s="13">
        <v>2024</v>
      </c>
      <c r="D62" s="15">
        <v>0.004286</v>
      </c>
      <c r="E62" s="15">
        <v>0.045622642</v>
      </c>
      <c r="F62" s="15">
        <v>1.21437633222831e-5</v>
      </c>
      <c r="G62" s="15">
        <v>0.000129265181191146</v>
      </c>
    </row>
    <row r="63" ht="15.75" customHeight="1" spans="1:7">
      <c r="A63" s="118" t="s">
        <v>1069</v>
      </c>
      <c r="B63" s="7" t="s">
        <v>1087</v>
      </c>
      <c r="C63" s="13">
        <v>2024</v>
      </c>
      <c r="D63" s="15">
        <v>0.005357</v>
      </c>
      <c r="E63" s="15">
        <v>0.054264151</v>
      </c>
      <c r="F63" s="15">
        <v>1.27487437184502e-5</v>
      </c>
      <c r="G63" s="15">
        <v>0.000129139397834288</v>
      </c>
    </row>
    <row r="64" ht="15.75" customHeight="1" spans="1:7">
      <c r="A64" s="118" t="s">
        <v>1069</v>
      </c>
      <c r="B64" s="7" t="s">
        <v>1088</v>
      </c>
      <c r="C64" s="13">
        <v>2024</v>
      </c>
      <c r="D64" s="15">
        <v>0.005357</v>
      </c>
      <c r="E64" s="15">
        <v>0.053886792</v>
      </c>
      <c r="F64" s="15">
        <v>1.2842397731284e-5</v>
      </c>
      <c r="G64" s="15">
        <v>0.000129183426419073</v>
      </c>
    </row>
    <row r="65" ht="15.75" customHeight="1" spans="1:7">
      <c r="A65" s="118" t="s">
        <v>1069</v>
      </c>
      <c r="B65" s="7" t="s">
        <v>1089</v>
      </c>
      <c r="C65" s="13">
        <v>2024</v>
      </c>
      <c r="D65" s="15">
        <v>0.005714</v>
      </c>
      <c r="E65" s="15">
        <v>0.04509434</v>
      </c>
      <c r="F65" s="15">
        <v>1.40451559846617e-5</v>
      </c>
      <c r="G65" s="15">
        <v>0.000110843024033142</v>
      </c>
    </row>
    <row r="66" ht="15.75" customHeight="1" spans="4:7">
      <c r="D66" s="37"/>
      <c r="E66" s="37"/>
      <c r="F66" s="37"/>
      <c r="G66" s="37"/>
    </row>
    <row r="67" ht="15.75" customHeight="1" spans="4:7">
      <c r="D67" s="37"/>
      <c r="E67" s="37"/>
      <c r="F67" s="37"/>
      <c r="G67" s="37"/>
    </row>
    <row r="68" ht="15.75" customHeight="1" spans="4:7">
      <c r="D68" s="37"/>
      <c r="E68" s="37"/>
      <c r="F68" s="37"/>
      <c r="G68" s="37"/>
    </row>
    <row r="69" ht="15.75" customHeight="1" spans="4:7">
      <c r="D69" s="37"/>
      <c r="E69" s="37"/>
      <c r="F69" s="37"/>
      <c r="G69" s="37"/>
    </row>
    <row r="70" ht="15.75" customHeight="1" spans="4:7">
      <c r="D70" s="37"/>
      <c r="E70" s="37"/>
      <c r="F70" s="37"/>
      <c r="G70" s="37"/>
    </row>
    <row r="71" ht="15.75" customHeight="1" spans="4:7">
      <c r="D71" s="37"/>
      <c r="E71" s="37"/>
      <c r="F71" s="37"/>
      <c r="G71" s="37"/>
    </row>
    <row r="72" ht="15.75" customHeight="1" spans="4:7">
      <c r="D72" s="37"/>
      <c r="E72" s="37"/>
      <c r="F72" s="37"/>
      <c r="G72" s="37"/>
    </row>
    <row r="73" ht="15.75" customHeight="1" spans="4:7">
      <c r="D73" s="37"/>
      <c r="E73" s="37"/>
      <c r="F73" s="37"/>
      <c r="G73" s="37"/>
    </row>
    <row r="74" ht="15.75" customHeight="1" spans="4:7">
      <c r="D74" s="37"/>
      <c r="E74" s="37"/>
      <c r="F74" s="37"/>
      <c r="G74" s="37"/>
    </row>
    <row r="75" ht="15.75" customHeight="1" spans="4:7">
      <c r="D75" s="37"/>
      <c r="E75" s="37"/>
      <c r="F75" s="37"/>
      <c r="G75" s="37"/>
    </row>
    <row r="76" ht="15.75" customHeight="1" spans="4:7">
      <c r="D76" s="37"/>
      <c r="E76" s="37"/>
      <c r="F76" s="37"/>
      <c r="G76" s="37"/>
    </row>
    <row r="77" ht="15.75" customHeight="1" spans="4:7">
      <c r="D77" s="37"/>
      <c r="E77" s="37"/>
      <c r="F77" s="37"/>
      <c r="G77" s="37"/>
    </row>
    <row r="78" ht="15.75" customHeight="1" spans="4:7">
      <c r="D78" s="37"/>
      <c r="E78" s="37"/>
      <c r="F78" s="37"/>
      <c r="G78" s="37"/>
    </row>
    <row r="79" ht="15.75" customHeight="1" spans="4:7">
      <c r="D79" s="37"/>
      <c r="E79" s="37"/>
      <c r="F79" s="37"/>
      <c r="G79" s="37"/>
    </row>
    <row r="80" ht="15.75" customHeight="1" spans="4:7">
      <c r="D80" s="37"/>
      <c r="E80" s="37"/>
      <c r="F80" s="37"/>
      <c r="G80" s="37"/>
    </row>
    <row r="81" ht="15.75" customHeight="1" spans="4:7">
      <c r="D81" s="37"/>
      <c r="E81" s="37"/>
      <c r="F81" s="37"/>
      <c r="G81" s="37"/>
    </row>
    <row r="82" ht="15.75" customHeight="1" spans="4:7">
      <c r="D82" s="37"/>
      <c r="E82" s="37"/>
      <c r="F82" s="37"/>
      <c r="G82" s="37"/>
    </row>
    <row r="83" ht="15.75" customHeight="1" spans="4:7">
      <c r="D83" s="37"/>
      <c r="E83" s="37"/>
      <c r="F83" s="37"/>
      <c r="G83" s="37"/>
    </row>
    <row r="84" ht="15.75" customHeight="1" spans="4:7">
      <c r="D84" s="37"/>
      <c r="E84" s="37"/>
      <c r="F84" s="37"/>
      <c r="G84" s="37"/>
    </row>
    <row r="85" ht="15.75" customHeight="1" spans="4:7">
      <c r="D85" s="37"/>
      <c r="E85" s="37"/>
      <c r="F85" s="37"/>
      <c r="G85" s="37"/>
    </row>
    <row r="86" ht="15.75" customHeight="1" spans="4:7">
      <c r="D86" s="37"/>
      <c r="E86" s="37"/>
      <c r="F86" s="37"/>
      <c r="G86" s="37"/>
    </row>
    <row r="87" ht="15.75" customHeight="1" spans="4:7">
      <c r="D87" s="37"/>
      <c r="E87" s="37"/>
      <c r="F87" s="37"/>
      <c r="G87" s="37"/>
    </row>
    <row r="88" ht="15.75" customHeight="1" spans="4:7">
      <c r="D88" s="37"/>
      <c r="E88" s="37"/>
      <c r="F88" s="37"/>
      <c r="G88" s="37"/>
    </row>
    <row r="89" ht="15.75" customHeight="1" spans="4:7">
      <c r="D89" s="37"/>
      <c r="E89" s="37"/>
      <c r="F89" s="37"/>
      <c r="G89" s="37"/>
    </row>
    <row r="90" ht="15.75" customHeight="1" spans="4:7">
      <c r="D90" s="37"/>
      <c r="E90" s="37"/>
      <c r="F90" s="37"/>
      <c r="G90" s="37"/>
    </row>
    <row r="91" ht="15.75" customHeight="1" spans="4:7">
      <c r="D91" s="37"/>
      <c r="E91" s="37"/>
      <c r="F91" s="37"/>
      <c r="G91" s="37"/>
    </row>
    <row r="92" ht="15.75" customHeight="1" spans="4:7">
      <c r="D92" s="37"/>
      <c r="E92" s="37"/>
      <c r="F92" s="37"/>
      <c r="G92" s="37"/>
    </row>
    <row r="93" ht="15.75" customHeight="1" spans="4:7">
      <c r="D93" s="37"/>
      <c r="E93" s="37"/>
      <c r="F93" s="37"/>
      <c r="G93" s="37"/>
    </row>
    <row r="94" ht="15.75" customHeight="1" spans="4:7">
      <c r="D94" s="37"/>
      <c r="E94" s="37"/>
      <c r="F94" s="37"/>
      <c r="G94" s="37"/>
    </row>
    <row r="95" ht="15.75" customHeight="1" spans="4:7">
      <c r="D95" s="37"/>
      <c r="E95" s="37"/>
      <c r="F95" s="37"/>
      <c r="G95" s="37"/>
    </row>
    <row r="96" ht="15.75" customHeight="1" spans="4:7">
      <c r="D96" s="37"/>
      <c r="E96" s="37"/>
      <c r="F96" s="37"/>
      <c r="G96" s="37"/>
    </row>
    <row r="97" ht="15.75" customHeight="1" spans="4:7">
      <c r="D97" s="37"/>
      <c r="E97" s="37"/>
      <c r="F97" s="37"/>
      <c r="G97" s="37"/>
    </row>
    <row r="98" ht="15.75" customHeight="1" spans="4:7">
      <c r="D98" s="37"/>
      <c r="E98" s="37"/>
      <c r="F98" s="37"/>
      <c r="G98" s="37"/>
    </row>
    <row r="99" ht="15.75" customHeight="1" spans="4:7">
      <c r="D99" s="37"/>
      <c r="E99" s="37"/>
      <c r="F99" s="37"/>
      <c r="G99" s="37"/>
    </row>
    <row r="100" ht="15.75" customHeight="1" spans="4:7">
      <c r="D100" s="37"/>
      <c r="E100" s="37"/>
      <c r="F100" s="37"/>
      <c r="G100" s="37"/>
    </row>
    <row r="101" ht="15.75" customHeight="1" spans="4:7">
      <c r="D101" s="37"/>
      <c r="E101" s="37"/>
      <c r="F101" s="37"/>
      <c r="G101" s="37"/>
    </row>
    <row r="102" ht="15.75" customHeight="1" spans="4:7">
      <c r="D102" s="37"/>
      <c r="E102" s="37"/>
      <c r="F102" s="37"/>
      <c r="G102" s="37"/>
    </row>
    <row r="103" ht="15.75" customHeight="1" spans="4:7">
      <c r="D103" s="37"/>
      <c r="E103" s="37"/>
      <c r="F103" s="37"/>
      <c r="G103" s="37"/>
    </row>
    <row r="104" ht="15.75" customHeight="1" spans="4:7">
      <c r="D104" s="37"/>
      <c r="E104" s="37"/>
      <c r="F104" s="37"/>
      <c r="G104" s="37"/>
    </row>
    <row r="105" ht="15.75" customHeight="1" spans="4:7">
      <c r="D105" s="37"/>
      <c r="E105" s="37"/>
      <c r="F105" s="37"/>
      <c r="G105" s="37"/>
    </row>
    <row r="106" ht="15.75" customHeight="1" spans="4:7">
      <c r="D106" s="37"/>
      <c r="E106" s="37"/>
      <c r="F106" s="37"/>
      <c r="G106" s="37"/>
    </row>
    <row r="107" ht="15.75" customHeight="1" spans="4:7">
      <c r="D107" s="37"/>
      <c r="E107" s="37"/>
      <c r="F107" s="37"/>
      <c r="G107" s="37"/>
    </row>
    <row r="108" ht="15.75" customHeight="1" spans="4:7">
      <c r="D108" s="37"/>
      <c r="E108" s="37"/>
      <c r="F108" s="37"/>
      <c r="G108" s="37"/>
    </row>
    <row r="109" ht="15.75" customHeight="1" spans="4:7">
      <c r="D109" s="37"/>
      <c r="E109" s="37"/>
      <c r="F109" s="37"/>
      <c r="G109" s="37"/>
    </row>
    <row r="110" ht="15.75" customHeight="1" spans="4:7">
      <c r="D110" s="37"/>
      <c r="E110" s="37"/>
      <c r="F110" s="37"/>
      <c r="G110" s="37"/>
    </row>
    <row r="111" ht="15.75" customHeight="1" spans="4:7">
      <c r="D111" s="37"/>
      <c r="E111" s="37"/>
      <c r="F111" s="37"/>
      <c r="G111" s="37"/>
    </row>
    <row r="112" ht="15.75" customHeight="1" spans="4:7">
      <c r="D112" s="37"/>
      <c r="E112" s="37"/>
      <c r="F112" s="37"/>
      <c r="G112" s="37"/>
    </row>
    <row r="113" ht="15.75" customHeight="1" spans="4:7">
      <c r="D113" s="37"/>
      <c r="E113" s="37"/>
      <c r="F113" s="37"/>
      <c r="G113" s="37"/>
    </row>
    <row r="114" ht="15.75" customHeight="1" spans="4:7">
      <c r="D114" s="37"/>
      <c r="E114" s="37"/>
      <c r="F114" s="37"/>
      <c r="G114" s="37"/>
    </row>
    <row r="115" ht="15.75" customHeight="1" spans="4:7">
      <c r="D115" s="37"/>
      <c r="E115" s="37"/>
      <c r="F115" s="37"/>
      <c r="G115" s="37"/>
    </row>
    <row r="116" ht="15.75" customHeight="1" spans="4:7">
      <c r="D116" s="37"/>
      <c r="E116" s="37"/>
      <c r="F116" s="37"/>
      <c r="G116" s="37"/>
    </row>
    <row r="117" ht="15.75" customHeight="1" spans="4:7">
      <c r="D117" s="37"/>
      <c r="E117" s="37"/>
      <c r="F117" s="37"/>
      <c r="G117" s="37"/>
    </row>
    <row r="118" ht="15.75" customHeight="1" spans="4:7">
      <c r="D118" s="37"/>
      <c r="E118" s="37"/>
      <c r="F118" s="37"/>
      <c r="G118" s="37"/>
    </row>
    <row r="119" ht="15.75" customHeight="1" spans="4:7">
      <c r="D119" s="37"/>
      <c r="E119" s="37"/>
      <c r="F119" s="37"/>
      <c r="G119" s="37"/>
    </row>
    <row r="120" ht="15.75" customHeight="1" spans="4:7">
      <c r="D120" s="37"/>
      <c r="E120" s="37"/>
      <c r="F120" s="37"/>
      <c r="G120" s="37"/>
    </row>
    <row r="121" ht="15.75" customHeight="1" spans="4:7">
      <c r="D121" s="37"/>
      <c r="E121" s="37"/>
      <c r="F121" s="37"/>
      <c r="G121" s="37"/>
    </row>
    <row r="122" ht="15.75" customHeight="1" spans="4:7">
      <c r="D122" s="37"/>
      <c r="E122" s="37"/>
      <c r="F122" s="37"/>
      <c r="G122" s="37"/>
    </row>
    <row r="123" ht="15.75" customHeight="1" spans="4:7">
      <c r="D123" s="37"/>
      <c r="E123" s="37"/>
      <c r="F123" s="37"/>
      <c r="G123" s="37"/>
    </row>
    <row r="124" ht="15.75" customHeight="1" spans="4:7">
      <c r="D124" s="37"/>
      <c r="E124" s="37"/>
      <c r="F124" s="37"/>
      <c r="G124" s="37"/>
    </row>
    <row r="125" ht="15.75" customHeight="1" spans="4:7">
      <c r="D125" s="37"/>
      <c r="E125" s="37"/>
      <c r="F125" s="37"/>
      <c r="G125" s="37"/>
    </row>
    <row r="126" ht="15.75" customHeight="1" spans="4:7">
      <c r="D126" s="37"/>
      <c r="E126" s="37"/>
      <c r="F126" s="37"/>
      <c r="G126" s="37"/>
    </row>
    <row r="127" ht="15.75" customHeight="1" spans="4:7">
      <c r="D127" s="37"/>
      <c r="E127" s="37"/>
      <c r="F127" s="37"/>
      <c r="G127" s="37"/>
    </row>
    <row r="128" ht="15.75" customHeight="1" spans="4:7">
      <c r="D128" s="37"/>
      <c r="E128" s="37"/>
      <c r="F128" s="37"/>
      <c r="G128" s="37"/>
    </row>
    <row r="129" ht="15.75" customHeight="1" spans="4:7">
      <c r="D129" s="37"/>
      <c r="E129" s="37"/>
      <c r="F129" s="37"/>
      <c r="G129" s="37"/>
    </row>
    <row r="130" ht="15.75" customHeight="1" spans="4:7">
      <c r="D130" s="37"/>
      <c r="E130" s="37"/>
      <c r="F130" s="37"/>
      <c r="G130" s="37"/>
    </row>
    <row r="131" ht="15.75" customHeight="1" spans="4:7">
      <c r="D131" s="37"/>
      <c r="E131" s="37"/>
      <c r="F131" s="37"/>
      <c r="G131" s="37"/>
    </row>
    <row r="132" ht="15.75" customHeight="1" spans="4:7">
      <c r="D132" s="37"/>
      <c r="E132" s="37"/>
      <c r="F132" s="37"/>
      <c r="G132" s="37"/>
    </row>
    <row r="133" ht="15.75" customHeight="1" spans="4:7">
      <c r="D133" s="37"/>
      <c r="E133" s="37"/>
      <c r="F133" s="37"/>
      <c r="G133" s="37"/>
    </row>
    <row r="134" ht="15.75" customHeight="1" spans="4:7">
      <c r="D134" s="37"/>
      <c r="E134" s="37"/>
      <c r="F134" s="37"/>
      <c r="G134" s="37"/>
    </row>
    <row r="135" ht="15.75" customHeight="1" spans="4:7">
      <c r="D135" s="37"/>
      <c r="E135" s="37"/>
      <c r="F135" s="37"/>
      <c r="G135" s="37"/>
    </row>
    <row r="136" ht="15.75" customHeight="1" spans="4:7">
      <c r="D136" s="37"/>
      <c r="E136" s="37"/>
      <c r="F136" s="37"/>
      <c r="G136" s="37"/>
    </row>
    <row r="137" ht="15.75" customHeight="1" spans="4:7">
      <c r="D137" s="37"/>
      <c r="E137" s="37"/>
      <c r="F137" s="37"/>
      <c r="G137" s="37"/>
    </row>
    <row r="138" ht="15.75" customHeight="1" spans="4:7">
      <c r="D138" s="37"/>
      <c r="E138" s="37"/>
      <c r="F138" s="37"/>
      <c r="G138" s="37"/>
    </row>
    <row r="139" ht="15.75" customHeight="1" spans="4:7">
      <c r="D139" s="37"/>
      <c r="E139" s="37"/>
      <c r="F139" s="37"/>
      <c r="G139" s="37"/>
    </row>
    <row r="140" ht="15.75" customHeight="1" spans="4:7">
      <c r="D140" s="37"/>
      <c r="E140" s="37"/>
      <c r="F140" s="37"/>
      <c r="G140" s="37"/>
    </row>
    <row r="141" ht="15.75" customHeight="1" spans="4:7">
      <c r="D141" s="37"/>
      <c r="E141" s="37"/>
      <c r="F141" s="37"/>
      <c r="G141" s="37"/>
    </row>
    <row r="142" ht="15.75" customHeight="1" spans="4:7">
      <c r="D142" s="37"/>
      <c r="E142" s="37"/>
      <c r="F142" s="37"/>
      <c r="G142" s="37"/>
    </row>
    <row r="143" ht="15.75" customHeight="1" spans="4:7">
      <c r="D143" s="37"/>
      <c r="E143" s="37"/>
      <c r="F143" s="37"/>
      <c r="G143" s="37"/>
    </row>
    <row r="144" ht="15.75" customHeight="1" spans="4:7">
      <c r="D144" s="37"/>
      <c r="E144" s="37"/>
      <c r="F144" s="37"/>
      <c r="G144" s="37"/>
    </row>
    <row r="145" ht="15.75" customHeight="1" spans="4:7">
      <c r="D145" s="37"/>
      <c r="E145" s="37"/>
      <c r="F145" s="37"/>
      <c r="G145" s="37"/>
    </row>
    <row r="146" ht="15.75" customHeight="1" spans="4:7">
      <c r="D146" s="37"/>
      <c r="E146" s="37"/>
      <c r="F146" s="37"/>
      <c r="G146" s="37"/>
    </row>
    <row r="147" ht="15.75" customHeight="1" spans="4:7">
      <c r="D147" s="37"/>
      <c r="E147" s="37"/>
      <c r="F147" s="37"/>
      <c r="G147" s="37"/>
    </row>
    <row r="148" ht="15.75" customHeight="1" spans="4:7">
      <c r="D148" s="37"/>
      <c r="E148" s="37"/>
      <c r="F148" s="37"/>
      <c r="G148" s="37"/>
    </row>
    <row r="149" ht="15.75" customHeight="1" spans="4:7">
      <c r="D149" s="37"/>
      <c r="E149" s="37"/>
      <c r="F149" s="37"/>
      <c r="G149" s="37"/>
    </row>
    <row r="150" ht="15.75" customHeight="1" spans="4:7">
      <c r="D150" s="37"/>
      <c r="E150" s="37"/>
      <c r="F150" s="37"/>
      <c r="G150" s="37"/>
    </row>
    <row r="151" ht="15.75" customHeight="1" spans="4:7">
      <c r="D151" s="37"/>
      <c r="E151" s="37"/>
      <c r="F151" s="37"/>
      <c r="G151" s="37"/>
    </row>
    <row r="152" ht="15.75" customHeight="1" spans="4:7">
      <c r="D152" s="37"/>
      <c r="E152" s="37"/>
      <c r="F152" s="37"/>
      <c r="G152" s="37"/>
    </row>
    <row r="153" ht="15.75" customHeight="1" spans="4:7">
      <c r="D153" s="37"/>
      <c r="E153" s="37"/>
      <c r="F153" s="37"/>
      <c r="G153" s="37"/>
    </row>
    <row r="154" ht="15.75" customHeight="1" spans="4:7">
      <c r="D154" s="37"/>
      <c r="E154" s="37"/>
      <c r="F154" s="37"/>
      <c r="G154" s="37"/>
    </row>
    <row r="155" ht="15.75" customHeight="1" spans="4:7">
      <c r="D155" s="37"/>
      <c r="E155" s="37"/>
      <c r="F155" s="37"/>
      <c r="G155" s="37"/>
    </row>
    <row r="156" ht="15.75" customHeight="1" spans="4:7">
      <c r="D156" s="37"/>
      <c r="E156" s="37"/>
      <c r="F156" s="37"/>
      <c r="G156" s="37"/>
    </row>
    <row r="157" ht="15.75" customHeight="1" spans="4:7">
      <c r="D157" s="37"/>
      <c r="E157" s="37"/>
      <c r="F157" s="37"/>
      <c r="G157" s="37"/>
    </row>
    <row r="158" ht="15.75" customHeight="1" spans="4:7">
      <c r="D158" s="37"/>
      <c r="E158" s="37"/>
      <c r="F158" s="37"/>
      <c r="G158" s="37"/>
    </row>
    <row r="159" ht="15.75" customHeight="1" spans="4:7">
      <c r="D159" s="37"/>
      <c r="E159" s="37"/>
      <c r="F159" s="37"/>
      <c r="G159" s="37"/>
    </row>
    <row r="160" ht="15.75" customHeight="1" spans="4:7">
      <c r="D160" s="37"/>
      <c r="E160" s="37"/>
      <c r="F160" s="37"/>
      <c r="G160" s="37"/>
    </row>
    <row r="161" ht="15.75" customHeight="1" spans="4:7">
      <c r="D161" s="37"/>
      <c r="E161" s="37"/>
      <c r="F161" s="37"/>
      <c r="G161" s="37"/>
    </row>
    <row r="162" ht="15.75" customHeight="1" spans="4:7">
      <c r="D162" s="37"/>
      <c r="E162" s="37"/>
      <c r="F162" s="37"/>
      <c r="G162" s="37"/>
    </row>
    <row r="163" ht="15.75" customHeight="1" spans="4:7">
      <c r="D163" s="37"/>
      <c r="E163" s="37"/>
      <c r="F163" s="37"/>
      <c r="G163" s="37"/>
    </row>
    <row r="164" ht="15.75" customHeight="1" spans="4:7">
      <c r="D164" s="37"/>
      <c r="E164" s="37"/>
      <c r="F164" s="37"/>
      <c r="G164" s="37"/>
    </row>
    <row r="165" ht="15.75" customHeight="1" spans="4:7">
      <c r="D165" s="37"/>
      <c r="E165" s="37"/>
      <c r="F165" s="37"/>
      <c r="G165" s="37"/>
    </row>
    <row r="166" ht="15.75" customHeight="1" spans="4:7">
      <c r="D166" s="37"/>
      <c r="E166" s="37"/>
      <c r="F166" s="37"/>
      <c r="G166" s="37"/>
    </row>
    <row r="167" ht="15.75" customHeight="1" spans="4:7">
      <c r="D167" s="37"/>
      <c r="E167" s="37"/>
      <c r="F167" s="37"/>
      <c r="G167" s="37"/>
    </row>
    <row r="168" ht="15.75" customHeight="1" spans="4:7">
      <c r="D168" s="37"/>
      <c r="E168" s="37"/>
      <c r="F168" s="37"/>
      <c r="G168" s="37"/>
    </row>
    <row r="169" ht="15.75" customHeight="1" spans="4:7">
      <c r="D169" s="37"/>
      <c r="E169" s="37"/>
      <c r="F169" s="37"/>
      <c r="G169" s="37"/>
    </row>
    <row r="170" ht="15.75" customHeight="1" spans="4:7">
      <c r="D170" s="37"/>
      <c r="E170" s="37"/>
      <c r="F170" s="37"/>
      <c r="G170" s="37"/>
    </row>
    <row r="171" ht="15.75" customHeight="1" spans="4:7">
      <c r="D171" s="37"/>
      <c r="E171" s="37"/>
      <c r="F171" s="37"/>
      <c r="G171" s="37"/>
    </row>
    <row r="172" ht="15.75" customHeight="1" spans="4:7">
      <c r="D172" s="37"/>
      <c r="E172" s="37"/>
      <c r="F172" s="37"/>
      <c r="G172" s="37"/>
    </row>
    <row r="173" ht="15.75" customHeight="1" spans="4:7">
      <c r="D173" s="37"/>
      <c r="E173" s="37"/>
      <c r="F173" s="37"/>
      <c r="G173" s="37"/>
    </row>
    <row r="174" ht="15.75" customHeight="1" spans="4:7">
      <c r="D174" s="37"/>
      <c r="E174" s="37"/>
      <c r="F174" s="37"/>
      <c r="G174" s="37"/>
    </row>
    <row r="175" ht="15.75" customHeight="1" spans="4:7">
      <c r="D175" s="37"/>
      <c r="E175" s="37"/>
      <c r="F175" s="37"/>
      <c r="G175" s="37"/>
    </row>
    <row r="176" ht="15.75" customHeight="1" spans="4:7">
      <c r="D176" s="37"/>
      <c r="E176" s="37"/>
      <c r="F176" s="37"/>
      <c r="G176" s="37"/>
    </row>
    <row r="177" ht="15.75" customHeight="1" spans="4:7">
      <c r="D177" s="37"/>
      <c r="E177" s="37"/>
      <c r="F177" s="37"/>
      <c r="G177" s="37"/>
    </row>
    <row r="178" ht="15.75" customHeight="1" spans="4:7">
      <c r="D178" s="37"/>
      <c r="E178" s="37"/>
      <c r="F178" s="37"/>
      <c r="G178" s="37"/>
    </row>
    <row r="179" ht="15.75" customHeight="1" spans="4:7">
      <c r="D179" s="37"/>
      <c r="E179" s="37"/>
      <c r="F179" s="37"/>
      <c r="G179" s="37"/>
    </row>
    <row r="180" ht="15.75" customHeight="1" spans="4:7">
      <c r="D180" s="37"/>
      <c r="E180" s="37"/>
      <c r="F180" s="37"/>
      <c r="G180" s="37"/>
    </row>
    <row r="181" ht="15.75" customHeight="1" spans="4:7">
      <c r="D181" s="37"/>
      <c r="E181" s="37"/>
      <c r="F181" s="37"/>
      <c r="G181" s="37"/>
    </row>
    <row r="182" ht="15.75" customHeight="1" spans="4:7">
      <c r="D182" s="37"/>
      <c r="E182" s="37"/>
      <c r="F182" s="37"/>
      <c r="G182" s="37"/>
    </row>
    <row r="183" ht="15.75" customHeight="1" spans="4:7">
      <c r="D183" s="37"/>
      <c r="E183" s="37"/>
      <c r="F183" s="37"/>
      <c r="G183" s="37"/>
    </row>
    <row r="184" ht="15.75" customHeight="1" spans="4:7">
      <c r="D184" s="37"/>
      <c r="E184" s="37"/>
      <c r="F184" s="37"/>
      <c r="G184" s="37"/>
    </row>
    <row r="185" ht="15.75" customHeight="1" spans="4:7">
      <c r="D185" s="37"/>
      <c r="E185" s="37"/>
      <c r="F185" s="37"/>
      <c r="G185" s="37"/>
    </row>
    <row r="186" ht="15.75" customHeight="1" spans="4:7">
      <c r="D186" s="37"/>
      <c r="E186" s="37"/>
      <c r="F186" s="37"/>
      <c r="G186" s="37"/>
    </row>
    <row r="187" ht="15.75" customHeight="1" spans="4:7">
      <c r="D187" s="37"/>
      <c r="E187" s="37"/>
      <c r="F187" s="37"/>
      <c r="G187" s="37"/>
    </row>
    <row r="188" ht="15.75" customHeight="1" spans="4:7">
      <c r="D188" s="37"/>
      <c r="E188" s="37"/>
      <c r="F188" s="37"/>
      <c r="G188" s="37"/>
    </row>
    <row r="189" ht="15.75" customHeight="1" spans="4:7">
      <c r="D189" s="37"/>
      <c r="E189" s="37"/>
      <c r="F189" s="37"/>
      <c r="G189" s="37"/>
    </row>
    <row r="190" ht="15.75" customHeight="1" spans="4:7">
      <c r="D190" s="37"/>
      <c r="E190" s="37"/>
      <c r="F190" s="37"/>
      <c r="G190" s="37"/>
    </row>
    <row r="191" ht="15.75" customHeight="1" spans="4:7">
      <c r="D191" s="37"/>
      <c r="E191" s="37"/>
      <c r="F191" s="37"/>
      <c r="G191" s="37"/>
    </row>
    <row r="192" ht="15.75" customHeight="1" spans="4:7">
      <c r="D192" s="37"/>
      <c r="E192" s="37"/>
      <c r="F192" s="37"/>
      <c r="G192" s="37"/>
    </row>
    <row r="193" ht="15.75" customHeight="1" spans="4:7">
      <c r="D193" s="37"/>
      <c r="E193" s="37"/>
      <c r="F193" s="37"/>
      <c r="G193" s="37"/>
    </row>
    <row r="194" ht="15.75" customHeight="1" spans="4:7">
      <c r="D194" s="37"/>
      <c r="E194" s="37"/>
      <c r="F194" s="37"/>
      <c r="G194" s="37"/>
    </row>
    <row r="195" ht="15.75" customHeight="1" spans="4:7">
      <c r="D195" s="37"/>
      <c r="E195" s="37"/>
      <c r="F195" s="37"/>
      <c r="G195" s="37"/>
    </row>
    <row r="196" ht="15.75" customHeight="1" spans="4:7">
      <c r="D196" s="37"/>
      <c r="E196" s="37"/>
      <c r="F196" s="37"/>
      <c r="G196" s="37"/>
    </row>
    <row r="197" ht="15.75" customHeight="1" spans="4:7">
      <c r="D197" s="37"/>
      <c r="E197" s="37"/>
      <c r="F197" s="37"/>
      <c r="G197" s="37"/>
    </row>
    <row r="198" ht="15.75" customHeight="1" spans="4:7">
      <c r="D198" s="37"/>
      <c r="E198" s="37"/>
      <c r="F198" s="37"/>
      <c r="G198" s="37"/>
    </row>
    <row r="199" ht="15.75" customHeight="1" spans="4:7">
      <c r="D199" s="37"/>
      <c r="E199" s="37"/>
      <c r="F199" s="37"/>
      <c r="G199" s="37"/>
    </row>
    <row r="200" ht="15.75" customHeight="1" spans="4:7">
      <c r="D200" s="37"/>
      <c r="E200" s="37"/>
      <c r="F200" s="37"/>
      <c r="G200" s="37"/>
    </row>
    <row r="201" ht="15.75" customHeight="1" spans="4:7">
      <c r="D201" s="37"/>
      <c r="E201" s="37"/>
      <c r="F201" s="37"/>
      <c r="G201" s="37"/>
    </row>
    <row r="202" ht="15.75" customHeight="1" spans="4:7">
      <c r="D202" s="37"/>
      <c r="E202" s="37"/>
      <c r="F202" s="37"/>
      <c r="G202" s="37"/>
    </row>
    <row r="203" ht="15.75" customHeight="1" spans="4:7">
      <c r="D203" s="37"/>
      <c r="E203" s="37"/>
      <c r="F203" s="37"/>
      <c r="G203" s="37"/>
    </row>
    <row r="204" ht="15.75" customHeight="1" spans="4:7">
      <c r="D204" s="37"/>
      <c r="E204" s="37"/>
      <c r="F204" s="37"/>
      <c r="G204" s="37"/>
    </row>
    <row r="205" ht="15.75" customHeight="1" spans="4:7">
      <c r="D205" s="37"/>
      <c r="E205" s="37"/>
      <c r="F205" s="37"/>
      <c r="G205" s="37"/>
    </row>
    <row r="206" ht="15.75" customHeight="1" spans="4:7">
      <c r="D206" s="37"/>
      <c r="E206" s="37"/>
      <c r="F206" s="37"/>
      <c r="G206" s="37"/>
    </row>
    <row r="207" ht="15.75" customHeight="1" spans="4:7">
      <c r="D207" s="37"/>
      <c r="E207" s="37"/>
      <c r="F207" s="37"/>
      <c r="G207" s="37"/>
    </row>
    <row r="208" ht="15.75" customHeight="1" spans="4:7">
      <c r="D208" s="37"/>
      <c r="E208" s="37"/>
      <c r="F208" s="37"/>
      <c r="G208" s="37"/>
    </row>
    <row r="209" ht="15.75" customHeight="1" spans="4:7">
      <c r="D209" s="37"/>
      <c r="E209" s="37"/>
      <c r="F209" s="37"/>
      <c r="G209" s="37"/>
    </row>
    <row r="210" ht="15.75" customHeight="1" spans="4:7">
      <c r="D210" s="37"/>
      <c r="E210" s="37"/>
      <c r="F210" s="37"/>
      <c r="G210" s="37"/>
    </row>
    <row r="211" ht="15.75" customHeight="1" spans="4:7">
      <c r="D211" s="37"/>
      <c r="E211" s="37"/>
      <c r="F211" s="37"/>
      <c r="G211" s="37"/>
    </row>
    <row r="212" ht="15.75" customHeight="1" spans="4:7">
      <c r="D212" s="37"/>
      <c r="E212" s="37"/>
      <c r="F212" s="37"/>
      <c r="G212" s="37"/>
    </row>
    <row r="213" ht="15.75" customHeight="1" spans="4:7">
      <c r="D213" s="37"/>
      <c r="E213" s="37"/>
      <c r="F213" s="37"/>
      <c r="G213" s="37"/>
    </row>
    <row r="214" ht="15.75" customHeight="1" spans="4:7">
      <c r="D214" s="37"/>
      <c r="E214" s="37"/>
      <c r="F214" s="37"/>
      <c r="G214" s="37"/>
    </row>
    <row r="215" ht="15.75" customHeight="1" spans="4:7">
      <c r="D215" s="37"/>
      <c r="E215" s="37"/>
      <c r="F215" s="37"/>
      <c r="G215" s="37"/>
    </row>
    <row r="216" ht="15.75" customHeight="1" spans="4:7">
      <c r="D216" s="37"/>
      <c r="E216" s="37"/>
      <c r="F216" s="37"/>
      <c r="G216" s="37"/>
    </row>
    <row r="217" ht="15.75" customHeight="1" spans="4:7">
      <c r="D217" s="37"/>
      <c r="E217" s="37"/>
      <c r="F217" s="37"/>
      <c r="G217" s="37"/>
    </row>
    <row r="218" ht="15.75" customHeight="1" spans="4:7">
      <c r="D218" s="37"/>
      <c r="E218" s="37"/>
      <c r="F218" s="37"/>
      <c r="G218" s="37"/>
    </row>
    <row r="219" ht="15.75" customHeight="1" spans="4:7">
      <c r="D219" s="37"/>
      <c r="E219" s="37"/>
      <c r="F219" s="37"/>
      <c r="G219" s="37"/>
    </row>
    <row r="220" ht="15.75" customHeight="1" spans="4:7">
      <c r="D220" s="37"/>
      <c r="E220" s="37"/>
      <c r="F220" s="37"/>
      <c r="G220" s="37"/>
    </row>
    <row r="221" ht="15.75" customHeight="1" spans="4:7">
      <c r="D221" s="37"/>
      <c r="E221" s="37"/>
      <c r="F221" s="37"/>
      <c r="G221" s="37"/>
    </row>
    <row r="222" ht="15.75" customHeight="1" spans="4:7">
      <c r="D222" s="37"/>
      <c r="E222" s="37"/>
      <c r="F222" s="37"/>
      <c r="G222" s="37"/>
    </row>
    <row r="223" ht="15.75" customHeight="1" spans="4:7">
      <c r="D223" s="37"/>
      <c r="E223" s="37"/>
      <c r="F223" s="37"/>
      <c r="G223" s="37"/>
    </row>
    <row r="224" ht="15.75" customHeight="1" spans="4:7">
      <c r="D224" s="37"/>
      <c r="E224" s="37"/>
      <c r="F224" s="37"/>
      <c r="G224" s="37"/>
    </row>
    <row r="225" ht="15.75" customHeight="1" spans="4:7">
      <c r="D225" s="37"/>
      <c r="E225" s="37"/>
      <c r="F225" s="37"/>
      <c r="G225" s="37"/>
    </row>
    <row r="226" ht="15.75" customHeight="1" spans="4:7">
      <c r="D226" s="37"/>
      <c r="E226" s="37"/>
      <c r="F226" s="37"/>
      <c r="G226" s="37"/>
    </row>
    <row r="227" ht="15.75" customHeight="1" spans="4:7">
      <c r="D227" s="37"/>
      <c r="E227" s="37"/>
      <c r="F227" s="37"/>
      <c r="G227" s="37"/>
    </row>
    <row r="228" ht="15.75" customHeight="1" spans="4:7">
      <c r="D228" s="37"/>
      <c r="E228" s="37"/>
      <c r="F228" s="37"/>
      <c r="G228" s="37"/>
    </row>
    <row r="229" ht="15.75" customHeight="1" spans="4:7">
      <c r="D229" s="37"/>
      <c r="E229" s="37"/>
      <c r="F229" s="37"/>
      <c r="G229" s="37"/>
    </row>
    <row r="230" ht="15.75" customHeight="1" spans="4:7">
      <c r="D230" s="37"/>
      <c r="E230" s="37"/>
      <c r="F230" s="37"/>
      <c r="G230" s="37"/>
    </row>
    <row r="231" ht="15.75" customHeight="1" spans="4:7">
      <c r="D231" s="37"/>
      <c r="E231" s="37"/>
      <c r="F231" s="37"/>
      <c r="G231" s="37"/>
    </row>
    <row r="232" ht="15.75" customHeight="1" spans="4:7">
      <c r="D232" s="37"/>
      <c r="E232" s="37"/>
      <c r="F232" s="37"/>
      <c r="G232" s="37"/>
    </row>
    <row r="233" ht="15.75" customHeight="1" spans="4:7">
      <c r="D233" s="37"/>
      <c r="E233" s="37"/>
      <c r="F233" s="37"/>
      <c r="G233" s="37"/>
    </row>
    <row r="234" ht="15.75" customHeight="1" spans="4:7">
      <c r="D234" s="37"/>
      <c r="E234" s="37"/>
      <c r="F234" s="37"/>
      <c r="G234" s="37"/>
    </row>
    <row r="235" ht="15.75" customHeight="1" spans="4:7">
      <c r="D235" s="37"/>
      <c r="E235" s="37"/>
      <c r="F235" s="37"/>
      <c r="G235" s="37"/>
    </row>
    <row r="236" ht="15.75" customHeight="1" spans="4:7">
      <c r="D236" s="37"/>
      <c r="E236" s="37"/>
      <c r="F236" s="37"/>
      <c r="G236" s="37"/>
    </row>
    <row r="237" ht="15.75" customHeight="1" spans="4:7">
      <c r="D237" s="37"/>
      <c r="E237" s="37"/>
      <c r="F237" s="37"/>
      <c r="G237" s="37"/>
    </row>
    <row r="238" ht="15.75" customHeight="1" spans="4:7">
      <c r="D238" s="37"/>
      <c r="E238" s="37"/>
      <c r="F238" s="37"/>
      <c r="G238" s="37"/>
    </row>
    <row r="239" ht="15.75" customHeight="1" spans="4:7">
      <c r="D239" s="37"/>
      <c r="E239" s="37"/>
      <c r="F239" s="37"/>
      <c r="G239" s="37"/>
    </row>
    <row r="240" ht="15.75" customHeight="1" spans="4:7">
      <c r="D240" s="37"/>
      <c r="E240" s="37"/>
      <c r="F240" s="37"/>
      <c r="G240" s="37"/>
    </row>
    <row r="241" ht="15.75" customHeight="1" spans="4:7">
      <c r="D241" s="37"/>
      <c r="E241" s="37"/>
      <c r="F241" s="37"/>
      <c r="G241" s="37"/>
    </row>
    <row r="242" ht="15.75" customHeight="1" spans="4:7">
      <c r="D242" s="37"/>
      <c r="E242" s="37"/>
      <c r="F242" s="37"/>
      <c r="G242" s="37"/>
    </row>
    <row r="243" ht="15.75" customHeight="1" spans="4:7">
      <c r="D243" s="37"/>
      <c r="E243" s="37"/>
      <c r="F243" s="37"/>
      <c r="G243" s="37"/>
    </row>
    <row r="244" ht="15.75" customHeight="1" spans="4:7">
      <c r="D244" s="37"/>
      <c r="E244" s="37"/>
      <c r="F244" s="37"/>
      <c r="G244" s="37"/>
    </row>
    <row r="245" ht="15.75" customHeight="1" spans="4:7">
      <c r="D245" s="37"/>
      <c r="E245" s="37"/>
      <c r="F245" s="37"/>
      <c r="G245" s="37"/>
    </row>
    <row r="246" ht="15.75" customHeight="1" spans="4:7">
      <c r="D246" s="37"/>
      <c r="E246" s="37"/>
      <c r="F246" s="37"/>
      <c r="G246" s="37"/>
    </row>
    <row r="247" ht="15.75" customHeight="1" spans="4:7">
      <c r="D247" s="37"/>
      <c r="E247" s="37"/>
      <c r="F247" s="37"/>
      <c r="G247" s="37"/>
    </row>
    <row r="248" ht="15.75" customHeight="1" spans="4:7">
      <c r="D248" s="37"/>
      <c r="E248" s="37"/>
      <c r="F248" s="37"/>
      <c r="G248" s="37"/>
    </row>
    <row r="249" ht="15.75" customHeight="1" spans="4:7">
      <c r="D249" s="37"/>
      <c r="E249" s="37"/>
      <c r="F249" s="37"/>
      <c r="G249" s="37"/>
    </row>
    <row r="250" ht="15.75" customHeight="1" spans="4:7">
      <c r="D250" s="37"/>
      <c r="E250" s="37"/>
      <c r="F250" s="37"/>
      <c r="G250" s="37"/>
    </row>
    <row r="251" ht="15.75" customHeight="1" spans="4:7">
      <c r="D251" s="37"/>
      <c r="E251" s="37"/>
      <c r="F251" s="37"/>
      <c r="G251" s="37"/>
    </row>
    <row r="252" ht="15.75" customHeight="1" spans="4:7">
      <c r="D252" s="37"/>
      <c r="E252" s="37"/>
      <c r="F252" s="37"/>
      <c r="G252" s="37"/>
    </row>
    <row r="253" ht="15.75" customHeight="1" spans="4:7">
      <c r="D253" s="37"/>
      <c r="E253" s="37"/>
      <c r="F253" s="37"/>
      <c r="G253" s="37"/>
    </row>
    <row r="254" ht="15.75" customHeight="1" spans="4:7">
      <c r="D254" s="37"/>
      <c r="E254" s="37"/>
      <c r="F254" s="37"/>
      <c r="G254" s="37"/>
    </row>
    <row r="255" ht="15.75" customHeight="1" spans="4:7">
      <c r="D255" s="37"/>
      <c r="E255" s="37"/>
      <c r="F255" s="37"/>
      <c r="G255" s="37"/>
    </row>
    <row r="256" ht="15.75" customHeight="1" spans="4:7">
      <c r="D256" s="37"/>
      <c r="E256" s="37"/>
      <c r="F256" s="37"/>
      <c r="G256" s="37"/>
    </row>
    <row r="257" ht="15.75" customHeight="1" spans="4:7">
      <c r="D257" s="37"/>
      <c r="E257" s="37"/>
      <c r="F257" s="37"/>
      <c r="G257" s="37"/>
    </row>
    <row r="258" ht="15.75" customHeight="1" spans="4:7">
      <c r="D258" s="37"/>
      <c r="E258" s="37"/>
      <c r="F258" s="37"/>
      <c r="G258" s="37"/>
    </row>
    <row r="259" ht="15.75" customHeight="1" spans="4:7">
      <c r="D259" s="37"/>
      <c r="E259" s="37"/>
      <c r="F259" s="37"/>
      <c r="G259" s="37"/>
    </row>
    <row r="260" ht="15.75" customHeight="1" spans="4:7">
      <c r="D260" s="37"/>
      <c r="E260" s="37"/>
      <c r="F260" s="37"/>
      <c r="G260" s="37"/>
    </row>
    <row r="261" ht="15.75" customHeight="1" spans="4:7">
      <c r="D261" s="37"/>
      <c r="E261" s="37"/>
      <c r="F261" s="37"/>
      <c r="G261" s="37"/>
    </row>
    <row r="262" ht="15.75" customHeight="1" spans="4:7">
      <c r="D262" s="37"/>
      <c r="E262" s="37"/>
      <c r="F262" s="37"/>
      <c r="G262" s="37"/>
    </row>
    <row r="263" ht="15.75" customHeight="1" spans="4:7">
      <c r="D263" s="37"/>
      <c r="E263" s="37"/>
      <c r="F263" s="37"/>
      <c r="G263" s="37"/>
    </row>
    <row r="264" ht="15.75" customHeight="1" spans="4:7">
      <c r="D264" s="37"/>
      <c r="E264" s="37"/>
      <c r="F264" s="37"/>
      <c r="G264" s="37"/>
    </row>
    <row r="265" ht="15.75" customHeight="1" spans="4:7">
      <c r="D265" s="37"/>
      <c r="E265" s="37"/>
      <c r="F265" s="37"/>
      <c r="G265" s="37"/>
    </row>
    <row r="266" ht="15.75" customHeight="1" spans="4:7">
      <c r="D266" s="37"/>
      <c r="E266" s="37"/>
      <c r="F266" s="37"/>
      <c r="G266" s="37"/>
    </row>
    <row r="267" ht="15.75" customHeight="1" spans="4:7">
      <c r="D267" s="37"/>
      <c r="E267" s="37"/>
      <c r="F267" s="37"/>
      <c r="G267" s="37"/>
    </row>
    <row r="268" ht="15.75" customHeight="1" spans="4:7">
      <c r="D268" s="37"/>
      <c r="E268" s="37"/>
      <c r="F268" s="37"/>
      <c r="G268" s="37"/>
    </row>
    <row r="269" ht="15.75" customHeight="1" spans="4:7">
      <c r="D269" s="37"/>
      <c r="E269" s="37"/>
      <c r="F269" s="37"/>
      <c r="G269" s="37"/>
    </row>
    <row r="270" ht="15.75" customHeight="1" spans="4:7">
      <c r="D270" s="37"/>
      <c r="E270" s="37"/>
      <c r="F270" s="37"/>
      <c r="G270" s="37"/>
    </row>
    <row r="271" ht="15.75" customHeight="1" spans="4:7">
      <c r="D271" s="37"/>
      <c r="E271" s="37"/>
      <c r="F271" s="37"/>
      <c r="G271" s="37"/>
    </row>
    <row r="272" ht="15.75" customHeight="1" spans="4:7">
      <c r="D272" s="37"/>
      <c r="E272" s="37"/>
      <c r="F272" s="37"/>
      <c r="G272" s="37"/>
    </row>
    <row r="273" ht="15.75" customHeight="1" spans="4:7">
      <c r="D273" s="37"/>
      <c r="E273" s="37"/>
      <c r="F273" s="37"/>
      <c r="G273" s="37"/>
    </row>
    <row r="274" ht="15.75" customHeight="1" spans="4:7">
      <c r="D274" s="37"/>
      <c r="E274" s="37"/>
      <c r="F274" s="37"/>
      <c r="G274" s="37"/>
    </row>
    <row r="275" ht="15.75" customHeight="1" spans="4:7">
      <c r="D275" s="37"/>
      <c r="E275" s="37"/>
      <c r="F275" s="37"/>
      <c r="G275" s="37"/>
    </row>
    <row r="276" ht="15.75" customHeight="1" spans="4:7">
      <c r="D276" s="37"/>
      <c r="E276" s="37"/>
      <c r="F276" s="37"/>
      <c r="G276" s="37"/>
    </row>
    <row r="277" ht="15.75" customHeight="1" spans="4:7">
      <c r="D277" s="37"/>
      <c r="E277" s="37"/>
      <c r="F277" s="37"/>
      <c r="G277" s="37"/>
    </row>
    <row r="278" ht="15.75" customHeight="1" spans="4:7">
      <c r="D278" s="37"/>
      <c r="E278" s="37"/>
      <c r="F278" s="37"/>
      <c r="G278" s="37"/>
    </row>
    <row r="279" ht="15.75" customHeight="1" spans="4:7">
      <c r="D279" s="37"/>
      <c r="E279" s="37"/>
      <c r="F279" s="37"/>
      <c r="G279" s="37"/>
    </row>
    <row r="280" ht="15.75" customHeight="1" spans="4:7">
      <c r="D280" s="37"/>
      <c r="E280" s="37"/>
      <c r="F280" s="37"/>
      <c r="G280" s="37"/>
    </row>
    <row r="281" ht="15.75" customHeight="1" spans="4:7">
      <c r="D281" s="37"/>
      <c r="E281" s="37"/>
      <c r="F281" s="37"/>
      <c r="G281" s="37"/>
    </row>
    <row r="282" ht="15.75" customHeight="1" spans="4:7">
      <c r="D282" s="37"/>
      <c r="E282" s="37"/>
      <c r="F282" s="37"/>
      <c r="G282" s="37"/>
    </row>
    <row r="283" ht="15.75" customHeight="1" spans="4:7">
      <c r="D283" s="37"/>
      <c r="E283" s="37"/>
      <c r="F283" s="37"/>
      <c r="G283" s="37"/>
    </row>
    <row r="284" ht="15.75" customHeight="1" spans="4:7">
      <c r="D284" s="37"/>
      <c r="E284" s="37"/>
      <c r="F284" s="37"/>
      <c r="G284" s="37"/>
    </row>
    <row r="285" ht="15.75" customHeight="1" spans="4:7">
      <c r="D285" s="37"/>
      <c r="E285" s="37"/>
      <c r="F285" s="37"/>
      <c r="G285" s="37"/>
    </row>
    <row r="286" ht="15.75" customHeight="1" spans="4:7">
      <c r="D286" s="37"/>
      <c r="E286" s="37"/>
      <c r="F286" s="37"/>
      <c r="G286" s="37"/>
    </row>
    <row r="287" ht="15.75" customHeight="1" spans="4:7">
      <c r="D287" s="37"/>
      <c r="E287" s="37"/>
      <c r="F287" s="37"/>
      <c r="G287" s="37"/>
    </row>
    <row r="288" ht="15.75" customHeight="1" spans="4:7">
      <c r="D288" s="37"/>
      <c r="E288" s="37"/>
      <c r="F288" s="37"/>
      <c r="G288" s="37"/>
    </row>
    <row r="289" ht="15.75" customHeight="1" spans="4:7">
      <c r="D289" s="37"/>
      <c r="E289" s="37"/>
      <c r="F289" s="37"/>
      <c r="G289" s="37"/>
    </row>
    <row r="290" ht="15.75" customHeight="1" spans="4:7">
      <c r="D290" s="37"/>
      <c r="E290" s="37"/>
      <c r="F290" s="37"/>
      <c r="G290" s="37"/>
    </row>
    <row r="291" ht="15.75" customHeight="1" spans="4:7">
      <c r="D291" s="37"/>
      <c r="E291" s="37"/>
      <c r="F291" s="37"/>
      <c r="G291" s="37"/>
    </row>
    <row r="292" ht="15.75" customHeight="1" spans="4:7">
      <c r="D292" s="37"/>
      <c r="E292" s="37"/>
      <c r="F292" s="37"/>
      <c r="G292" s="37"/>
    </row>
    <row r="293" ht="15.75" customHeight="1" spans="4:7">
      <c r="D293" s="37"/>
      <c r="E293" s="37"/>
      <c r="F293" s="37"/>
      <c r="G293" s="37"/>
    </row>
    <row r="294" ht="15.75" customHeight="1" spans="4:7">
      <c r="D294" s="37"/>
      <c r="E294" s="37"/>
      <c r="F294" s="37"/>
      <c r="G294" s="37"/>
    </row>
    <row r="295" ht="15.75" customHeight="1" spans="4:7">
      <c r="D295" s="37"/>
      <c r="E295" s="37"/>
      <c r="F295" s="37"/>
      <c r="G295" s="37"/>
    </row>
    <row r="296" ht="15.75" customHeight="1" spans="4:7">
      <c r="D296" s="37"/>
      <c r="E296" s="37"/>
      <c r="F296" s="37"/>
      <c r="G296" s="37"/>
    </row>
    <row r="297" ht="15.75" customHeight="1" spans="4:7">
      <c r="D297" s="37"/>
      <c r="E297" s="37"/>
      <c r="F297" s="37"/>
      <c r="G297" s="37"/>
    </row>
    <row r="298" ht="15.75" customHeight="1" spans="4:7">
      <c r="D298" s="37"/>
      <c r="E298" s="37"/>
      <c r="F298" s="37"/>
      <c r="G298" s="37"/>
    </row>
    <row r="299" ht="15.75" customHeight="1" spans="4:7">
      <c r="D299" s="37"/>
      <c r="E299" s="37"/>
      <c r="F299" s="37"/>
      <c r="G299" s="37"/>
    </row>
    <row r="300" ht="15.75" customHeight="1" spans="4:7">
      <c r="D300" s="37"/>
      <c r="E300" s="37"/>
      <c r="F300" s="37"/>
      <c r="G300" s="37"/>
    </row>
    <row r="301" ht="15.75" customHeight="1" spans="4:7">
      <c r="D301" s="37"/>
      <c r="E301" s="37"/>
      <c r="F301" s="37"/>
      <c r="G301" s="37"/>
    </row>
    <row r="302" ht="15.75" customHeight="1" spans="4:7">
      <c r="D302" s="37"/>
      <c r="E302" s="37"/>
      <c r="F302" s="37"/>
      <c r="G302" s="37"/>
    </row>
    <row r="303" ht="15.75" customHeight="1" spans="4:7">
      <c r="D303" s="37"/>
      <c r="E303" s="37"/>
      <c r="F303" s="37"/>
      <c r="G303" s="37"/>
    </row>
    <row r="304" ht="15.75" customHeight="1" spans="4:7">
      <c r="D304" s="37"/>
      <c r="E304" s="37"/>
      <c r="F304" s="37"/>
      <c r="G304" s="37"/>
    </row>
    <row r="305" ht="15.75" customHeight="1" spans="4:7">
      <c r="D305" s="37"/>
      <c r="E305" s="37"/>
      <c r="F305" s="37"/>
      <c r="G305" s="37"/>
    </row>
    <row r="306" ht="15.75" customHeight="1" spans="4:7">
      <c r="D306" s="37"/>
      <c r="E306" s="37"/>
      <c r="F306" s="37"/>
      <c r="G306" s="37"/>
    </row>
    <row r="307" ht="15.75" customHeight="1" spans="4:7">
      <c r="D307" s="37"/>
      <c r="E307" s="37"/>
      <c r="F307" s="37"/>
      <c r="G307" s="37"/>
    </row>
    <row r="308" ht="15.75" customHeight="1" spans="4:7">
      <c r="D308" s="37"/>
      <c r="E308" s="37"/>
      <c r="F308" s="37"/>
      <c r="G308" s="37"/>
    </row>
    <row r="309" ht="15.75" customHeight="1" spans="4:7">
      <c r="D309" s="37"/>
      <c r="E309" s="37"/>
      <c r="F309" s="37"/>
      <c r="G309" s="37"/>
    </row>
    <row r="310" ht="15.75" customHeight="1" spans="4:7">
      <c r="D310" s="37"/>
      <c r="E310" s="37"/>
      <c r="F310" s="37"/>
      <c r="G310" s="37"/>
    </row>
    <row r="311" ht="15.75" customHeight="1" spans="4:7">
      <c r="D311" s="37"/>
      <c r="E311" s="37"/>
      <c r="F311" s="37"/>
      <c r="G311" s="37"/>
    </row>
    <row r="312" ht="15.75" customHeight="1" spans="4:7">
      <c r="D312" s="37"/>
      <c r="E312" s="37"/>
      <c r="F312" s="37"/>
      <c r="G312" s="37"/>
    </row>
    <row r="313" ht="15.75" customHeight="1" spans="4:7">
      <c r="D313" s="37"/>
      <c r="E313" s="37"/>
      <c r="F313" s="37"/>
      <c r="G313" s="37"/>
    </row>
    <row r="314" ht="15.75" customHeight="1" spans="4:7">
      <c r="D314" s="37"/>
      <c r="E314" s="37"/>
      <c r="F314" s="37"/>
      <c r="G314" s="37"/>
    </row>
    <row r="315" ht="15.75" customHeight="1" spans="4:7">
      <c r="D315" s="37"/>
      <c r="E315" s="37"/>
      <c r="F315" s="37"/>
      <c r="G315" s="37"/>
    </row>
    <row r="316" ht="15.75" customHeight="1" spans="4:7">
      <c r="D316" s="37"/>
      <c r="E316" s="37"/>
      <c r="F316" s="37"/>
      <c r="G316" s="37"/>
    </row>
    <row r="317" ht="15.75" customHeight="1" spans="4:7">
      <c r="D317" s="37"/>
      <c r="E317" s="37"/>
      <c r="F317" s="37"/>
      <c r="G317" s="37"/>
    </row>
    <row r="318" ht="15.75" customHeight="1" spans="4:7">
      <c r="D318" s="37"/>
      <c r="E318" s="37"/>
      <c r="F318" s="37"/>
      <c r="G318" s="37"/>
    </row>
    <row r="319" ht="15.75" customHeight="1" spans="4:7">
      <c r="D319" s="37"/>
      <c r="E319" s="37"/>
      <c r="F319" s="37"/>
      <c r="G319" s="37"/>
    </row>
    <row r="320" ht="15.75" customHeight="1" spans="4:7">
      <c r="D320" s="37"/>
      <c r="E320" s="37"/>
      <c r="F320" s="37"/>
      <c r="G320" s="37"/>
    </row>
    <row r="321" ht="15.75" customHeight="1" spans="4:7">
      <c r="D321" s="37"/>
      <c r="E321" s="37"/>
      <c r="F321" s="37"/>
      <c r="G321" s="37"/>
    </row>
    <row r="322" ht="15.75" customHeight="1" spans="4:7">
      <c r="D322" s="37"/>
      <c r="E322" s="37"/>
      <c r="F322" s="37"/>
      <c r="G322" s="37"/>
    </row>
    <row r="323" ht="15.75" customHeight="1" spans="4:7">
      <c r="D323" s="37"/>
      <c r="E323" s="37"/>
      <c r="F323" s="37"/>
      <c r="G323" s="37"/>
    </row>
    <row r="324" ht="15.75" customHeight="1" spans="4:7">
      <c r="D324" s="37"/>
      <c r="E324" s="37"/>
      <c r="F324" s="37"/>
      <c r="G324" s="37"/>
    </row>
    <row r="325" ht="15.75" customHeight="1" spans="4:7">
      <c r="D325" s="37"/>
      <c r="E325" s="37"/>
      <c r="F325" s="37"/>
      <c r="G325" s="37"/>
    </row>
    <row r="326" ht="15.75" customHeight="1" spans="4:7">
      <c r="D326" s="37"/>
      <c r="E326" s="37"/>
      <c r="F326" s="37"/>
      <c r="G326" s="37"/>
    </row>
    <row r="327" ht="15.75" customHeight="1" spans="4:7">
      <c r="D327" s="37"/>
      <c r="E327" s="37"/>
      <c r="F327" s="37"/>
      <c r="G327" s="37"/>
    </row>
    <row r="328" ht="15.75" customHeight="1" spans="4:7">
      <c r="D328" s="37"/>
      <c r="E328" s="37"/>
      <c r="F328" s="37"/>
      <c r="G328" s="37"/>
    </row>
    <row r="329" ht="15.75" customHeight="1" spans="4:7">
      <c r="D329" s="37"/>
      <c r="E329" s="37"/>
      <c r="F329" s="37"/>
      <c r="G329" s="37"/>
    </row>
    <row r="330" ht="15.75" customHeight="1" spans="4:7">
      <c r="D330" s="37"/>
      <c r="E330" s="37"/>
      <c r="F330" s="37"/>
      <c r="G330" s="37"/>
    </row>
    <row r="331" ht="15.75" customHeight="1" spans="4:7">
      <c r="D331" s="37"/>
      <c r="E331" s="37"/>
      <c r="F331" s="37"/>
      <c r="G331" s="37"/>
    </row>
    <row r="332" ht="15.75" customHeight="1" spans="4:7">
      <c r="D332" s="37"/>
      <c r="E332" s="37"/>
      <c r="F332" s="37"/>
      <c r="G332" s="37"/>
    </row>
    <row r="333" ht="15.75" customHeight="1" spans="4:7">
      <c r="D333" s="37"/>
      <c r="E333" s="37"/>
      <c r="F333" s="37"/>
      <c r="G333" s="37"/>
    </row>
    <row r="334" ht="15.75" customHeight="1" spans="4:7">
      <c r="D334" s="37"/>
      <c r="E334" s="37"/>
      <c r="F334" s="37"/>
      <c r="G334" s="37"/>
    </row>
    <row r="335" ht="15.75" customHeight="1" spans="4:7">
      <c r="D335" s="37"/>
      <c r="E335" s="37"/>
      <c r="F335" s="37"/>
      <c r="G335" s="37"/>
    </row>
    <row r="336" ht="15.75" customHeight="1" spans="4:7">
      <c r="D336" s="37"/>
      <c r="E336" s="37"/>
      <c r="F336" s="37"/>
      <c r="G336" s="37"/>
    </row>
    <row r="337" ht="15.75" customHeight="1" spans="4:7">
      <c r="D337" s="37"/>
      <c r="E337" s="37"/>
      <c r="F337" s="37"/>
      <c r="G337" s="37"/>
    </row>
    <row r="338" ht="15.75" customHeight="1" spans="4:7">
      <c r="D338" s="37"/>
      <c r="E338" s="37"/>
      <c r="F338" s="37"/>
      <c r="G338" s="37"/>
    </row>
    <row r="339" ht="15.75" customHeight="1" spans="4:7">
      <c r="D339" s="37"/>
      <c r="E339" s="37"/>
      <c r="F339" s="37"/>
      <c r="G339" s="37"/>
    </row>
    <row r="340" ht="15.75" customHeight="1" spans="4:7">
      <c r="D340" s="37"/>
      <c r="E340" s="37"/>
      <c r="F340" s="37"/>
      <c r="G340" s="37"/>
    </row>
    <row r="341" ht="15.75" customHeight="1" spans="4:7">
      <c r="D341" s="37"/>
      <c r="E341" s="37"/>
      <c r="F341" s="37"/>
      <c r="G341" s="37"/>
    </row>
    <row r="342" ht="15.75" customHeight="1" spans="4:7">
      <c r="D342" s="37"/>
      <c r="E342" s="37"/>
      <c r="F342" s="37"/>
      <c r="G342" s="37"/>
    </row>
    <row r="343" ht="15.75" customHeight="1" spans="4:7">
      <c r="D343" s="37"/>
      <c r="E343" s="37"/>
      <c r="F343" s="37"/>
      <c r="G343" s="37"/>
    </row>
    <row r="344" ht="15.75" customHeight="1" spans="4:7">
      <c r="D344" s="37"/>
      <c r="E344" s="37"/>
      <c r="F344" s="37"/>
      <c r="G344" s="37"/>
    </row>
    <row r="345" ht="15.75" customHeight="1" spans="4:7">
      <c r="D345" s="37"/>
      <c r="E345" s="37"/>
      <c r="F345" s="37"/>
      <c r="G345" s="37"/>
    </row>
    <row r="346" ht="15.75" customHeight="1" spans="4:7">
      <c r="D346" s="37"/>
      <c r="E346" s="37"/>
      <c r="F346" s="37"/>
      <c r="G346" s="37"/>
    </row>
    <row r="347" ht="15.75" customHeight="1" spans="4:7">
      <c r="D347" s="37"/>
      <c r="E347" s="37"/>
      <c r="F347" s="37"/>
      <c r="G347" s="37"/>
    </row>
    <row r="348" ht="15.75" customHeight="1" spans="4:7">
      <c r="D348" s="37"/>
      <c r="E348" s="37"/>
      <c r="F348" s="37"/>
      <c r="G348" s="37"/>
    </row>
    <row r="349" ht="15.75" customHeight="1" spans="4:7">
      <c r="D349" s="37"/>
      <c r="E349" s="37"/>
      <c r="F349" s="37"/>
      <c r="G349" s="37"/>
    </row>
    <row r="350" ht="15.75" customHeight="1" spans="4:7">
      <c r="D350" s="37"/>
      <c r="E350" s="37"/>
      <c r="F350" s="37"/>
      <c r="G350" s="37"/>
    </row>
    <row r="351" ht="15.75" customHeight="1" spans="4:7">
      <c r="D351" s="37"/>
      <c r="E351" s="37"/>
      <c r="F351" s="37"/>
      <c r="G351" s="37"/>
    </row>
    <row r="352" ht="15.75" customHeight="1" spans="4:7">
      <c r="D352" s="37"/>
      <c r="E352" s="37"/>
      <c r="F352" s="37"/>
      <c r="G352" s="37"/>
    </row>
    <row r="353" ht="15.75" customHeight="1" spans="4:7">
      <c r="D353" s="37"/>
      <c r="E353" s="37"/>
      <c r="F353" s="37"/>
      <c r="G353" s="37"/>
    </row>
    <row r="354" ht="15.75" customHeight="1" spans="4:7">
      <c r="D354" s="37"/>
      <c r="E354" s="37"/>
      <c r="F354" s="37"/>
      <c r="G354" s="37"/>
    </row>
    <row r="355" ht="15.75" customHeight="1" spans="4:7">
      <c r="D355" s="37"/>
      <c r="E355" s="37"/>
      <c r="F355" s="37"/>
      <c r="G355" s="37"/>
    </row>
    <row r="356" ht="15.75" customHeight="1" spans="4:7">
      <c r="D356" s="37"/>
      <c r="E356" s="37"/>
      <c r="F356" s="37"/>
      <c r="G356" s="37"/>
    </row>
    <row r="357" ht="15.75" customHeight="1" spans="4:7">
      <c r="D357" s="37"/>
      <c r="E357" s="37"/>
      <c r="F357" s="37"/>
      <c r="G357" s="37"/>
    </row>
    <row r="358" ht="15.75" customHeight="1" spans="4:7">
      <c r="D358" s="37"/>
      <c r="E358" s="37"/>
      <c r="F358" s="37"/>
      <c r="G358" s="37"/>
    </row>
    <row r="359" ht="15.75" customHeight="1" spans="4:7">
      <c r="D359" s="37"/>
      <c r="E359" s="37"/>
      <c r="F359" s="37"/>
      <c r="G359" s="37"/>
    </row>
    <row r="360" ht="15.75" customHeight="1" spans="4:7">
      <c r="D360" s="37"/>
      <c r="E360" s="37"/>
      <c r="F360" s="37"/>
      <c r="G360" s="37"/>
    </row>
    <row r="361" ht="15.75" customHeight="1" spans="4:7">
      <c r="D361" s="37"/>
      <c r="E361" s="37"/>
      <c r="F361" s="37"/>
      <c r="G361" s="37"/>
    </row>
    <row r="362" ht="15.75" customHeight="1" spans="4:7">
      <c r="D362" s="37"/>
      <c r="E362" s="37"/>
      <c r="F362" s="37"/>
      <c r="G362" s="37"/>
    </row>
    <row r="363" ht="15.75" customHeight="1" spans="4:7">
      <c r="D363" s="37"/>
      <c r="E363" s="37"/>
      <c r="F363" s="37"/>
      <c r="G363" s="37"/>
    </row>
    <row r="364" ht="15.75" customHeight="1" spans="4:7">
      <c r="D364" s="37"/>
      <c r="E364" s="37"/>
      <c r="F364" s="37"/>
      <c r="G364" s="37"/>
    </row>
    <row r="365" ht="15.75" customHeight="1" spans="4:7">
      <c r="D365" s="37"/>
      <c r="E365" s="37"/>
      <c r="F365" s="37"/>
      <c r="G365" s="37"/>
    </row>
    <row r="366" ht="15.75" customHeight="1" spans="4:7">
      <c r="D366" s="37"/>
      <c r="E366" s="37"/>
      <c r="F366" s="37"/>
      <c r="G366" s="37"/>
    </row>
    <row r="367" ht="15.75" customHeight="1" spans="4:7">
      <c r="D367" s="37"/>
      <c r="E367" s="37"/>
      <c r="F367" s="37"/>
      <c r="G367" s="37"/>
    </row>
    <row r="368" ht="15.75" customHeight="1" spans="4:7">
      <c r="D368" s="37"/>
      <c r="E368" s="37"/>
      <c r="F368" s="37"/>
      <c r="G368" s="37"/>
    </row>
    <row r="369" ht="15.75" customHeight="1" spans="4:7">
      <c r="D369" s="37"/>
      <c r="E369" s="37"/>
      <c r="F369" s="37"/>
      <c r="G369" s="37"/>
    </row>
    <row r="370" ht="15.75" customHeight="1" spans="4:7">
      <c r="D370" s="37"/>
      <c r="E370" s="37"/>
      <c r="F370" s="37"/>
      <c r="G370" s="37"/>
    </row>
    <row r="371" ht="15.75" customHeight="1" spans="4:7">
      <c r="D371" s="37"/>
      <c r="E371" s="37"/>
      <c r="F371" s="37"/>
      <c r="G371" s="37"/>
    </row>
    <row r="372" ht="15.75" customHeight="1" spans="4:7">
      <c r="D372" s="37"/>
      <c r="E372" s="37"/>
      <c r="F372" s="37"/>
      <c r="G372" s="37"/>
    </row>
    <row r="373" ht="15.75" customHeight="1" spans="4:7">
      <c r="D373" s="37"/>
      <c r="E373" s="37"/>
      <c r="F373" s="37"/>
      <c r="G373" s="37"/>
    </row>
    <row r="374" ht="15.75" customHeight="1" spans="4:7">
      <c r="D374" s="37"/>
      <c r="E374" s="37"/>
      <c r="F374" s="37"/>
      <c r="G374" s="37"/>
    </row>
    <row r="375" ht="15.75" customHeight="1" spans="4:7">
      <c r="D375" s="37"/>
      <c r="E375" s="37"/>
      <c r="F375" s="37"/>
      <c r="G375" s="37"/>
    </row>
    <row r="376" ht="15.75" customHeight="1" spans="4:7">
      <c r="D376" s="37"/>
      <c r="E376" s="37"/>
      <c r="F376" s="37"/>
      <c r="G376" s="37"/>
    </row>
    <row r="377" ht="15.75" customHeight="1" spans="4:7">
      <c r="D377" s="37"/>
      <c r="E377" s="37"/>
      <c r="F377" s="37"/>
      <c r="G377" s="37"/>
    </row>
    <row r="378" ht="15.75" customHeight="1" spans="4:7">
      <c r="D378" s="37"/>
      <c r="E378" s="37"/>
      <c r="F378" s="37"/>
      <c r="G378" s="37"/>
    </row>
    <row r="379" ht="15.75" customHeight="1" spans="4:7">
      <c r="D379" s="37"/>
      <c r="E379" s="37"/>
      <c r="F379" s="37"/>
      <c r="G379" s="37"/>
    </row>
    <row r="380" ht="15.75" customHeight="1" spans="4:7">
      <c r="D380" s="37"/>
      <c r="E380" s="37"/>
      <c r="F380" s="37"/>
      <c r="G380" s="37"/>
    </row>
    <row r="381" ht="15.75" customHeight="1" spans="4:7">
      <c r="D381" s="37"/>
      <c r="E381" s="37"/>
      <c r="F381" s="37"/>
      <c r="G381" s="37"/>
    </row>
    <row r="382" ht="15.75" customHeight="1" spans="4:7">
      <c r="D382" s="37"/>
      <c r="E382" s="37"/>
      <c r="F382" s="37"/>
      <c r="G382" s="37"/>
    </row>
    <row r="383" ht="15.75" customHeight="1" spans="4:7">
      <c r="D383" s="37"/>
      <c r="E383" s="37"/>
      <c r="F383" s="37"/>
      <c r="G383" s="37"/>
    </row>
    <row r="384" ht="15.75" customHeight="1" spans="4:7">
      <c r="D384" s="37"/>
      <c r="E384" s="37"/>
      <c r="F384" s="37"/>
      <c r="G384" s="37"/>
    </row>
    <row r="385" ht="15.75" customHeight="1" spans="4:7">
      <c r="D385" s="37"/>
      <c r="E385" s="37"/>
      <c r="F385" s="37"/>
      <c r="G385" s="37"/>
    </row>
    <row r="386" ht="15.75" customHeight="1" spans="4:7">
      <c r="D386" s="37"/>
      <c r="E386" s="37"/>
      <c r="F386" s="37"/>
      <c r="G386" s="37"/>
    </row>
    <row r="387" ht="15.75" customHeight="1" spans="4:7">
      <c r="D387" s="37"/>
      <c r="E387" s="37"/>
      <c r="F387" s="37"/>
      <c r="G387" s="37"/>
    </row>
    <row r="388" ht="15.75" customHeight="1" spans="4:7">
      <c r="D388" s="37"/>
      <c r="E388" s="37"/>
      <c r="F388" s="37"/>
      <c r="G388" s="37"/>
    </row>
    <row r="389" ht="15.75" customHeight="1" spans="4:7">
      <c r="D389" s="37"/>
      <c r="E389" s="37"/>
      <c r="F389" s="37"/>
      <c r="G389" s="37"/>
    </row>
    <row r="390" ht="15.75" customHeight="1" spans="4:7">
      <c r="D390" s="37"/>
      <c r="E390" s="37"/>
      <c r="F390" s="37"/>
      <c r="G390" s="37"/>
    </row>
    <row r="391" ht="15.75" customHeight="1" spans="4:7">
      <c r="D391" s="37"/>
      <c r="E391" s="37"/>
      <c r="F391" s="37"/>
      <c r="G391" s="37"/>
    </row>
    <row r="392" ht="15.75" customHeight="1" spans="4:7">
      <c r="D392" s="37"/>
      <c r="E392" s="37"/>
      <c r="F392" s="37"/>
      <c r="G392" s="37"/>
    </row>
    <row r="393" ht="15.75" customHeight="1" spans="4:7">
      <c r="D393" s="37"/>
      <c r="E393" s="37"/>
      <c r="F393" s="37"/>
      <c r="G393" s="37"/>
    </row>
    <row r="394" ht="15.75" customHeight="1" spans="4:7">
      <c r="D394" s="37"/>
      <c r="E394" s="37"/>
      <c r="F394" s="37"/>
      <c r="G394" s="37"/>
    </row>
    <row r="395" ht="15.75" customHeight="1" spans="4:7">
      <c r="D395" s="37"/>
      <c r="E395" s="37"/>
      <c r="F395" s="37"/>
      <c r="G395" s="37"/>
    </row>
    <row r="396" ht="15.75" customHeight="1" spans="4:7">
      <c r="D396" s="37"/>
      <c r="E396" s="37"/>
      <c r="F396" s="37"/>
      <c r="G396" s="37"/>
    </row>
    <row r="397" ht="15.75" customHeight="1" spans="4:7">
      <c r="D397" s="37"/>
      <c r="E397" s="37"/>
      <c r="F397" s="37"/>
      <c r="G397" s="37"/>
    </row>
    <row r="398" ht="15.75" customHeight="1" spans="4:7">
      <c r="D398" s="37"/>
      <c r="E398" s="37"/>
      <c r="F398" s="37"/>
      <c r="G398" s="37"/>
    </row>
    <row r="399" ht="15.75" customHeight="1" spans="4:7">
      <c r="D399" s="37"/>
      <c r="E399" s="37"/>
      <c r="F399" s="37"/>
      <c r="G399" s="37"/>
    </row>
    <row r="400" ht="15.75" customHeight="1" spans="4:7">
      <c r="D400" s="37"/>
      <c r="E400" s="37"/>
      <c r="F400" s="37"/>
      <c r="G400" s="37"/>
    </row>
    <row r="401" ht="15.75" customHeight="1" spans="4:7">
      <c r="D401" s="37"/>
      <c r="E401" s="37"/>
      <c r="F401" s="37"/>
      <c r="G401" s="37"/>
    </row>
    <row r="402" ht="15.75" customHeight="1" spans="4:7">
      <c r="D402" s="37"/>
      <c r="E402" s="37"/>
      <c r="F402" s="37"/>
      <c r="G402" s="37"/>
    </row>
    <row r="403" ht="15.75" customHeight="1" spans="4:7">
      <c r="D403" s="37"/>
      <c r="E403" s="37"/>
      <c r="F403" s="37"/>
      <c r="G403" s="37"/>
    </row>
    <row r="404" ht="15.75" customHeight="1" spans="4:7">
      <c r="D404" s="37"/>
      <c r="E404" s="37"/>
      <c r="F404" s="37"/>
      <c r="G404" s="37"/>
    </row>
    <row r="405" ht="15.75" customHeight="1" spans="4:7">
      <c r="D405" s="37"/>
      <c r="E405" s="37"/>
      <c r="F405" s="37"/>
      <c r="G405" s="37"/>
    </row>
    <row r="406" ht="15.75" customHeight="1" spans="4:7">
      <c r="D406" s="37"/>
      <c r="E406" s="37"/>
      <c r="F406" s="37"/>
      <c r="G406" s="37"/>
    </row>
    <row r="407" ht="15.75" customHeight="1" spans="4:7">
      <c r="D407" s="37"/>
      <c r="E407" s="37"/>
      <c r="F407" s="37"/>
      <c r="G407" s="37"/>
    </row>
    <row r="408" ht="15.75" customHeight="1" spans="4:7">
      <c r="D408" s="37"/>
      <c r="E408" s="37"/>
      <c r="F408" s="37"/>
      <c r="G408" s="37"/>
    </row>
    <row r="409" ht="15.75" customHeight="1" spans="4:7">
      <c r="D409" s="37"/>
      <c r="E409" s="37"/>
      <c r="F409" s="37"/>
      <c r="G409" s="37"/>
    </row>
    <row r="410" ht="15.75" customHeight="1" spans="4:7">
      <c r="D410" s="37"/>
      <c r="E410" s="37"/>
      <c r="F410" s="37"/>
      <c r="G410" s="37"/>
    </row>
    <row r="411" ht="15.75" customHeight="1" spans="4:7">
      <c r="D411" s="37"/>
      <c r="E411" s="37"/>
      <c r="F411" s="37"/>
      <c r="G411" s="37"/>
    </row>
    <row r="412" ht="15.75" customHeight="1" spans="4:7">
      <c r="D412" s="37"/>
      <c r="E412" s="37"/>
      <c r="F412" s="37"/>
      <c r="G412" s="37"/>
    </row>
    <row r="413" ht="15.75" customHeight="1" spans="4:7">
      <c r="D413" s="37"/>
      <c r="E413" s="37"/>
      <c r="F413" s="37"/>
      <c r="G413" s="37"/>
    </row>
    <row r="414" ht="15.75" customHeight="1" spans="4:7">
      <c r="D414" s="37"/>
      <c r="E414" s="37"/>
      <c r="F414" s="37"/>
      <c r="G414" s="37"/>
    </row>
    <row r="415" ht="15.75" customHeight="1" spans="4:7">
      <c r="D415" s="37"/>
      <c r="E415" s="37"/>
      <c r="F415" s="37"/>
      <c r="G415" s="37"/>
    </row>
    <row r="416" ht="15.75" customHeight="1" spans="4:7">
      <c r="D416" s="37"/>
      <c r="E416" s="37"/>
      <c r="F416" s="37"/>
      <c r="G416" s="37"/>
    </row>
    <row r="417" ht="15.75" customHeight="1" spans="4:7">
      <c r="D417" s="37"/>
      <c r="E417" s="37"/>
      <c r="F417" s="37"/>
      <c r="G417" s="37"/>
    </row>
    <row r="418" ht="15.75" customHeight="1" spans="4:7">
      <c r="D418" s="37"/>
      <c r="E418" s="37"/>
      <c r="F418" s="37"/>
      <c r="G418" s="37"/>
    </row>
    <row r="419" ht="15.75" customHeight="1" spans="4:7">
      <c r="D419" s="37"/>
      <c r="E419" s="37"/>
      <c r="F419" s="37"/>
      <c r="G419" s="37"/>
    </row>
    <row r="420" ht="15.75" customHeight="1" spans="4:7">
      <c r="D420" s="37"/>
      <c r="E420" s="37"/>
      <c r="F420" s="37"/>
      <c r="G420" s="37"/>
    </row>
    <row r="421" ht="15.75" customHeight="1" spans="4:7">
      <c r="D421" s="37"/>
      <c r="E421" s="37"/>
      <c r="F421" s="37"/>
      <c r="G421" s="37"/>
    </row>
    <row r="422" ht="15.75" customHeight="1" spans="4:7">
      <c r="D422" s="37"/>
      <c r="E422" s="37"/>
      <c r="F422" s="37"/>
      <c r="G422" s="37"/>
    </row>
    <row r="423" ht="15.75" customHeight="1" spans="4:7">
      <c r="D423" s="37"/>
      <c r="E423" s="37"/>
      <c r="F423" s="37"/>
      <c r="G423" s="37"/>
    </row>
    <row r="424" ht="15.75" customHeight="1" spans="4:7">
      <c r="D424" s="37"/>
      <c r="E424" s="37"/>
      <c r="F424" s="37"/>
      <c r="G424" s="37"/>
    </row>
    <row r="425" ht="15.75" customHeight="1" spans="4:7">
      <c r="D425" s="37"/>
      <c r="E425" s="37"/>
      <c r="F425" s="37"/>
      <c r="G425" s="37"/>
    </row>
    <row r="426" ht="15.75" customHeight="1" spans="4:7">
      <c r="D426" s="37"/>
      <c r="E426" s="37"/>
      <c r="F426" s="37"/>
      <c r="G426" s="37"/>
    </row>
    <row r="427" ht="15.75" customHeight="1" spans="4:7">
      <c r="D427" s="37"/>
      <c r="E427" s="37"/>
      <c r="F427" s="37"/>
      <c r="G427" s="37"/>
    </row>
    <row r="428" ht="15.75" customHeight="1" spans="4:7">
      <c r="D428" s="37"/>
      <c r="E428" s="37"/>
      <c r="F428" s="37"/>
      <c r="G428" s="37"/>
    </row>
    <row r="429" ht="15.75" customHeight="1" spans="4:7">
      <c r="D429" s="37"/>
      <c r="E429" s="37"/>
      <c r="F429" s="37"/>
      <c r="G429" s="37"/>
    </row>
    <row r="430" ht="15.75" customHeight="1" spans="4:7">
      <c r="D430" s="37"/>
      <c r="E430" s="37"/>
      <c r="F430" s="37"/>
      <c r="G430" s="37"/>
    </row>
    <row r="431" ht="15.75" customHeight="1" spans="4:7">
      <c r="D431" s="37"/>
      <c r="E431" s="37"/>
      <c r="F431" s="37"/>
      <c r="G431" s="37"/>
    </row>
    <row r="432" ht="15.75" customHeight="1" spans="4:7">
      <c r="D432" s="37"/>
      <c r="E432" s="37"/>
      <c r="F432" s="37"/>
      <c r="G432" s="37"/>
    </row>
    <row r="433" ht="15.75" customHeight="1" spans="4:7">
      <c r="D433" s="37"/>
      <c r="E433" s="37"/>
      <c r="F433" s="37"/>
      <c r="G433" s="37"/>
    </row>
    <row r="434" ht="15.75" customHeight="1" spans="4:7">
      <c r="D434" s="37"/>
      <c r="E434" s="37"/>
      <c r="F434" s="37"/>
      <c r="G434" s="37"/>
    </row>
    <row r="435" ht="15.75" customHeight="1" spans="4:7">
      <c r="D435" s="37"/>
      <c r="E435" s="37"/>
      <c r="F435" s="37"/>
      <c r="G435" s="37"/>
    </row>
    <row r="436" ht="15.75" customHeight="1" spans="4:7">
      <c r="D436" s="37"/>
      <c r="E436" s="37"/>
      <c r="F436" s="37"/>
      <c r="G436" s="37"/>
    </row>
    <row r="437" ht="15.75" customHeight="1" spans="4:7">
      <c r="D437" s="37"/>
      <c r="E437" s="37"/>
      <c r="F437" s="37"/>
      <c r="G437" s="37"/>
    </row>
    <row r="438" ht="15.75" customHeight="1" spans="4:7">
      <c r="D438" s="37"/>
      <c r="E438" s="37"/>
      <c r="F438" s="37"/>
      <c r="G438" s="37"/>
    </row>
    <row r="439" ht="15.75" customHeight="1" spans="4:7">
      <c r="D439" s="37"/>
      <c r="E439" s="37"/>
      <c r="F439" s="37"/>
      <c r="G439" s="37"/>
    </row>
    <row r="440" ht="15.75" customHeight="1" spans="4:7">
      <c r="D440" s="37"/>
      <c r="E440" s="37"/>
      <c r="F440" s="37"/>
      <c r="G440" s="37"/>
    </row>
    <row r="441" ht="15.75" customHeight="1" spans="4:7">
      <c r="D441" s="37"/>
      <c r="E441" s="37"/>
      <c r="F441" s="37"/>
      <c r="G441" s="37"/>
    </row>
    <row r="442" ht="15.75" customHeight="1" spans="4:7">
      <c r="D442" s="37"/>
      <c r="E442" s="37"/>
      <c r="F442" s="37"/>
      <c r="G442" s="37"/>
    </row>
    <row r="443" ht="15.75" customHeight="1" spans="4:7">
      <c r="D443" s="37"/>
      <c r="E443" s="37"/>
      <c r="F443" s="37"/>
      <c r="G443" s="37"/>
    </row>
    <row r="444" ht="15.75" customHeight="1" spans="4:7">
      <c r="D444" s="37"/>
      <c r="E444" s="37"/>
      <c r="F444" s="37"/>
      <c r="G444" s="37"/>
    </row>
    <row r="445" ht="15.75" customHeight="1" spans="4:7">
      <c r="D445" s="37"/>
      <c r="E445" s="37"/>
      <c r="F445" s="37"/>
      <c r="G445" s="37"/>
    </row>
    <row r="446" ht="15.75" customHeight="1" spans="4:7">
      <c r="D446" s="37"/>
      <c r="E446" s="37"/>
      <c r="F446" s="37"/>
      <c r="G446" s="37"/>
    </row>
    <row r="447" ht="15.75" customHeight="1" spans="4:7">
      <c r="D447" s="37"/>
      <c r="E447" s="37"/>
      <c r="F447" s="37"/>
      <c r="G447" s="37"/>
    </row>
    <row r="448" ht="15.75" customHeight="1" spans="4:7">
      <c r="D448" s="37"/>
      <c r="E448" s="37"/>
      <c r="F448" s="37"/>
      <c r="G448" s="37"/>
    </row>
    <row r="449" ht="15.75" customHeight="1" spans="4:7">
      <c r="D449" s="37"/>
      <c r="E449" s="37"/>
      <c r="F449" s="37"/>
      <c r="G449" s="37"/>
    </row>
    <row r="450" ht="15.75" customHeight="1" spans="4:7">
      <c r="D450" s="37"/>
      <c r="E450" s="37"/>
      <c r="F450" s="37"/>
      <c r="G450" s="37"/>
    </row>
    <row r="451" ht="15.75" customHeight="1" spans="4:7">
      <c r="D451" s="37"/>
      <c r="E451" s="37"/>
      <c r="F451" s="37"/>
      <c r="G451" s="37"/>
    </row>
    <row r="452" ht="15.75" customHeight="1" spans="4:7">
      <c r="D452" s="37"/>
      <c r="E452" s="37"/>
      <c r="F452" s="37"/>
      <c r="G452" s="37"/>
    </row>
    <row r="453" ht="15.75" customHeight="1" spans="4:7">
      <c r="D453" s="37"/>
      <c r="E453" s="37"/>
      <c r="F453" s="37"/>
      <c r="G453" s="37"/>
    </row>
    <row r="454" ht="15.75" customHeight="1" spans="4:7">
      <c r="D454" s="37"/>
      <c r="E454" s="37"/>
      <c r="F454" s="37"/>
      <c r="G454" s="37"/>
    </row>
    <row r="455" ht="15.75" customHeight="1" spans="4:7">
      <c r="D455" s="37"/>
      <c r="E455" s="37"/>
      <c r="F455" s="37"/>
      <c r="G455" s="37"/>
    </row>
    <row r="456" ht="15.75" customHeight="1" spans="4:7">
      <c r="D456" s="37"/>
      <c r="E456" s="37"/>
      <c r="F456" s="37"/>
      <c r="G456" s="37"/>
    </row>
    <row r="457" ht="15.75" customHeight="1" spans="4:7">
      <c r="D457" s="37"/>
      <c r="E457" s="37"/>
      <c r="F457" s="37"/>
      <c r="G457" s="37"/>
    </row>
    <row r="458" ht="15.75" customHeight="1" spans="4:7">
      <c r="D458" s="37"/>
      <c r="E458" s="37"/>
      <c r="F458" s="37"/>
      <c r="G458" s="37"/>
    </row>
    <row r="459" ht="15.75" customHeight="1" spans="4:7">
      <c r="D459" s="37"/>
      <c r="E459" s="37"/>
      <c r="F459" s="37"/>
      <c r="G459" s="37"/>
    </row>
    <row r="460" ht="15.75" customHeight="1" spans="4:7">
      <c r="D460" s="37"/>
      <c r="E460" s="37"/>
      <c r="F460" s="37"/>
      <c r="G460" s="37"/>
    </row>
    <row r="461" ht="15.75" customHeight="1" spans="4:7">
      <c r="D461" s="37"/>
      <c r="E461" s="37"/>
      <c r="F461" s="37"/>
      <c r="G461" s="37"/>
    </row>
    <row r="462" ht="15.75" customHeight="1" spans="4:7">
      <c r="D462" s="37"/>
      <c r="E462" s="37"/>
      <c r="F462" s="37"/>
      <c r="G462" s="37"/>
    </row>
    <row r="463" ht="15.75" customHeight="1" spans="4:7">
      <c r="D463" s="37"/>
      <c r="E463" s="37"/>
      <c r="F463" s="37"/>
      <c r="G463" s="37"/>
    </row>
    <row r="464" ht="15.75" customHeight="1" spans="4:7">
      <c r="D464" s="37"/>
      <c r="E464" s="37"/>
      <c r="F464" s="37"/>
      <c r="G464" s="37"/>
    </row>
    <row r="465" ht="15.75" customHeight="1" spans="4:7">
      <c r="D465" s="37"/>
      <c r="E465" s="37"/>
      <c r="F465" s="37"/>
      <c r="G465" s="37"/>
    </row>
    <row r="466" ht="15.75" customHeight="1" spans="4:7">
      <c r="D466" s="37"/>
      <c r="E466" s="37"/>
      <c r="F466" s="37"/>
      <c r="G466" s="37"/>
    </row>
    <row r="467" ht="15.75" customHeight="1" spans="4:7">
      <c r="D467" s="37"/>
      <c r="E467" s="37"/>
      <c r="F467" s="37"/>
      <c r="G467" s="37"/>
    </row>
    <row r="468" ht="15.75" customHeight="1" spans="4:7">
      <c r="D468" s="37"/>
      <c r="E468" s="37"/>
      <c r="F468" s="37"/>
      <c r="G468" s="37"/>
    </row>
    <row r="469" ht="15.75" customHeight="1" spans="4:7">
      <c r="D469" s="37"/>
      <c r="E469" s="37"/>
      <c r="F469" s="37"/>
      <c r="G469" s="37"/>
    </row>
    <row r="470" ht="15.75" customHeight="1" spans="4:7">
      <c r="D470" s="37"/>
      <c r="E470" s="37"/>
      <c r="F470" s="37"/>
      <c r="G470" s="37"/>
    </row>
    <row r="471" ht="15.75" customHeight="1" spans="4:7">
      <c r="D471" s="37"/>
      <c r="E471" s="37"/>
      <c r="F471" s="37"/>
      <c r="G471" s="37"/>
    </row>
    <row r="472" ht="15.75" customHeight="1" spans="4:7">
      <c r="D472" s="37"/>
      <c r="E472" s="37"/>
      <c r="F472" s="37"/>
      <c r="G472" s="37"/>
    </row>
    <row r="473" ht="15.75" customHeight="1" spans="4:7">
      <c r="D473" s="37"/>
      <c r="E473" s="37"/>
      <c r="F473" s="37"/>
      <c r="G473" s="37"/>
    </row>
    <row r="474" ht="15.75" customHeight="1" spans="4:7">
      <c r="D474" s="37"/>
      <c r="E474" s="37"/>
      <c r="F474" s="37"/>
      <c r="G474" s="37"/>
    </row>
    <row r="475" ht="15.75" customHeight="1" spans="4:7">
      <c r="D475" s="37"/>
      <c r="E475" s="37"/>
      <c r="F475" s="37"/>
      <c r="G475" s="37"/>
    </row>
    <row r="476" ht="15.75" customHeight="1" spans="4:7">
      <c r="D476" s="37"/>
      <c r="E476" s="37"/>
      <c r="F476" s="37"/>
      <c r="G476" s="37"/>
    </row>
    <row r="477" ht="15.75" customHeight="1" spans="4:7">
      <c r="D477" s="37"/>
      <c r="E477" s="37"/>
      <c r="F477" s="37"/>
      <c r="G477" s="37"/>
    </row>
    <row r="478" ht="15.75" customHeight="1" spans="4:7">
      <c r="D478" s="37"/>
      <c r="E478" s="37"/>
      <c r="F478" s="37"/>
      <c r="G478" s="37"/>
    </row>
    <row r="479" ht="15.75" customHeight="1" spans="4:7">
      <c r="D479" s="37"/>
      <c r="E479" s="37"/>
      <c r="F479" s="37"/>
      <c r="G479" s="37"/>
    </row>
    <row r="480" ht="15.75" customHeight="1" spans="4:7">
      <c r="D480" s="37"/>
      <c r="E480" s="37"/>
      <c r="F480" s="37"/>
      <c r="G480" s="37"/>
    </row>
    <row r="481" ht="15.75" customHeight="1" spans="4:7">
      <c r="D481" s="37"/>
      <c r="E481" s="37"/>
      <c r="F481" s="37"/>
      <c r="G481" s="37"/>
    </row>
    <row r="482" ht="15.75" customHeight="1" spans="4:7">
      <c r="D482" s="37"/>
      <c r="E482" s="37"/>
      <c r="F482" s="37"/>
      <c r="G482" s="37"/>
    </row>
    <row r="483" ht="15.75" customHeight="1" spans="4:7">
      <c r="D483" s="37"/>
      <c r="E483" s="37"/>
      <c r="F483" s="37"/>
      <c r="G483" s="37"/>
    </row>
    <row r="484" ht="15.75" customHeight="1" spans="4:7">
      <c r="D484" s="37"/>
      <c r="E484" s="37"/>
      <c r="F484" s="37"/>
      <c r="G484" s="37"/>
    </row>
    <row r="485" ht="15.75" customHeight="1" spans="4:7">
      <c r="D485" s="37"/>
      <c r="E485" s="37"/>
      <c r="F485" s="37"/>
      <c r="G485" s="37"/>
    </row>
    <row r="486" ht="15.75" customHeight="1" spans="4:7">
      <c r="D486" s="37"/>
      <c r="E486" s="37"/>
      <c r="F486" s="37"/>
      <c r="G486" s="37"/>
    </row>
    <row r="487" ht="15.75" customHeight="1" spans="4:7">
      <c r="D487" s="37"/>
      <c r="E487" s="37"/>
      <c r="F487" s="37"/>
      <c r="G487" s="37"/>
    </row>
    <row r="488" ht="15.75" customHeight="1" spans="4:7">
      <c r="D488" s="37"/>
      <c r="E488" s="37"/>
      <c r="F488" s="37"/>
      <c r="G488" s="37"/>
    </row>
    <row r="489" ht="15.75" customHeight="1" spans="4:7">
      <c r="D489" s="37"/>
      <c r="E489" s="37"/>
      <c r="F489" s="37"/>
      <c r="G489" s="37"/>
    </row>
    <row r="490" ht="15.75" customHeight="1" spans="4:7">
      <c r="D490" s="37"/>
      <c r="E490" s="37"/>
      <c r="F490" s="37"/>
      <c r="G490" s="37"/>
    </row>
    <row r="491" ht="15.75" customHeight="1" spans="4:7">
      <c r="D491" s="37"/>
      <c r="E491" s="37"/>
      <c r="F491" s="37"/>
      <c r="G491" s="37"/>
    </row>
    <row r="492" ht="15.75" customHeight="1" spans="4:7">
      <c r="D492" s="37"/>
      <c r="E492" s="37"/>
      <c r="F492" s="37"/>
      <c r="G492" s="37"/>
    </row>
    <row r="493" ht="15.75" customHeight="1" spans="4:7">
      <c r="D493" s="37"/>
      <c r="E493" s="37"/>
      <c r="F493" s="37"/>
      <c r="G493" s="37"/>
    </row>
    <row r="494" ht="15.75" customHeight="1" spans="4:7">
      <c r="D494" s="37"/>
      <c r="E494" s="37"/>
      <c r="F494" s="37"/>
      <c r="G494" s="37"/>
    </row>
    <row r="495" ht="15.75" customHeight="1" spans="4:7">
      <c r="D495" s="37"/>
      <c r="E495" s="37"/>
      <c r="F495" s="37"/>
      <c r="G495" s="37"/>
    </row>
    <row r="496" ht="15.75" customHeight="1" spans="4:7">
      <c r="D496" s="37"/>
      <c r="E496" s="37"/>
      <c r="F496" s="37"/>
      <c r="G496" s="37"/>
    </row>
    <row r="497" ht="15.75" customHeight="1" spans="4:7">
      <c r="D497" s="37"/>
      <c r="E497" s="37"/>
      <c r="F497" s="37"/>
      <c r="G497" s="37"/>
    </row>
    <row r="498" ht="15.75" customHeight="1" spans="4:7">
      <c r="D498" s="37"/>
      <c r="E498" s="37"/>
      <c r="F498" s="37"/>
      <c r="G498" s="37"/>
    </row>
    <row r="499" ht="15.75" customHeight="1" spans="4:7">
      <c r="D499" s="37"/>
      <c r="E499" s="37"/>
      <c r="F499" s="37"/>
      <c r="G499" s="37"/>
    </row>
    <row r="500" ht="15.75" customHeight="1" spans="4:7">
      <c r="D500" s="37"/>
      <c r="E500" s="37"/>
      <c r="F500" s="37"/>
      <c r="G500" s="37"/>
    </row>
    <row r="501" ht="15.75" customHeight="1" spans="4:7">
      <c r="D501" s="37"/>
      <c r="E501" s="37"/>
      <c r="F501" s="37"/>
      <c r="G501" s="37"/>
    </row>
    <row r="502" ht="15.75" customHeight="1" spans="4:7">
      <c r="D502" s="37"/>
      <c r="E502" s="37"/>
      <c r="F502" s="37"/>
      <c r="G502" s="37"/>
    </row>
    <row r="503" ht="15.75" customHeight="1" spans="4:7">
      <c r="D503" s="37"/>
      <c r="E503" s="37"/>
      <c r="F503" s="37"/>
      <c r="G503" s="37"/>
    </row>
    <row r="504" ht="15.75" customHeight="1" spans="4:7">
      <c r="D504" s="37"/>
      <c r="E504" s="37"/>
      <c r="F504" s="37"/>
      <c r="G504" s="37"/>
    </row>
    <row r="505" ht="15.75" customHeight="1" spans="4:7">
      <c r="D505" s="37"/>
      <c r="E505" s="37"/>
      <c r="F505" s="37"/>
      <c r="G505" s="37"/>
    </row>
    <row r="506" ht="15.75" customHeight="1" spans="4:7">
      <c r="D506" s="37"/>
      <c r="E506" s="37"/>
      <c r="F506" s="37"/>
      <c r="G506" s="37"/>
    </row>
    <row r="507" ht="15.75" customHeight="1" spans="4:7">
      <c r="D507" s="37"/>
      <c r="E507" s="37"/>
      <c r="F507" s="37"/>
      <c r="G507" s="37"/>
    </row>
    <row r="508" ht="15.75" customHeight="1" spans="4:7">
      <c r="D508" s="37"/>
      <c r="E508" s="37"/>
      <c r="F508" s="37"/>
      <c r="G508" s="37"/>
    </row>
    <row r="509" ht="15.75" customHeight="1" spans="4:7">
      <c r="D509" s="37"/>
      <c r="E509" s="37"/>
      <c r="F509" s="37"/>
      <c r="G509" s="37"/>
    </row>
    <row r="510" ht="15.75" customHeight="1" spans="4:7">
      <c r="D510" s="37"/>
      <c r="E510" s="37"/>
      <c r="F510" s="37"/>
      <c r="G510" s="37"/>
    </row>
    <row r="511" ht="15.75" customHeight="1" spans="4:7">
      <c r="D511" s="37"/>
      <c r="E511" s="37"/>
      <c r="F511" s="37"/>
      <c r="G511" s="37"/>
    </row>
    <row r="512" ht="15.75" customHeight="1" spans="4:7">
      <c r="D512" s="37"/>
      <c r="E512" s="37"/>
      <c r="F512" s="37"/>
      <c r="G512" s="37"/>
    </row>
    <row r="513" ht="15.75" customHeight="1" spans="4:7">
      <c r="D513" s="37"/>
      <c r="E513" s="37"/>
      <c r="F513" s="37"/>
      <c r="G513" s="37"/>
    </row>
    <row r="514" ht="15.75" customHeight="1" spans="4:7">
      <c r="D514" s="37"/>
      <c r="E514" s="37"/>
      <c r="F514" s="37"/>
      <c r="G514" s="37"/>
    </row>
    <row r="515" ht="15.75" customHeight="1" spans="4:7">
      <c r="D515" s="37"/>
      <c r="E515" s="37"/>
      <c r="F515" s="37"/>
      <c r="G515" s="37"/>
    </row>
    <row r="516" ht="15.75" customHeight="1" spans="4:7">
      <c r="D516" s="37"/>
      <c r="E516" s="37"/>
      <c r="F516" s="37"/>
      <c r="G516" s="37"/>
    </row>
    <row r="517" ht="15.75" customHeight="1" spans="4:7">
      <c r="D517" s="37"/>
      <c r="E517" s="37"/>
      <c r="F517" s="37"/>
      <c r="G517" s="37"/>
    </row>
    <row r="518" ht="15.75" customHeight="1" spans="4:7">
      <c r="D518" s="37"/>
      <c r="E518" s="37"/>
      <c r="F518" s="37"/>
      <c r="G518" s="37"/>
    </row>
    <row r="519" ht="15.75" customHeight="1" spans="4:7">
      <c r="D519" s="37"/>
      <c r="E519" s="37"/>
      <c r="F519" s="37"/>
      <c r="G519" s="37"/>
    </row>
    <row r="520" ht="15.75" customHeight="1" spans="4:7">
      <c r="D520" s="37"/>
      <c r="E520" s="37"/>
      <c r="F520" s="37"/>
      <c r="G520" s="37"/>
    </row>
    <row r="521" ht="15.75" customHeight="1" spans="4:7">
      <c r="D521" s="37"/>
      <c r="E521" s="37"/>
      <c r="F521" s="37"/>
      <c r="G521" s="37"/>
    </row>
    <row r="522" ht="15.75" customHeight="1" spans="4:7">
      <c r="D522" s="37"/>
      <c r="E522" s="37"/>
      <c r="F522" s="37"/>
      <c r="G522" s="37"/>
    </row>
    <row r="523" ht="15.75" customHeight="1" spans="4:7">
      <c r="D523" s="37"/>
      <c r="E523" s="37"/>
      <c r="F523" s="37"/>
      <c r="G523" s="37"/>
    </row>
    <row r="524" ht="15.75" customHeight="1" spans="4:7">
      <c r="D524" s="37"/>
      <c r="E524" s="37"/>
      <c r="F524" s="37"/>
      <c r="G524" s="37"/>
    </row>
    <row r="525" ht="15.75" customHeight="1" spans="4:7">
      <c r="D525" s="37"/>
      <c r="E525" s="37"/>
      <c r="F525" s="37"/>
      <c r="G525" s="37"/>
    </row>
    <row r="526" ht="15.75" customHeight="1" spans="4:7">
      <c r="D526" s="37"/>
      <c r="E526" s="37"/>
      <c r="F526" s="37"/>
      <c r="G526" s="37"/>
    </row>
    <row r="527" ht="15.75" customHeight="1" spans="4:7">
      <c r="D527" s="37"/>
      <c r="E527" s="37"/>
      <c r="F527" s="37"/>
      <c r="G527" s="37"/>
    </row>
    <row r="528" ht="15.75" customHeight="1" spans="4:7">
      <c r="D528" s="37"/>
      <c r="E528" s="37"/>
      <c r="F528" s="37"/>
      <c r="G528" s="37"/>
    </row>
    <row r="529" ht="15.75" customHeight="1" spans="4:7">
      <c r="D529" s="37"/>
      <c r="E529" s="37"/>
      <c r="F529" s="37"/>
      <c r="G529" s="37"/>
    </row>
    <row r="530" ht="15.75" customHeight="1" spans="4:7">
      <c r="D530" s="37"/>
      <c r="E530" s="37"/>
      <c r="F530" s="37"/>
      <c r="G530" s="37"/>
    </row>
    <row r="531" ht="15.75" customHeight="1" spans="4:7">
      <c r="D531" s="37"/>
      <c r="E531" s="37"/>
      <c r="F531" s="37"/>
      <c r="G531" s="37"/>
    </row>
    <row r="532" ht="15.75" customHeight="1" spans="4:7">
      <c r="D532" s="37"/>
      <c r="E532" s="37"/>
      <c r="F532" s="37"/>
      <c r="G532" s="37"/>
    </row>
    <row r="533" ht="15.75" customHeight="1" spans="4:7">
      <c r="D533" s="37"/>
      <c r="E533" s="37"/>
      <c r="F533" s="37"/>
      <c r="G533" s="37"/>
    </row>
    <row r="534" ht="15.75" customHeight="1" spans="4:7">
      <c r="D534" s="37"/>
      <c r="E534" s="37"/>
      <c r="F534" s="37"/>
      <c r="G534" s="37"/>
    </row>
    <row r="535" ht="15.75" customHeight="1" spans="4:7">
      <c r="D535" s="37"/>
      <c r="E535" s="37"/>
      <c r="F535" s="37"/>
      <c r="G535" s="37"/>
    </row>
    <row r="536" ht="15.75" customHeight="1" spans="4:7">
      <c r="D536" s="37"/>
      <c r="E536" s="37"/>
      <c r="F536" s="37"/>
      <c r="G536" s="37"/>
    </row>
    <row r="537" ht="15.75" customHeight="1" spans="4:7">
      <c r="D537" s="37"/>
      <c r="E537" s="37"/>
      <c r="F537" s="37"/>
      <c r="G537" s="37"/>
    </row>
    <row r="538" ht="15.75" customHeight="1" spans="4:7">
      <c r="D538" s="37"/>
      <c r="E538" s="37"/>
      <c r="F538" s="37"/>
      <c r="G538" s="37"/>
    </row>
    <row r="539" ht="15.75" customHeight="1" spans="4:7">
      <c r="D539" s="37"/>
      <c r="E539" s="37"/>
      <c r="F539" s="37"/>
      <c r="G539" s="37"/>
    </row>
    <row r="540" ht="15.75" customHeight="1" spans="4:7">
      <c r="D540" s="37"/>
      <c r="E540" s="37"/>
      <c r="F540" s="37"/>
      <c r="G540" s="37"/>
    </row>
    <row r="541" ht="15.75" customHeight="1" spans="4:7">
      <c r="D541" s="37"/>
      <c r="E541" s="37"/>
      <c r="F541" s="37"/>
      <c r="G541" s="37"/>
    </row>
    <row r="542" ht="15.75" customHeight="1" spans="4:7">
      <c r="D542" s="37"/>
      <c r="E542" s="37"/>
      <c r="F542" s="37"/>
      <c r="G542" s="37"/>
    </row>
    <row r="543" ht="15.75" customHeight="1" spans="4:7">
      <c r="D543" s="37"/>
      <c r="E543" s="37"/>
      <c r="F543" s="37"/>
      <c r="G543" s="37"/>
    </row>
    <row r="544" ht="15.75" customHeight="1" spans="4:7">
      <c r="D544" s="37"/>
      <c r="E544" s="37"/>
      <c r="F544" s="37"/>
      <c r="G544" s="37"/>
    </row>
    <row r="545" ht="15.75" customHeight="1" spans="4:7">
      <c r="D545" s="37"/>
      <c r="E545" s="37"/>
      <c r="F545" s="37"/>
      <c r="G545" s="37"/>
    </row>
    <row r="546" ht="15.75" customHeight="1" spans="4:7">
      <c r="D546" s="37"/>
      <c r="E546" s="37"/>
      <c r="F546" s="37"/>
      <c r="G546" s="37"/>
    </row>
    <row r="547" ht="15.75" customHeight="1" spans="4:7">
      <c r="D547" s="37"/>
      <c r="E547" s="37"/>
      <c r="F547" s="37"/>
      <c r="G547" s="37"/>
    </row>
    <row r="548" ht="15.75" customHeight="1" spans="4:7">
      <c r="D548" s="37"/>
      <c r="E548" s="37"/>
      <c r="F548" s="37"/>
      <c r="G548" s="37"/>
    </row>
    <row r="549" ht="15.75" customHeight="1" spans="4:7">
      <c r="D549" s="37"/>
      <c r="E549" s="37"/>
      <c r="F549" s="37"/>
      <c r="G549" s="37"/>
    </row>
    <row r="550" ht="15.75" customHeight="1" spans="4:7">
      <c r="D550" s="37"/>
      <c r="E550" s="37"/>
      <c r="F550" s="37"/>
      <c r="G550" s="37"/>
    </row>
    <row r="551" ht="15.75" customHeight="1" spans="4:7">
      <c r="D551" s="37"/>
      <c r="E551" s="37"/>
      <c r="F551" s="37"/>
      <c r="G551" s="37"/>
    </row>
    <row r="552" ht="15.75" customHeight="1" spans="4:7">
      <c r="D552" s="37"/>
      <c r="E552" s="37"/>
      <c r="F552" s="37"/>
      <c r="G552" s="37"/>
    </row>
    <row r="553" ht="15.75" customHeight="1" spans="4:7">
      <c r="D553" s="37"/>
      <c r="E553" s="37"/>
      <c r="F553" s="37"/>
      <c r="G553" s="37"/>
    </row>
    <row r="554" ht="15.75" customHeight="1" spans="4:7">
      <c r="D554" s="37"/>
      <c r="E554" s="37"/>
      <c r="F554" s="37"/>
      <c r="G554" s="37"/>
    </row>
    <row r="555" ht="15.75" customHeight="1" spans="4:7">
      <c r="D555" s="37"/>
      <c r="E555" s="37"/>
      <c r="F555" s="37"/>
      <c r="G555" s="37"/>
    </row>
    <row r="556" ht="15.75" customHeight="1" spans="4:7">
      <c r="D556" s="37"/>
      <c r="E556" s="37"/>
      <c r="F556" s="37"/>
      <c r="G556" s="37"/>
    </row>
    <row r="557" ht="15.75" customHeight="1" spans="4:7">
      <c r="D557" s="37"/>
      <c r="E557" s="37"/>
      <c r="F557" s="37"/>
      <c r="G557" s="37"/>
    </row>
    <row r="558" ht="15.75" customHeight="1" spans="4:7">
      <c r="D558" s="37"/>
      <c r="E558" s="37"/>
      <c r="F558" s="37"/>
      <c r="G558" s="37"/>
    </row>
    <row r="559" ht="15.75" customHeight="1" spans="4:7">
      <c r="D559" s="37"/>
      <c r="E559" s="37"/>
      <c r="F559" s="37"/>
      <c r="G559" s="37"/>
    </row>
    <row r="560" ht="15.75" customHeight="1" spans="4:7">
      <c r="D560" s="37"/>
      <c r="E560" s="37"/>
      <c r="F560" s="37"/>
      <c r="G560" s="37"/>
    </row>
    <row r="561" ht="15.75" customHeight="1" spans="4:7">
      <c r="D561" s="37"/>
      <c r="E561" s="37"/>
      <c r="F561" s="37"/>
      <c r="G561" s="37"/>
    </row>
    <row r="562" ht="15.75" customHeight="1" spans="4:7">
      <c r="D562" s="37"/>
      <c r="E562" s="37"/>
      <c r="F562" s="37"/>
      <c r="G562" s="37"/>
    </row>
    <row r="563" ht="15.75" customHeight="1" spans="4:7">
      <c r="D563" s="37"/>
      <c r="E563" s="37"/>
      <c r="F563" s="37"/>
      <c r="G563" s="37"/>
    </row>
    <row r="564" ht="15.75" customHeight="1" spans="4:7">
      <c r="D564" s="37"/>
      <c r="E564" s="37"/>
      <c r="F564" s="37"/>
      <c r="G564" s="37"/>
    </row>
    <row r="565" ht="15.75" customHeight="1" spans="4:7">
      <c r="D565" s="37"/>
      <c r="E565" s="37"/>
      <c r="F565" s="37"/>
      <c r="G565" s="37"/>
    </row>
    <row r="566" ht="15.75" customHeight="1" spans="4:7">
      <c r="D566" s="37"/>
      <c r="E566" s="37"/>
      <c r="F566" s="37"/>
      <c r="G566" s="37"/>
    </row>
    <row r="567" ht="15.75" customHeight="1" spans="4:7">
      <c r="D567" s="37"/>
      <c r="E567" s="37"/>
      <c r="F567" s="37"/>
      <c r="G567" s="37"/>
    </row>
    <row r="568" ht="15.75" customHeight="1" spans="4:7">
      <c r="D568" s="37"/>
      <c r="E568" s="37"/>
      <c r="F568" s="37"/>
      <c r="G568" s="37"/>
    </row>
    <row r="569" ht="15.75" customHeight="1" spans="4:7">
      <c r="D569" s="37"/>
      <c r="E569" s="37"/>
      <c r="F569" s="37"/>
      <c r="G569" s="37"/>
    </row>
    <row r="570" ht="15.75" customHeight="1" spans="4:7">
      <c r="D570" s="37"/>
      <c r="E570" s="37"/>
      <c r="F570" s="37"/>
      <c r="G570" s="37"/>
    </row>
    <row r="571" ht="15.75" customHeight="1" spans="4:7">
      <c r="D571" s="37"/>
      <c r="E571" s="37"/>
      <c r="F571" s="37"/>
      <c r="G571" s="37"/>
    </row>
    <row r="572" ht="15.75" customHeight="1" spans="4:7">
      <c r="D572" s="37"/>
      <c r="E572" s="37"/>
      <c r="F572" s="37"/>
      <c r="G572" s="37"/>
    </row>
    <row r="573" ht="15.75" customHeight="1" spans="4:7">
      <c r="D573" s="37"/>
      <c r="E573" s="37"/>
      <c r="F573" s="37"/>
      <c r="G573" s="37"/>
    </row>
    <row r="574" ht="15.75" customHeight="1" spans="4:7">
      <c r="D574" s="37"/>
      <c r="E574" s="37"/>
      <c r="F574" s="37"/>
      <c r="G574" s="37"/>
    </row>
    <row r="575" ht="15.75" customHeight="1" spans="4:7">
      <c r="D575" s="37"/>
      <c r="E575" s="37"/>
      <c r="F575" s="37"/>
      <c r="G575" s="37"/>
    </row>
    <row r="576" ht="15.75" customHeight="1" spans="4:7">
      <c r="D576" s="37"/>
      <c r="E576" s="37"/>
      <c r="F576" s="37"/>
      <c r="G576" s="37"/>
    </row>
    <row r="577" ht="15.75" customHeight="1" spans="4:7">
      <c r="D577" s="37"/>
      <c r="E577" s="37"/>
      <c r="F577" s="37"/>
      <c r="G577" s="37"/>
    </row>
    <row r="578" ht="15.75" customHeight="1" spans="4:7">
      <c r="D578" s="37"/>
      <c r="E578" s="37"/>
      <c r="F578" s="37"/>
      <c r="G578" s="37"/>
    </row>
    <row r="579" ht="15.75" customHeight="1" spans="4:7">
      <c r="D579" s="37"/>
      <c r="E579" s="37"/>
      <c r="F579" s="37"/>
      <c r="G579" s="37"/>
    </row>
    <row r="580" ht="15.75" customHeight="1" spans="4:7">
      <c r="D580" s="37"/>
      <c r="E580" s="37"/>
      <c r="F580" s="37"/>
      <c r="G580" s="37"/>
    </row>
    <row r="581" ht="15.75" customHeight="1" spans="4:7">
      <c r="D581" s="37"/>
      <c r="E581" s="37"/>
      <c r="F581" s="37"/>
      <c r="G581" s="37"/>
    </row>
    <row r="582" ht="15.75" customHeight="1" spans="4:7">
      <c r="D582" s="37"/>
      <c r="E582" s="37"/>
      <c r="F582" s="37"/>
      <c r="G582" s="37"/>
    </row>
    <row r="583" ht="15.75" customHeight="1" spans="4:7">
      <c r="D583" s="37"/>
      <c r="E583" s="37"/>
      <c r="F583" s="37"/>
      <c r="G583" s="37"/>
    </row>
    <row r="584" ht="15.75" customHeight="1" spans="4:7">
      <c r="D584" s="37"/>
      <c r="E584" s="37"/>
      <c r="F584" s="37"/>
      <c r="G584" s="37"/>
    </row>
    <row r="585" ht="15.75" customHeight="1" spans="4:7">
      <c r="D585" s="37"/>
      <c r="E585" s="37"/>
      <c r="F585" s="37"/>
      <c r="G585" s="37"/>
    </row>
    <row r="586" ht="15.75" customHeight="1" spans="4:7">
      <c r="D586" s="37"/>
      <c r="E586" s="37"/>
      <c r="F586" s="37"/>
      <c r="G586" s="37"/>
    </row>
    <row r="587" ht="15.75" customHeight="1" spans="4:7">
      <c r="D587" s="37"/>
      <c r="E587" s="37"/>
      <c r="F587" s="37"/>
      <c r="G587" s="37"/>
    </row>
    <row r="588" ht="15.75" customHeight="1" spans="4:7">
      <c r="D588" s="37"/>
      <c r="E588" s="37"/>
      <c r="F588" s="37"/>
      <c r="G588" s="37"/>
    </row>
    <row r="589" ht="15.75" customHeight="1" spans="4:7">
      <c r="D589" s="37"/>
      <c r="E589" s="37"/>
      <c r="F589" s="37"/>
      <c r="G589" s="37"/>
    </row>
    <row r="590" ht="15.75" customHeight="1" spans="4:7">
      <c r="D590" s="37"/>
      <c r="E590" s="37"/>
      <c r="F590" s="37"/>
      <c r="G590" s="37"/>
    </row>
    <row r="591" ht="15.75" customHeight="1" spans="4:7">
      <c r="D591" s="37"/>
      <c r="E591" s="37"/>
      <c r="F591" s="37"/>
      <c r="G591" s="37"/>
    </row>
    <row r="592" ht="15.75" customHeight="1" spans="4:7">
      <c r="D592" s="37"/>
      <c r="E592" s="37"/>
      <c r="F592" s="37"/>
      <c r="G592" s="37"/>
    </row>
    <row r="593" ht="15.75" customHeight="1" spans="4:7">
      <c r="D593" s="37"/>
      <c r="E593" s="37"/>
      <c r="F593" s="37"/>
      <c r="G593" s="37"/>
    </row>
    <row r="594" ht="15.75" customHeight="1" spans="4:7">
      <c r="D594" s="37"/>
      <c r="E594" s="37"/>
      <c r="F594" s="37"/>
      <c r="G594" s="37"/>
    </row>
    <row r="595" ht="15.75" customHeight="1" spans="4:7">
      <c r="D595" s="37"/>
      <c r="E595" s="37"/>
      <c r="F595" s="37"/>
      <c r="G595" s="37"/>
    </row>
    <row r="596" ht="15.75" customHeight="1" spans="4:7">
      <c r="D596" s="37"/>
      <c r="E596" s="37"/>
      <c r="F596" s="37"/>
      <c r="G596" s="37"/>
    </row>
    <row r="597" ht="15.75" customHeight="1" spans="4:7">
      <c r="D597" s="37"/>
      <c r="E597" s="37"/>
      <c r="F597" s="37"/>
      <c r="G597" s="37"/>
    </row>
    <row r="598" ht="15.75" customHeight="1" spans="4:7">
      <c r="D598" s="37"/>
      <c r="E598" s="37"/>
      <c r="F598" s="37"/>
      <c r="G598" s="37"/>
    </row>
    <row r="599" ht="15.75" customHeight="1" spans="4:7">
      <c r="D599" s="37"/>
      <c r="E599" s="37"/>
      <c r="F599" s="37"/>
      <c r="G599" s="37"/>
    </row>
    <row r="600" ht="15.75" customHeight="1" spans="4:7">
      <c r="D600" s="37"/>
      <c r="E600" s="37"/>
      <c r="F600" s="37"/>
      <c r="G600" s="37"/>
    </row>
    <row r="601" ht="15.75" customHeight="1" spans="4:7">
      <c r="D601" s="37"/>
      <c r="E601" s="37"/>
      <c r="F601" s="37"/>
      <c r="G601" s="37"/>
    </row>
    <row r="602" ht="15.75" customHeight="1" spans="4:7">
      <c r="D602" s="37"/>
      <c r="E602" s="37"/>
      <c r="F602" s="37"/>
      <c r="G602" s="37"/>
    </row>
    <row r="603" ht="15.75" customHeight="1" spans="4:7">
      <c r="D603" s="37"/>
      <c r="E603" s="37"/>
      <c r="F603" s="37"/>
      <c r="G603" s="37"/>
    </row>
    <row r="604" ht="15.75" customHeight="1" spans="4:7">
      <c r="D604" s="37"/>
      <c r="E604" s="37"/>
      <c r="F604" s="37"/>
      <c r="G604" s="37"/>
    </row>
    <row r="605" ht="15.75" customHeight="1" spans="4:7">
      <c r="D605" s="37"/>
      <c r="E605" s="37"/>
      <c r="F605" s="37"/>
      <c r="G605" s="37"/>
    </row>
    <row r="606" ht="15.75" customHeight="1" spans="4:7">
      <c r="D606" s="37"/>
      <c r="E606" s="37"/>
      <c r="F606" s="37"/>
      <c r="G606" s="37"/>
    </row>
    <row r="607" ht="15.75" customHeight="1" spans="4:7">
      <c r="D607" s="37"/>
      <c r="E607" s="37"/>
      <c r="F607" s="37"/>
      <c r="G607" s="37"/>
    </row>
    <row r="608" ht="15.75" customHeight="1" spans="4:7">
      <c r="D608" s="37"/>
      <c r="E608" s="37"/>
      <c r="F608" s="37"/>
      <c r="G608" s="37"/>
    </row>
    <row r="609" ht="15.75" customHeight="1" spans="4:7">
      <c r="D609" s="37"/>
      <c r="E609" s="37"/>
      <c r="F609" s="37"/>
      <c r="G609" s="37"/>
    </row>
    <row r="610" ht="15.75" customHeight="1" spans="4:7">
      <c r="D610" s="37"/>
      <c r="E610" s="37"/>
      <c r="F610" s="37"/>
      <c r="G610" s="37"/>
    </row>
    <row r="611" ht="15.75" customHeight="1" spans="4:7">
      <c r="D611" s="37"/>
      <c r="E611" s="37"/>
      <c r="F611" s="37"/>
      <c r="G611" s="37"/>
    </row>
    <row r="612" ht="15.75" customHeight="1" spans="4:7">
      <c r="D612" s="37"/>
      <c r="E612" s="37"/>
      <c r="F612" s="37"/>
      <c r="G612" s="37"/>
    </row>
    <row r="613" ht="15.75" customHeight="1" spans="4:7">
      <c r="D613" s="37"/>
      <c r="E613" s="37"/>
      <c r="F613" s="37"/>
      <c r="G613" s="37"/>
    </row>
    <row r="614" ht="15.75" customHeight="1" spans="4:7">
      <c r="D614" s="37"/>
      <c r="E614" s="37"/>
      <c r="F614" s="37"/>
      <c r="G614" s="37"/>
    </row>
    <row r="615" ht="15.75" customHeight="1" spans="4:7">
      <c r="D615" s="37"/>
      <c r="E615" s="37"/>
      <c r="F615" s="37"/>
      <c r="G615" s="37"/>
    </row>
    <row r="616" ht="15.75" customHeight="1" spans="4:7">
      <c r="D616" s="37"/>
      <c r="E616" s="37"/>
      <c r="F616" s="37"/>
      <c r="G616" s="37"/>
    </row>
    <row r="617" ht="15.75" customHeight="1" spans="4:7">
      <c r="D617" s="37"/>
      <c r="E617" s="37"/>
      <c r="F617" s="37"/>
      <c r="G617" s="37"/>
    </row>
    <row r="618" ht="15.75" customHeight="1" spans="4:7">
      <c r="D618" s="37"/>
      <c r="E618" s="37"/>
      <c r="F618" s="37"/>
      <c r="G618" s="37"/>
    </row>
    <row r="619" ht="15.75" customHeight="1" spans="4:7">
      <c r="D619" s="37"/>
      <c r="E619" s="37"/>
      <c r="F619" s="37"/>
      <c r="G619" s="37"/>
    </row>
    <row r="620" ht="15.75" customHeight="1" spans="4:7">
      <c r="D620" s="37"/>
      <c r="E620" s="37"/>
      <c r="F620" s="37"/>
      <c r="G620" s="37"/>
    </row>
    <row r="621" ht="15.75" customHeight="1" spans="4:7">
      <c r="D621" s="37"/>
      <c r="E621" s="37"/>
      <c r="F621" s="37"/>
      <c r="G621" s="37"/>
    </row>
    <row r="622" ht="15.75" customHeight="1" spans="4:7">
      <c r="D622" s="37"/>
      <c r="E622" s="37"/>
      <c r="F622" s="37"/>
      <c r="G622" s="37"/>
    </row>
    <row r="623" ht="15.75" customHeight="1" spans="4:7">
      <c r="D623" s="37"/>
      <c r="E623" s="37"/>
      <c r="F623" s="37"/>
      <c r="G623" s="37"/>
    </row>
    <row r="624" ht="15.75" customHeight="1" spans="4:7">
      <c r="D624" s="37"/>
      <c r="E624" s="37"/>
      <c r="F624" s="37"/>
      <c r="G624" s="37"/>
    </row>
    <row r="625" ht="15.75" customHeight="1" spans="4:7">
      <c r="D625" s="37"/>
      <c r="E625" s="37"/>
      <c r="F625" s="37"/>
      <c r="G625" s="37"/>
    </row>
    <row r="626" ht="15.75" customHeight="1" spans="4:7">
      <c r="D626" s="37"/>
      <c r="E626" s="37"/>
      <c r="F626" s="37"/>
      <c r="G626" s="37"/>
    </row>
    <row r="627" ht="15.75" customHeight="1" spans="4:7">
      <c r="D627" s="37"/>
      <c r="E627" s="37"/>
      <c r="F627" s="37"/>
      <c r="G627" s="37"/>
    </row>
    <row r="628" ht="15.75" customHeight="1" spans="4:7">
      <c r="D628" s="37"/>
      <c r="E628" s="37"/>
      <c r="F628" s="37"/>
      <c r="G628" s="37"/>
    </row>
    <row r="629" ht="15.75" customHeight="1" spans="4:7">
      <c r="D629" s="37"/>
      <c r="E629" s="37"/>
      <c r="F629" s="37"/>
      <c r="G629" s="37"/>
    </row>
    <row r="630" ht="15.75" customHeight="1" spans="4:7">
      <c r="D630" s="37"/>
      <c r="E630" s="37"/>
      <c r="F630" s="37"/>
      <c r="G630" s="37"/>
    </row>
    <row r="631" ht="15.75" customHeight="1" spans="4:7">
      <c r="D631" s="37"/>
      <c r="E631" s="37"/>
      <c r="F631" s="37"/>
      <c r="G631" s="37"/>
    </row>
    <row r="632" ht="15.75" customHeight="1" spans="4:7">
      <c r="D632" s="37"/>
      <c r="E632" s="37"/>
      <c r="F632" s="37"/>
      <c r="G632" s="37"/>
    </row>
    <row r="633" ht="15.75" customHeight="1" spans="4:7">
      <c r="D633" s="37"/>
      <c r="E633" s="37"/>
      <c r="F633" s="37"/>
      <c r="G633" s="37"/>
    </row>
    <row r="634" ht="15.75" customHeight="1" spans="4:7">
      <c r="D634" s="37"/>
      <c r="E634" s="37"/>
      <c r="F634" s="37"/>
      <c r="G634" s="37"/>
    </row>
    <row r="635" ht="15.75" customHeight="1" spans="4:7">
      <c r="D635" s="37"/>
      <c r="E635" s="37"/>
      <c r="F635" s="37"/>
      <c r="G635" s="37"/>
    </row>
    <row r="636" ht="15.75" customHeight="1" spans="4:7">
      <c r="D636" s="37"/>
      <c r="E636" s="37"/>
      <c r="F636" s="37"/>
      <c r="G636" s="37"/>
    </row>
    <row r="637" ht="15.75" customHeight="1" spans="4:7">
      <c r="D637" s="37"/>
      <c r="E637" s="37"/>
      <c r="F637" s="37"/>
      <c r="G637" s="37"/>
    </row>
    <row r="638" ht="15.75" customHeight="1" spans="4:7">
      <c r="D638" s="37"/>
      <c r="E638" s="37"/>
      <c r="F638" s="37"/>
      <c r="G638" s="37"/>
    </row>
    <row r="639" ht="15.75" customHeight="1" spans="4:7">
      <c r="D639" s="37"/>
      <c r="E639" s="37"/>
      <c r="F639" s="37"/>
      <c r="G639" s="37"/>
    </row>
    <row r="640" ht="15.75" customHeight="1" spans="4:7">
      <c r="D640" s="37"/>
      <c r="E640" s="37"/>
      <c r="F640" s="37"/>
      <c r="G640" s="37"/>
    </row>
    <row r="641" ht="15.75" customHeight="1" spans="4:7">
      <c r="D641" s="37"/>
      <c r="E641" s="37"/>
      <c r="F641" s="37"/>
      <c r="G641" s="37"/>
    </row>
    <row r="642" ht="15.75" customHeight="1" spans="4:7">
      <c r="D642" s="37"/>
      <c r="E642" s="37"/>
      <c r="F642" s="37"/>
      <c r="G642" s="37"/>
    </row>
    <row r="643" ht="15.75" customHeight="1" spans="4:7">
      <c r="D643" s="37"/>
      <c r="E643" s="37"/>
      <c r="F643" s="37"/>
      <c r="G643" s="37"/>
    </row>
    <row r="644" ht="15.75" customHeight="1" spans="4:7">
      <c r="D644" s="37"/>
      <c r="E644" s="37"/>
      <c r="F644" s="37"/>
      <c r="G644" s="37"/>
    </row>
    <row r="645" ht="15.75" customHeight="1" spans="4:7">
      <c r="D645" s="37"/>
      <c r="E645" s="37"/>
      <c r="F645" s="37"/>
      <c r="G645" s="37"/>
    </row>
    <row r="646" ht="15.75" customHeight="1" spans="4:7">
      <c r="D646" s="37"/>
      <c r="E646" s="37"/>
      <c r="F646" s="37"/>
      <c r="G646" s="37"/>
    </row>
    <row r="647" ht="15.75" customHeight="1" spans="4:7">
      <c r="D647" s="37"/>
      <c r="E647" s="37"/>
      <c r="F647" s="37"/>
      <c r="G647" s="37"/>
    </row>
    <row r="648" ht="15.75" customHeight="1" spans="4:7">
      <c r="D648" s="37"/>
      <c r="E648" s="37"/>
      <c r="F648" s="37"/>
      <c r="G648" s="37"/>
    </row>
    <row r="649" ht="15.75" customHeight="1" spans="4:7">
      <c r="D649" s="37"/>
      <c r="E649" s="37"/>
      <c r="F649" s="37"/>
      <c r="G649" s="37"/>
    </row>
    <row r="650" ht="15.75" customHeight="1" spans="4:7">
      <c r="D650" s="37"/>
      <c r="E650" s="37"/>
      <c r="F650" s="37"/>
      <c r="G650" s="37"/>
    </row>
    <row r="651" ht="15.75" customHeight="1" spans="4:7">
      <c r="D651" s="37"/>
      <c r="E651" s="37"/>
      <c r="F651" s="37"/>
      <c r="G651" s="37"/>
    </row>
    <row r="652" ht="15.75" customHeight="1" spans="4:7">
      <c r="D652" s="37"/>
      <c r="E652" s="37"/>
      <c r="F652" s="37"/>
      <c r="G652" s="37"/>
    </row>
    <row r="653" ht="15.75" customHeight="1" spans="4:7">
      <c r="D653" s="37"/>
      <c r="E653" s="37"/>
      <c r="F653" s="37"/>
      <c r="G653" s="37"/>
    </row>
    <row r="654" ht="15.75" customHeight="1" spans="4:7">
      <c r="D654" s="37"/>
      <c r="E654" s="37"/>
      <c r="F654" s="37"/>
      <c r="G654" s="37"/>
    </row>
    <row r="655" ht="15.75" customHeight="1" spans="4:7">
      <c r="D655" s="37"/>
      <c r="E655" s="37"/>
      <c r="F655" s="37"/>
      <c r="G655" s="37"/>
    </row>
    <row r="656" ht="15.75" customHeight="1" spans="4:7">
      <c r="D656" s="37"/>
      <c r="E656" s="37"/>
      <c r="F656" s="37"/>
      <c r="G656" s="37"/>
    </row>
    <row r="657" ht="15.75" customHeight="1" spans="4:7">
      <c r="D657" s="37"/>
      <c r="E657" s="37"/>
      <c r="F657" s="37"/>
      <c r="G657" s="37"/>
    </row>
    <row r="658" ht="15.75" customHeight="1" spans="4:7">
      <c r="D658" s="37"/>
      <c r="E658" s="37"/>
      <c r="F658" s="37"/>
      <c r="G658" s="37"/>
    </row>
    <row r="659" ht="15.75" customHeight="1" spans="4:7">
      <c r="D659" s="37"/>
      <c r="E659" s="37"/>
      <c r="F659" s="37"/>
      <c r="G659" s="37"/>
    </row>
    <row r="660" ht="15.75" customHeight="1" spans="4:7">
      <c r="D660" s="37"/>
      <c r="E660" s="37"/>
      <c r="F660" s="37"/>
      <c r="G660" s="37"/>
    </row>
    <row r="661" ht="15.75" customHeight="1" spans="4:7">
      <c r="D661" s="37"/>
      <c r="E661" s="37"/>
      <c r="F661" s="37"/>
      <c r="G661" s="37"/>
    </row>
    <row r="662" ht="15.75" customHeight="1" spans="4:7">
      <c r="D662" s="37"/>
      <c r="E662" s="37"/>
      <c r="F662" s="37"/>
      <c r="G662" s="37"/>
    </row>
    <row r="663" ht="15.75" customHeight="1" spans="4:7">
      <c r="D663" s="37"/>
      <c r="E663" s="37"/>
      <c r="F663" s="37"/>
      <c r="G663" s="37"/>
    </row>
    <row r="664" ht="15.75" customHeight="1" spans="4:7">
      <c r="D664" s="37"/>
      <c r="E664" s="37"/>
      <c r="F664" s="37"/>
      <c r="G664" s="37"/>
    </row>
    <row r="665" ht="15.75" customHeight="1" spans="4:7">
      <c r="D665" s="37"/>
      <c r="E665" s="37"/>
      <c r="F665" s="37"/>
      <c r="G665" s="37"/>
    </row>
    <row r="666" ht="15.75" customHeight="1" spans="4:7">
      <c r="D666" s="37"/>
      <c r="E666" s="37"/>
      <c r="F666" s="37"/>
      <c r="G666" s="37"/>
    </row>
    <row r="667" ht="15.75" customHeight="1" spans="4:7">
      <c r="D667" s="37"/>
      <c r="E667" s="37"/>
      <c r="F667" s="37"/>
      <c r="G667" s="37"/>
    </row>
    <row r="668" ht="15.75" customHeight="1" spans="4:7">
      <c r="D668" s="37"/>
      <c r="E668" s="37"/>
      <c r="F668" s="37"/>
      <c r="G668" s="37"/>
    </row>
    <row r="669" ht="15.75" customHeight="1" spans="4:7">
      <c r="D669" s="37"/>
      <c r="E669" s="37"/>
      <c r="F669" s="37"/>
      <c r="G669" s="37"/>
    </row>
    <row r="670" ht="15.75" customHeight="1" spans="4:7">
      <c r="D670" s="37"/>
      <c r="E670" s="37"/>
      <c r="F670" s="37"/>
      <c r="G670" s="37"/>
    </row>
    <row r="671" ht="15.75" customHeight="1" spans="4:7">
      <c r="D671" s="37"/>
      <c r="E671" s="37"/>
      <c r="F671" s="37"/>
      <c r="G671" s="37"/>
    </row>
    <row r="672" ht="15.75" customHeight="1" spans="4:7">
      <c r="D672" s="37"/>
      <c r="E672" s="37"/>
      <c r="F672" s="37"/>
      <c r="G672" s="37"/>
    </row>
    <row r="673" ht="15.75" customHeight="1" spans="4:7">
      <c r="D673" s="37"/>
      <c r="E673" s="37"/>
      <c r="F673" s="37"/>
      <c r="G673" s="37"/>
    </row>
    <row r="674" ht="15.75" customHeight="1" spans="4:7">
      <c r="D674" s="37"/>
      <c r="E674" s="37"/>
      <c r="F674" s="37"/>
      <c r="G674" s="37"/>
    </row>
    <row r="675" ht="15.75" customHeight="1" spans="4:7">
      <c r="D675" s="37"/>
      <c r="E675" s="37"/>
      <c r="F675" s="37"/>
      <c r="G675" s="37"/>
    </row>
    <row r="676" ht="15.75" customHeight="1" spans="4:7">
      <c r="D676" s="37"/>
      <c r="E676" s="37"/>
      <c r="F676" s="37"/>
      <c r="G676" s="37"/>
    </row>
    <row r="677" ht="15.75" customHeight="1" spans="4:7">
      <c r="D677" s="37"/>
      <c r="E677" s="37"/>
      <c r="F677" s="37"/>
      <c r="G677" s="37"/>
    </row>
    <row r="678" ht="15.75" customHeight="1" spans="4:7">
      <c r="D678" s="37"/>
      <c r="E678" s="37"/>
      <c r="F678" s="37"/>
      <c r="G678" s="37"/>
    </row>
    <row r="679" ht="15.75" customHeight="1" spans="4:7">
      <c r="D679" s="37"/>
      <c r="E679" s="37"/>
      <c r="F679" s="37"/>
      <c r="G679" s="37"/>
    </row>
    <row r="680" ht="15.75" customHeight="1" spans="4:7">
      <c r="D680" s="37"/>
      <c r="E680" s="37"/>
      <c r="F680" s="37"/>
      <c r="G680" s="37"/>
    </row>
    <row r="681" ht="15.75" customHeight="1" spans="4:7">
      <c r="D681" s="37"/>
      <c r="E681" s="37"/>
      <c r="F681" s="37"/>
      <c r="G681" s="37"/>
    </row>
    <row r="682" ht="15.75" customHeight="1" spans="4:7">
      <c r="D682" s="37"/>
      <c r="E682" s="37"/>
      <c r="F682" s="37"/>
      <c r="G682" s="37"/>
    </row>
    <row r="683" ht="15.75" customHeight="1" spans="4:7">
      <c r="D683" s="37"/>
      <c r="E683" s="37"/>
      <c r="F683" s="37"/>
      <c r="G683" s="37"/>
    </row>
    <row r="684" ht="15.75" customHeight="1" spans="4:7">
      <c r="D684" s="37"/>
      <c r="E684" s="37"/>
      <c r="F684" s="37"/>
      <c r="G684" s="37"/>
    </row>
    <row r="685" ht="15.75" customHeight="1" spans="4:7">
      <c r="D685" s="37"/>
      <c r="E685" s="37"/>
      <c r="F685" s="37"/>
      <c r="G685" s="37"/>
    </row>
    <row r="686" ht="15.75" customHeight="1" spans="4:7">
      <c r="D686" s="37"/>
      <c r="E686" s="37"/>
      <c r="F686" s="37"/>
      <c r="G686" s="37"/>
    </row>
    <row r="687" ht="15.75" customHeight="1" spans="4:7">
      <c r="D687" s="37"/>
      <c r="E687" s="37"/>
      <c r="F687" s="37"/>
      <c r="G687" s="37"/>
    </row>
    <row r="688" ht="15.75" customHeight="1" spans="4:7">
      <c r="D688" s="37"/>
      <c r="E688" s="37"/>
      <c r="F688" s="37"/>
      <c r="G688" s="37"/>
    </row>
    <row r="689" ht="15.75" customHeight="1" spans="4:7">
      <c r="D689" s="37"/>
      <c r="E689" s="37"/>
      <c r="F689" s="37"/>
      <c r="G689" s="37"/>
    </row>
    <row r="690" ht="15.75" customHeight="1" spans="4:7">
      <c r="D690" s="37"/>
      <c r="E690" s="37"/>
      <c r="F690" s="37"/>
      <c r="G690" s="37"/>
    </row>
    <row r="691" ht="15.75" customHeight="1" spans="4:7">
      <c r="D691" s="37"/>
      <c r="E691" s="37"/>
      <c r="F691" s="37"/>
      <c r="G691" s="37"/>
    </row>
    <row r="692" ht="15.75" customHeight="1" spans="4:7">
      <c r="D692" s="37"/>
      <c r="E692" s="37"/>
      <c r="F692" s="37"/>
      <c r="G692" s="37"/>
    </row>
    <row r="693" ht="15.75" customHeight="1" spans="4:7">
      <c r="D693" s="37"/>
      <c r="E693" s="37"/>
      <c r="F693" s="37"/>
      <c r="G693" s="37"/>
    </row>
    <row r="694" ht="15.75" customHeight="1" spans="4:7">
      <c r="D694" s="37"/>
      <c r="E694" s="37"/>
      <c r="F694" s="37"/>
      <c r="G694" s="37"/>
    </row>
    <row r="695" ht="15.75" customHeight="1" spans="4:7">
      <c r="D695" s="37"/>
      <c r="E695" s="37"/>
      <c r="F695" s="37"/>
      <c r="G695" s="37"/>
    </row>
    <row r="696" ht="15.75" customHeight="1" spans="4:7">
      <c r="D696" s="37"/>
      <c r="E696" s="37"/>
      <c r="F696" s="37"/>
      <c r="G696" s="37"/>
    </row>
    <row r="697" ht="15.75" customHeight="1" spans="4:7">
      <c r="D697" s="37"/>
      <c r="E697" s="37"/>
      <c r="F697" s="37"/>
      <c r="G697" s="37"/>
    </row>
    <row r="698" ht="15.75" customHeight="1" spans="4:7">
      <c r="D698" s="37"/>
      <c r="E698" s="37"/>
      <c r="F698" s="37"/>
      <c r="G698" s="37"/>
    </row>
    <row r="699" ht="15.75" customHeight="1" spans="4:7">
      <c r="D699" s="37"/>
      <c r="E699" s="37"/>
      <c r="F699" s="37"/>
      <c r="G699" s="37"/>
    </row>
    <row r="700" ht="15.75" customHeight="1" spans="4:7">
      <c r="D700" s="37"/>
      <c r="E700" s="37"/>
      <c r="F700" s="37"/>
      <c r="G700" s="37"/>
    </row>
    <row r="701" ht="15.75" customHeight="1" spans="4:7">
      <c r="D701" s="37"/>
      <c r="E701" s="37"/>
      <c r="F701" s="37"/>
      <c r="G701" s="37"/>
    </row>
    <row r="702" ht="15.75" customHeight="1" spans="4:7">
      <c r="D702" s="37"/>
      <c r="E702" s="37"/>
      <c r="F702" s="37"/>
      <c r="G702" s="37"/>
    </row>
    <row r="703" ht="15.75" customHeight="1" spans="4:7">
      <c r="D703" s="37"/>
      <c r="E703" s="37"/>
      <c r="F703" s="37"/>
      <c r="G703" s="37"/>
    </row>
    <row r="704" ht="15.75" customHeight="1" spans="4:7">
      <c r="D704" s="37"/>
      <c r="E704" s="37"/>
      <c r="F704" s="37"/>
      <c r="G704" s="37"/>
    </row>
    <row r="705" ht="15.75" customHeight="1" spans="4:7">
      <c r="D705" s="37"/>
      <c r="E705" s="37"/>
      <c r="F705" s="37"/>
      <c r="G705" s="37"/>
    </row>
    <row r="706" ht="15.75" customHeight="1" spans="4:7">
      <c r="D706" s="37"/>
      <c r="E706" s="37"/>
      <c r="F706" s="37"/>
      <c r="G706" s="37"/>
    </row>
    <row r="707" ht="15.75" customHeight="1" spans="4:7">
      <c r="D707" s="37"/>
      <c r="E707" s="37"/>
      <c r="F707" s="37"/>
      <c r="G707" s="37"/>
    </row>
    <row r="708" ht="15.75" customHeight="1" spans="4:7">
      <c r="D708" s="37"/>
      <c r="E708" s="37"/>
      <c r="F708" s="37"/>
      <c r="G708" s="37"/>
    </row>
    <row r="709" ht="15.75" customHeight="1" spans="4:7">
      <c r="D709" s="37"/>
      <c r="E709" s="37"/>
      <c r="F709" s="37"/>
      <c r="G709" s="37"/>
    </row>
    <row r="710" ht="15.75" customHeight="1" spans="4:7">
      <c r="D710" s="37"/>
      <c r="E710" s="37"/>
      <c r="F710" s="37"/>
      <c r="G710" s="37"/>
    </row>
    <row r="711" ht="15.75" customHeight="1" spans="4:7">
      <c r="D711" s="37"/>
      <c r="E711" s="37"/>
      <c r="F711" s="37"/>
      <c r="G711" s="37"/>
    </row>
    <row r="712" ht="15.75" customHeight="1" spans="4:7">
      <c r="D712" s="37"/>
      <c r="E712" s="37"/>
      <c r="F712" s="37"/>
      <c r="G712" s="37"/>
    </row>
    <row r="713" ht="15.75" customHeight="1" spans="4:7">
      <c r="D713" s="37"/>
      <c r="E713" s="37"/>
      <c r="F713" s="37"/>
      <c r="G713" s="37"/>
    </row>
    <row r="714" ht="15.75" customHeight="1" spans="4:7">
      <c r="D714" s="37"/>
      <c r="E714" s="37"/>
      <c r="F714" s="37"/>
      <c r="G714" s="37"/>
    </row>
    <row r="715" ht="15.75" customHeight="1" spans="4:7">
      <c r="D715" s="37"/>
      <c r="E715" s="37"/>
      <c r="F715" s="37"/>
      <c r="G715" s="37"/>
    </row>
    <row r="716" ht="15.75" customHeight="1" spans="4:7">
      <c r="D716" s="37"/>
      <c r="E716" s="37"/>
      <c r="F716" s="37"/>
      <c r="G716" s="37"/>
    </row>
    <row r="717" ht="15.75" customHeight="1" spans="4:7">
      <c r="D717" s="37"/>
      <c r="E717" s="37"/>
      <c r="F717" s="37"/>
      <c r="G717" s="37"/>
    </row>
    <row r="718" ht="15.75" customHeight="1" spans="4:7">
      <c r="D718" s="37"/>
      <c r="E718" s="37"/>
      <c r="F718" s="37"/>
      <c r="G718" s="37"/>
    </row>
    <row r="719" ht="15.75" customHeight="1" spans="4:7">
      <c r="D719" s="37"/>
      <c r="E719" s="37"/>
      <c r="F719" s="37"/>
      <c r="G719" s="37"/>
    </row>
    <row r="720" ht="15.75" customHeight="1" spans="4:7">
      <c r="D720" s="37"/>
      <c r="E720" s="37"/>
      <c r="F720" s="37"/>
      <c r="G720" s="37"/>
    </row>
    <row r="721" ht="15.75" customHeight="1" spans="4:7">
      <c r="D721" s="37"/>
      <c r="E721" s="37"/>
      <c r="F721" s="37"/>
      <c r="G721" s="37"/>
    </row>
    <row r="722" ht="15.75" customHeight="1" spans="4:7">
      <c r="D722" s="37"/>
      <c r="E722" s="37"/>
      <c r="F722" s="37"/>
      <c r="G722" s="37"/>
    </row>
    <row r="723" ht="15.75" customHeight="1" spans="4:7">
      <c r="D723" s="37"/>
      <c r="E723" s="37"/>
      <c r="F723" s="37"/>
      <c r="G723" s="37"/>
    </row>
    <row r="724" ht="15.75" customHeight="1" spans="4:7">
      <c r="D724" s="37"/>
      <c r="E724" s="37"/>
      <c r="F724" s="37"/>
      <c r="G724" s="37"/>
    </row>
    <row r="725" ht="15.75" customHeight="1" spans="4:7">
      <c r="D725" s="37"/>
      <c r="E725" s="37"/>
      <c r="F725" s="37"/>
      <c r="G725" s="37"/>
    </row>
    <row r="726" ht="15.75" customHeight="1" spans="4:7">
      <c r="D726" s="37"/>
      <c r="E726" s="37"/>
      <c r="F726" s="37"/>
      <c r="G726" s="37"/>
    </row>
    <row r="727" ht="15.75" customHeight="1" spans="4:7">
      <c r="D727" s="37"/>
      <c r="E727" s="37"/>
      <c r="F727" s="37"/>
      <c r="G727" s="37"/>
    </row>
    <row r="728" ht="15.75" customHeight="1" spans="4:7">
      <c r="D728" s="37"/>
      <c r="E728" s="37"/>
      <c r="F728" s="37"/>
      <c r="G728" s="37"/>
    </row>
    <row r="729" ht="15.75" customHeight="1" spans="4:7">
      <c r="D729" s="37"/>
      <c r="E729" s="37"/>
      <c r="F729" s="37"/>
      <c r="G729" s="37"/>
    </row>
    <row r="730" ht="15.75" customHeight="1" spans="4:7">
      <c r="D730" s="37"/>
      <c r="E730" s="37"/>
      <c r="F730" s="37"/>
      <c r="G730" s="37"/>
    </row>
    <row r="731" ht="15.75" customHeight="1" spans="4:7">
      <c r="D731" s="37"/>
      <c r="E731" s="37"/>
      <c r="F731" s="37"/>
      <c r="G731" s="37"/>
    </row>
    <row r="732" ht="15.75" customHeight="1" spans="4:7">
      <c r="D732" s="37"/>
      <c r="E732" s="37"/>
      <c r="F732" s="37"/>
      <c r="G732" s="37"/>
    </row>
    <row r="733" ht="15.75" customHeight="1" spans="4:7">
      <c r="D733" s="37"/>
      <c r="E733" s="37"/>
      <c r="F733" s="37"/>
      <c r="G733" s="37"/>
    </row>
    <row r="734" ht="15.75" customHeight="1" spans="4:7">
      <c r="D734" s="37"/>
      <c r="E734" s="37"/>
      <c r="F734" s="37"/>
      <c r="G734" s="37"/>
    </row>
    <row r="735" ht="15.75" customHeight="1" spans="4:7">
      <c r="D735" s="37"/>
      <c r="E735" s="37"/>
      <c r="F735" s="37"/>
      <c r="G735" s="37"/>
    </row>
    <row r="736" ht="15.75" customHeight="1" spans="4:7">
      <c r="D736" s="37"/>
      <c r="E736" s="37"/>
      <c r="F736" s="37"/>
      <c r="G736" s="37"/>
    </row>
    <row r="737" ht="15.75" customHeight="1" spans="4:7">
      <c r="D737" s="37"/>
      <c r="E737" s="37"/>
      <c r="F737" s="37"/>
      <c r="G737" s="37"/>
    </row>
    <row r="738" ht="15.75" customHeight="1" spans="4:7">
      <c r="D738" s="37"/>
      <c r="E738" s="37"/>
      <c r="F738" s="37"/>
      <c r="G738" s="37"/>
    </row>
    <row r="739" ht="15.75" customHeight="1" spans="4:7">
      <c r="D739" s="37"/>
      <c r="E739" s="37"/>
      <c r="F739" s="37"/>
      <c r="G739" s="37"/>
    </row>
    <row r="740" ht="15.75" customHeight="1" spans="4:7">
      <c r="D740" s="37"/>
      <c r="E740" s="37"/>
      <c r="F740" s="37"/>
      <c r="G740" s="37"/>
    </row>
    <row r="741" ht="15.75" customHeight="1" spans="4:7">
      <c r="D741" s="37"/>
      <c r="E741" s="37"/>
      <c r="F741" s="37"/>
      <c r="G741" s="37"/>
    </row>
    <row r="742" ht="15.75" customHeight="1" spans="4:7">
      <c r="D742" s="37"/>
      <c r="E742" s="37"/>
      <c r="F742" s="37"/>
      <c r="G742" s="37"/>
    </row>
    <row r="743" ht="15.75" customHeight="1" spans="4:7">
      <c r="D743" s="37"/>
      <c r="E743" s="37"/>
      <c r="F743" s="37"/>
      <c r="G743" s="37"/>
    </row>
    <row r="744" ht="15.75" customHeight="1" spans="4:7">
      <c r="D744" s="37"/>
      <c r="E744" s="37"/>
      <c r="F744" s="37"/>
      <c r="G744" s="37"/>
    </row>
    <row r="745" ht="15.75" customHeight="1" spans="4:7">
      <c r="D745" s="37"/>
      <c r="E745" s="37"/>
      <c r="F745" s="37"/>
      <c r="G745" s="37"/>
    </row>
    <row r="746" ht="15.75" customHeight="1" spans="4:7">
      <c r="D746" s="37"/>
      <c r="E746" s="37"/>
      <c r="F746" s="37"/>
      <c r="G746" s="37"/>
    </row>
    <row r="747" ht="15.75" customHeight="1" spans="4:7">
      <c r="D747" s="37"/>
      <c r="E747" s="37"/>
      <c r="F747" s="37"/>
      <c r="G747" s="37"/>
    </row>
    <row r="748" ht="15.75" customHeight="1" spans="4:7">
      <c r="D748" s="37"/>
      <c r="E748" s="37"/>
      <c r="F748" s="37"/>
      <c r="G748" s="37"/>
    </row>
    <row r="749" ht="15.75" customHeight="1" spans="4:7">
      <c r="D749" s="37"/>
      <c r="E749" s="37"/>
      <c r="F749" s="37"/>
      <c r="G749" s="37"/>
    </row>
    <row r="750" ht="15.75" customHeight="1" spans="4:7">
      <c r="D750" s="37"/>
      <c r="E750" s="37"/>
      <c r="F750" s="37"/>
      <c r="G750" s="37"/>
    </row>
    <row r="751" ht="15.75" customHeight="1" spans="4:7">
      <c r="D751" s="37"/>
      <c r="E751" s="37"/>
      <c r="F751" s="37"/>
      <c r="G751" s="37"/>
    </row>
    <row r="752" ht="15.75" customHeight="1" spans="4:7">
      <c r="D752" s="37"/>
      <c r="E752" s="37"/>
      <c r="F752" s="37"/>
      <c r="G752" s="37"/>
    </row>
    <row r="753" ht="15.75" customHeight="1" spans="4:7">
      <c r="D753" s="37"/>
      <c r="E753" s="37"/>
      <c r="F753" s="37"/>
      <c r="G753" s="37"/>
    </row>
    <row r="754" ht="15.75" customHeight="1" spans="4:7">
      <c r="D754" s="37"/>
      <c r="E754" s="37"/>
      <c r="F754" s="37"/>
      <c r="G754" s="37"/>
    </row>
    <row r="755" ht="15.75" customHeight="1" spans="4:7">
      <c r="D755" s="37"/>
      <c r="E755" s="37"/>
      <c r="F755" s="37"/>
      <c r="G755" s="37"/>
    </row>
    <row r="756" ht="15.75" customHeight="1" spans="4:7">
      <c r="D756" s="37"/>
      <c r="E756" s="37"/>
      <c r="F756" s="37"/>
      <c r="G756" s="37"/>
    </row>
    <row r="757" ht="15.75" customHeight="1" spans="4:7">
      <c r="D757" s="37"/>
      <c r="E757" s="37"/>
      <c r="F757" s="37"/>
      <c r="G757" s="37"/>
    </row>
    <row r="758" ht="15.75" customHeight="1" spans="4:7">
      <c r="D758" s="37"/>
      <c r="E758" s="37"/>
      <c r="F758" s="37"/>
      <c r="G758" s="37"/>
    </row>
    <row r="759" ht="15.75" customHeight="1" spans="4:7">
      <c r="D759" s="37"/>
      <c r="E759" s="37"/>
      <c r="F759" s="37"/>
      <c r="G759" s="37"/>
    </row>
    <row r="760" ht="15.75" customHeight="1" spans="4:7">
      <c r="D760" s="37"/>
      <c r="E760" s="37"/>
      <c r="F760" s="37"/>
      <c r="G760" s="37"/>
    </row>
    <row r="761" ht="15.75" customHeight="1" spans="4:7">
      <c r="D761" s="37"/>
      <c r="E761" s="37"/>
      <c r="F761" s="37"/>
      <c r="G761" s="37"/>
    </row>
    <row r="762" ht="15.75" customHeight="1" spans="4:7">
      <c r="D762" s="37"/>
      <c r="E762" s="37"/>
      <c r="F762" s="37"/>
      <c r="G762" s="37"/>
    </row>
    <row r="763" ht="15.75" customHeight="1" spans="4:7">
      <c r="D763" s="37"/>
      <c r="E763" s="37"/>
      <c r="F763" s="37"/>
      <c r="G763" s="37"/>
    </row>
    <row r="764" ht="15.75" customHeight="1" spans="4:7">
      <c r="D764" s="37"/>
      <c r="E764" s="37"/>
      <c r="F764" s="37"/>
      <c r="G764" s="37"/>
    </row>
    <row r="765" ht="15.75" customHeight="1" spans="4:7">
      <c r="D765" s="37"/>
      <c r="E765" s="37"/>
      <c r="F765" s="37"/>
      <c r="G765" s="37"/>
    </row>
    <row r="766" ht="15.75" customHeight="1" spans="4:7">
      <c r="D766" s="37"/>
      <c r="E766" s="37"/>
      <c r="F766" s="37"/>
      <c r="G766" s="37"/>
    </row>
    <row r="767" ht="15.75" customHeight="1" spans="4:7">
      <c r="D767" s="37"/>
      <c r="E767" s="37"/>
      <c r="F767" s="37"/>
      <c r="G767" s="37"/>
    </row>
    <row r="768" ht="15.75" customHeight="1" spans="4:7">
      <c r="D768" s="37"/>
      <c r="E768" s="37"/>
      <c r="F768" s="37"/>
      <c r="G768" s="37"/>
    </row>
    <row r="769" ht="15.75" customHeight="1" spans="4:7">
      <c r="D769" s="37"/>
      <c r="E769" s="37"/>
      <c r="F769" s="37"/>
      <c r="G769" s="37"/>
    </row>
    <row r="770" ht="15.75" customHeight="1" spans="4:7">
      <c r="D770" s="37"/>
      <c r="E770" s="37"/>
      <c r="F770" s="37"/>
      <c r="G770" s="37"/>
    </row>
    <row r="771" ht="15.75" customHeight="1" spans="4:7">
      <c r="D771" s="37"/>
      <c r="E771" s="37"/>
      <c r="F771" s="37"/>
      <c r="G771" s="37"/>
    </row>
    <row r="772" ht="15.75" customHeight="1" spans="4:7">
      <c r="D772" s="37"/>
      <c r="E772" s="37"/>
      <c r="F772" s="37"/>
      <c r="G772" s="37"/>
    </row>
    <row r="773" ht="15.75" customHeight="1" spans="4:7">
      <c r="D773" s="37"/>
      <c r="E773" s="37"/>
      <c r="F773" s="37"/>
      <c r="G773" s="37"/>
    </row>
    <row r="774" ht="15.75" customHeight="1" spans="4:7">
      <c r="D774" s="37"/>
      <c r="E774" s="37"/>
      <c r="F774" s="37"/>
      <c r="G774" s="37"/>
    </row>
    <row r="775" ht="15.75" customHeight="1" spans="4:7">
      <c r="D775" s="37"/>
      <c r="E775" s="37"/>
      <c r="F775" s="37"/>
      <c r="G775" s="37"/>
    </row>
    <row r="776" ht="15.75" customHeight="1" spans="4:7">
      <c r="D776" s="37"/>
      <c r="E776" s="37"/>
      <c r="F776" s="37"/>
      <c r="G776" s="37"/>
    </row>
    <row r="777" ht="15.75" customHeight="1" spans="4:7">
      <c r="D777" s="37"/>
      <c r="E777" s="37"/>
      <c r="F777" s="37"/>
      <c r="G777" s="37"/>
    </row>
    <row r="778" ht="15.75" customHeight="1" spans="4:7">
      <c r="D778" s="37"/>
      <c r="E778" s="37"/>
      <c r="F778" s="37"/>
      <c r="G778" s="37"/>
    </row>
    <row r="779" ht="15.75" customHeight="1" spans="4:7">
      <c r="D779" s="37"/>
      <c r="E779" s="37"/>
      <c r="F779" s="37"/>
      <c r="G779" s="37"/>
    </row>
    <row r="780" ht="15.75" customHeight="1" spans="4:7">
      <c r="D780" s="37"/>
      <c r="E780" s="37"/>
      <c r="F780" s="37"/>
      <c r="G780" s="37"/>
    </row>
    <row r="781" ht="15.75" customHeight="1" spans="4:7">
      <c r="D781" s="37"/>
      <c r="E781" s="37"/>
      <c r="F781" s="37"/>
      <c r="G781" s="37"/>
    </row>
    <row r="782" ht="15.75" customHeight="1" spans="4:7">
      <c r="D782" s="37"/>
      <c r="E782" s="37"/>
      <c r="F782" s="37"/>
      <c r="G782" s="37"/>
    </row>
    <row r="783" ht="15.75" customHeight="1" spans="4:7">
      <c r="D783" s="37"/>
      <c r="E783" s="37"/>
      <c r="F783" s="37"/>
      <c r="G783" s="37"/>
    </row>
    <row r="784" ht="15.75" customHeight="1" spans="4:7">
      <c r="D784" s="37"/>
      <c r="E784" s="37"/>
      <c r="F784" s="37"/>
      <c r="G784" s="37"/>
    </row>
    <row r="785" ht="15.75" customHeight="1" spans="4:7">
      <c r="D785" s="37"/>
      <c r="E785" s="37"/>
      <c r="F785" s="37"/>
      <c r="G785" s="37"/>
    </row>
    <row r="786" ht="15.75" customHeight="1" spans="4:7">
      <c r="D786" s="37"/>
      <c r="E786" s="37"/>
      <c r="F786" s="37"/>
      <c r="G786" s="37"/>
    </row>
    <row r="787" ht="15.75" customHeight="1" spans="4:7">
      <c r="D787" s="37"/>
      <c r="E787" s="37"/>
      <c r="F787" s="37"/>
      <c r="G787" s="37"/>
    </row>
    <row r="788" ht="15.75" customHeight="1" spans="4:7">
      <c r="D788" s="37"/>
      <c r="E788" s="37"/>
      <c r="F788" s="37"/>
      <c r="G788" s="37"/>
    </row>
    <row r="789" ht="15.75" customHeight="1" spans="4:7">
      <c r="D789" s="37"/>
      <c r="E789" s="37"/>
      <c r="F789" s="37"/>
      <c r="G789" s="37"/>
    </row>
    <row r="790" ht="15.75" customHeight="1" spans="4:7">
      <c r="D790" s="37"/>
      <c r="E790" s="37"/>
      <c r="F790" s="37"/>
      <c r="G790" s="37"/>
    </row>
    <row r="791" ht="15.75" customHeight="1" spans="4:7">
      <c r="D791" s="37"/>
      <c r="E791" s="37"/>
      <c r="F791" s="37"/>
      <c r="G791" s="37"/>
    </row>
    <row r="792" ht="15.75" customHeight="1" spans="4:7">
      <c r="D792" s="37"/>
      <c r="E792" s="37"/>
      <c r="F792" s="37"/>
      <c r="G792" s="37"/>
    </row>
    <row r="793" ht="15.75" customHeight="1" spans="4:7">
      <c r="D793" s="37"/>
      <c r="E793" s="37"/>
      <c r="F793" s="37"/>
      <c r="G793" s="37"/>
    </row>
    <row r="794" ht="15.75" customHeight="1" spans="4:7">
      <c r="D794" s="37"/>
      <c r="E794" s="37"/>
      <c r="F794" s="37"/>
      <c r="G794" s="37"/>
    </row>
    <row r="795" ht="15.75" customHeight="1" spans="4:7">
      <c r="D795" s="37"/>
      <c r="E795" s="37"/>
      <c r="F795" s="37"/>
      <c r="G795" s="37"/>
    </row>
    <row r="796" ht="15.75" customHeight="1" spans="4:7">
      <c r="D796" s="37"/>
      <c r="E796" s="37"/>
      <c r="F796" s="37"/>
      <c r="G796" s="37"/>
    </row>
    <row r="797" ht="15.75" customHeight="1" spans="4:7">
      <c r="D797" s="37"/>
      <c r="E797" s="37"/>
      <c r="F797" s="37"/>
      <c r="G797" s="37"/>
    </row>
    <row r="798" ht="15.75" customHeight="1" spans="4:7">
      <c r="D798" s="37"/>
      <c r="E798" s="37"/>
      <c r="F798" s="37"/>
      <c r="G798" s="37"/>
    </row>
    <row r="799" ht="15.75" customHeight="1" spans="4:7">
      <c r="D799" s="37"/>
      <c r="E799" s="37"/>
      <c r="F799" s="37"/>
      <c r="G799" s="37"/>
    </row>
    <row r="800" ht="15.75" customHeight="1" spans="4:7">
      <c r="D800" s="37"/>
      <c r="E800" s="37"/>
      <c r="F800" s="37"/>
      <c r="G800" s="37"/>
    </row>
    <row r="801" ht="15.75" customHeight="1" spans="4:7">
      <c r="D801" s="37"/>
      <c r="E801" s="37"/>
      <c r="F801" s="37"/>
      <c r="G801" s="37"/>
    </row>
    <row r="802" ht="15.75" customHeight="1" spans="4:7">
      <c r="D802" s="37"/>
      <c r="E802" s="37"/>
      <c r="F802" s="37"/>
      <c r="G802" s="37"/>
    </row>
    <row r="803" ht="15.75" customHeight="1" spans="4:7">
      <c r="D803" s="37"/>
      <c r="E803" s="37"/>
      <c r="F803" s="37"/>
      <c r="G803" s="37"/>
    </row>
    <row r="804" ht="15.75" customHeight="1" spans="4:7">
      <c r="D804" s="37"/>
      <c r="E804" s="37"/>
      <c r="F804" s="37"/>
      <c r="G804" s="37"/>
    </row>
    <row r="805" ht="15.75" customHeight="1" spans="4:7">
      <c r="D805" s="37"/>
      <c r="E805" s="37"/>
      <c r="F805" s="37"/>
      <c r="G805" s="37"/>
    </row>
    <row r="806" ht="15.75" customHeight="1" spans="4:7">
      <c r="D806" s="37"/>
      <c r="E806" s="37"/>
      <c r="F806" s="37"/>
      <c r="G806" s="37"/>
    </row>
    <row r="807" ht="15.75" customHeight="1" spans="4:7">
      <c r="D807" s="37"/>
      <c r="E807" s="37"/>
      <c r="F807" s="37"/>
      <c r="G807" s="37"/>
    </row>
    <row r="808" ht="15.75" customHeight="1" spans="4:7">
      <c r="D808" s="37"/>
      <c r="E808" s="37"/>
      <c r="F808" s="37"/>
      <c r="G808" s="37"/>
    </row>
    <row r="809" ht="15.75" customHeight="1" spans="4:7">
      <c r="D809" s="37"/>
      <c r="E809" s="37"/>
      <c r="F809" s="37"/>
      <c r="G809" s="37"/>
    </row>
    <row r="810" ht="15.75" customHeight="1" spans="4:7">
      <c r="D810" s="37"/>
      <c r="E810" s="37"/>
      <c r="F810" s="37"/>
      <c r="G810" s="37"/>
    </row>
    <row r="811" ht="15.75" customHeight="1" spans="4:7">
      <c r="D811" s="37"/>
      <c r="E811" s="37"/>
      <c r="F811" s="37"/>
      <c r="G811" s="37"/>
    </row>
    <row r="812" ht="15.75" customHeight="1" spans="4:7">
      <c r="D812" s="37"/>
      <c r="E812" s="37"/>
      <c r="F812" s="37"/>
      <c r="G812" s="37"/>
    </row>
    <row r="813" ht="15.75" customHeight="1" spans="4:7">
      <c r="D813" s="37"/>
      <c r="E813" s="37"/>
      <c r="F813" s="37"/>
      <c r="G813" s="37"/>
    </row>
    <row r="814" ht="15.75" customHeight="1" spans="4:7">
      <c r="D814" s="37"/>
      <c r="E814" s="37"/>
      <c r="F814" s="37"/>
      <c r="G814" s="37"/>
    </row>
    <row r="815" ht="15.75" customHeight="1" spans="4:7">
      <c r="D815" s="37"/>
      <c r="E815" s="37"/>
      <c r="F815" s="37"/>
      <c r="G815" s="37"/>
    </row>
    <row r="816" ht="15.75" customHeight="1" spans="4:7">
      <c r="D816" s="37"/>
      <c r="E816" s="37"/>
      <c r="F816" s="37"/>
      <c r="G816" s="37"/>
    </row>
    <row r="817" ht="15.75" customHeight="1" spans="4:7">
      <c r="D817" s="37"/>
      <c r="E817" s="37"/>
      <c r="F817" s="37"/>
      <c r="G817" s="37"/>
    </row>
    <row r="818" ht="15.75" customHeight="1" spans="4:7">
      <c r="D818" s="37"/>
      <c r="E818" s="37"/>
      <c r="F818" s="37"/>
      <c r="G818" s="37"/>
    </row>
    <row r="819" ht="15.75" customHeight="1" spans="4:7">
      <c r="D819" s="37"/>
      <c r="E819" s="37"/>
      <c r="F819" s="37"/>
      <c r="G819" s="37"/>
    </row>
    <row r="820" ht="15.75" customHeight="1" spans="4:7">
      <c r="D820" s="37"/>
      <c r="E820" s="37"/>
      <c r="F820" s="37"/>
      <c r="G820" s="37"/>
    </row>
    <row r="821" ht="15.75" customHeight="1" spans="4:7">
      <c r="D821" s="37"/>
      <c r="E821" s="37"/>
      <c r="F821" s="37"/>
      <c r="G821" s="37"/>
    </row>
    <row r="822" ht="15.75" customHeight="1" spans="4:7">
      <c r="D822" s="37"/>
      <c r="E822" s="37"/>
      <c r="F822" s="37"/>
      <c r="G822" s="37"/>
    </row>
    <row r="823" ht="15.75" customHeight="1" spans="4:7">
      <c r="D823" s="37"/>
      <c r="E823" s="37"/>
      <c r="F823" s="37"/>
      <c r="G823" s="37"/>
    </row>
    <row r="824" ht="15.75" customHeight="1" spans="4:7">
      <c r="D824" s="37"/>
      <c r="E824" s="37"/>
      <c r="F824" s="37"/>
      <c r="G824" s="37"/>
    </row>
    <row r="825" ht="15.75" customHeight="1" spans="4:7">
      <c r="D825" s="37"/>
      <c r="E825" s="37"/>
      <c r="F825" s="37"/>
      <c r="G825" s="37"/>
    </row>
    <row r="826" ht="15.75" customHeight="1" spans="4:7">
      <c r="D826" s="37"/>
      <c r="E826" s="37"/>
      <c r="F826" s="37"/>
      <c r="G826" s="37"/>
    </row>
    <row r="827" ht="15.75" customHeight="1" spans="4:7">
      <c r="D827" s="37"/>
      <c r="E827" s="37"/>
      <c r="F827" s="37"/>
      <c r="G827" s="37"/>
    </row>
    <row r="828" ht="15.75" customHeight="1" spans="4:7">
      <c r="D828" s="37"/>
      <c r="E828" s="37"/>
      <c r="F828" s="37"/>
      <c r="G828" s="37"/>
    </row>
    <row r="829" ht="15.75" customHeight="1" spans="4:7">
      <c r="D829" s="37"/>
      <c r="E829" s="37"/>
      <c r="F829" s="37"/>
      <c r="G829" s="37"/>
    </row>
    <row r="830" ht="15.75" customHeight="1" spans="4:7">
      <c r="D830" s="37"/>
      <c r="E830" s="37"/>
      <c r="F830" s="37"/>
      <c r="G830" s="37"/>
    </row>
    <row r="831" ht="15.75" customHeight="1" spans="4:7">
      <c r="D831" s="37"/>
      <c r="E831" s="37"/>
      <c r="F831" s="37"/>
      <c r="G831" s="37"/>
    </row>
    <row r="832" ht="15.75" customHeight="1" spans="4:7">
      <c r="D832" s="37"/>
      <c r="E832" s="37"/>
      <c r="F832" s="37"/>
      <c r="G832" s="37"/>
    </row>
    <row r="833" ht="15.75" customHeight="1" spans="4:7">
      <c r="D833" s="37"/>
      <c r="E833" s="37"/>
      <c r="F833" s="37"/>
      <c r="G833" s="37"/>
    </row>
    <row r="834" ht="15.75" customHeight="1" spans="4:7">
      <c r="D834" s="37"/>
      <c r="E834" s="37"/>
      <c r="F834" s="37"/>
      <c r="G834" s="37"/>
    </row>
    <row r="835" ht="15.75" customHeight="1" spans="4:7">
      <c r="D835" s="37"/>
      <c r="E835" s="37"/>
      <c r="F835" s="37"/>
      <c r="G835" s="37"/>
    </row>
    <row r="836" ht="15.75" customHeight="1" spans="4:7">
      <c r="D836" s="37"/>
      <c r="E836" s="37"/>
      <c r="F836" s="37"/>
      <c r="G836" s="37"/>
    </row>
    <row r="837" ht="15.75" customHeight="1" spans="4:7">
      <c r="D837" s="37"/>
      <c r="E837" s="37"/>
      <c r="F837" s="37"/>
      <c r="G837" s="37"/>
    </row>
    <row r="838" ht="15.75" customHeight="1" spans="4:7">
      <c r="D838" s="37"/>
      <c r="E838" s="37"/>
      <c r="F838" s="37"/>
      <c r="G838" s="37"/>
    </row>
    <row r="839" ht="15.75" customHeight="1" spans="4:7">
      <c r="D839" s="37"/>
      <c r="E839" s="37"/>
      <c r="F839" s="37"/>
      <c r="G839" s="37"/>
    </row>
    <row r="840" ht="15.75" customHeight="1" spans="4:7">
      <c r="D840" s="37"/>
      <c r="E840" s="37"/>
      <c r="F840" s="37"/>
      <c r="G840" s="37"/>
    </row>
    <row r="841" ht="15.75" customHeight="1" spans="4:7">
      <c r="D841" s="37"/>
      <c r="E841" s="37"/>
      <c r="F841" s="37"/>
      <c r="G841" s="37"/>
    </row>
    <row r="842" ht="15.75" customHeight="1" spans="4:7">
      <c r="D842" s="37"/>
      <c r="E842" s="37"/>
      <c r="F842" s="37"/>
      <c r="G842" s="37"/>
    </row>
    <row r="843" ht="15.75" customHeight="1" spans="4:7">
      <c r="D843" s="37"/>
      <c r="E843" s="37"/>
      <c r="F843" s="37"/>
      <c r="G843" s="37"/>
    </row>
    <row r="844" ht="15.75" customHeight="1" spans="4:7">
      <c r="D844" s="37"/>
      <c r="E844" s="37"/>
      <c r="F844" s="37"/>
      <c r="G844" s="37"/>
    </row>
    <row r="845" ht="15.75" customHeight="1" spans="4:7">
      <c r="D845" s="37"/>
      <c r="E845" s="37"/>
      <c r="F845" s="37"/>
      <c r="G845" s="37"/>
    </row>
    <row r="846" ht="15.75" customHeight="1" spans="4:7">
      <c r="D846" s="37"/>
      <c r="E846" s="37"/>
      <c r="F846" s="37"/>
      <c r="G846" s="37"/>
    </row>
    <row r="847" ht="15.75" customHeight="1" spans="4:7">
      <c r="D847" s="37"/>
      <c r="E847" s="37"/>
      <c r="F847" s="37"/>
      <c r="G847" s="37"/>
    </row>
    <row r="848" ht="15.75" customHeight="1" spans="4:7">
      <c r="D848" s="37"/>
      <c r="E848" s="37"/>
      <c r="F848" s="37"/>
      <c r="G848" s="37"/>
    </row>
    <row r="849" ht="15.75" customHeight="1" spans="4:7">
      <c r="D849" s="37"/>
      <c r="E849" s="37"/>
      <c r="F849" s="37"/>
      <c r="G849" s="37"/>
    </row>
    <row r="850" ht="15.75" customHeight="1" spans="4:7">
      <c r="D850" s="37"/>
      <c r="E850" s="37"/>
      <c r="F850" s="37"/>
      <c r="G850" s="37"/>
    </row>
    <row r="851" ht="15.75" customHeight="1" spans="4:7">
      <c r="D851" s="37"/>
      <c r="E851" s="37"/>
      <c r="F851" s="37"/>
      <c r="G851" s="37"/>
    </row>
    <row r="852" ht="15.75" customHeight="1" spans="4:7">
      <c r="D852" s="37"/>
      <c r="E852" s="37"/>
      <c r="F852" s="37"/>
      <c r="G852" s="37"/>
    </row>
    <row r="853" ht="15.75" customHeight="1" spans="4:7">
      <c r="D853" s="37"/>
      <c r="E853" s="37"/>
      <c r="F853" s="37"/>
      <c r="G853" s="37"/>
    </row>
    <row r="854" ht="15.75" customHeight="1" spans="4:7">
      <c r="D854" s="37"/>
      <c r="E854" s="37"/>
      <c r="F854" s="37"/>
      <c r="G854" s="37"/>
    </row>
    <row r="855" ht="15.75" customHeight="1" spans="4:7">
      <c r="D855" s="37"/>
      <c r="E855" s="37"/>
      <c r="F855" s="37"/>
      <c r="G855" s="37"/>
    </row>
    <row r="856" ht="15.75" customHeight="1" spans="4:7">
      <c r="D856" s="37"/>
      <c r="E856" s="37"/>
      <c r="F856" s="37"/>
      <c r="G856" s="37"/>
    </row>
    <row r="857" ht="15.75" customHeight="1" spans="4:7">
      <c r="D857" s="37"/>
      <c r="E857" s="37"/>
      <c r="F857" s="37"/>
      <c r="G857" s="37"/>
    </row>
    <row r="858" ht="15.75" customHeight="1" spans="4:7">
      <c r="D858" s="37"/>
      <c r="E858" s="37"/>
      <c r="F858" s="37"/>
      <c r="G858" s="37"/>
    </row>
    <row r="859" ht="15.75" customHeight="1" spans="4:7">
      <c r="D859" s="37"/>
      <c r="E859" s="37"/>
      <c r="F859" s="37"/>
      <c r="G859" s="37"/>
    </row>
    <row r="860" ht="15.75" customHeight="1" spans="4:7">
      <c r="D860" s="37"/>
      <c r="E860" s="37"/>
      <c r="F860" s="37"/>
      <c r="G860" s="37"/>
    </row>
    <row r="861" ht="15.75" customHeight="1" spans="4:7">
      <c r="D861" s="37"/>
      <c r="E861" s="37"/>
      <c r="F861" s="37"/>
      <c r="G861" s="37"/>
    </row>
    <row r="862" ht="15.75" customHeight="1" spans="4:7">
      <c r="D862" s="37"/>
      <c r="E862" s="37"/>
      <c r="F862" s="37"/>
      <c r="G862" s="37"/>
    </row>
    <row r="863" ht="15.75" customHeight="1" spans="4:7">
      <c r="D863" s="37"/>
      <c r="E863" s="37"/>
      <c r="F863" s="37"/>
      <c r="G863" s="37"/>
    </row>
    <row r="864" ht="15.75" customHeight="1" spans="4:7">
      <c r="D864" s="37"/>
      <c r="E864" s="37"/>
      <c r="F864" s="37"/>
      <c r="G864" s="37"/>
    </row>
    <row r="865" ht="15.75" customHeight="1" spans="4:7">
      <c r="D865" s="37"/>
      <c r="E865" s="37"/>
      <c r="F865" s="37"/>
      <c r="G865" s="37"/>
    </row>
    <row r="866" ht="15.75" customHeight="1" spans="4:7">
      <c r="D866" s="37"/>
      <c r="E866" s="37"/>
      <c r="F866" s="37"/>
      <c r="G866" s="37"/>
    </row>
    <row r="867" ht="15.75" customHeight="1" spans="4:7">
      <c r="D867" s="37"/>
      <c r="E867" s="37"/>
      <c r="F867" s="37"/>
      <c r="G867" s="37"/>
    </row>
    <row r="868" ht="15.75" customHeight="1" spans="4:7">
      <c r="D868" s="37"/>
      <c r="E868" s="37"/>
      <c r="F868" s="37"/>
      <c r="G868" s="37"/>
    </row>
    <row r="869" ht="15.75" customHeight="1" spans="4:7">
      <c r="D869" s="37"/>
      <c r="E869" s="37"/>
      <c r="F869" s="37"/>
      <c r="G869" s="37"/>
    </row>
    <row r="870" ht="15.75" customHeight="1" spans="4:7">
      <c r="D870" s="37"/>
      <c r="E870" s="37"/>
      <c r="F870" s="37"/>
      <c r="G870" s="37"/>
    </row>
    <row r="871" ht="15.75" customHeight="1" spans="4:7">
      <c r="D871" s="37"/>
      <c r="E871" s="37"/>
      <c r="F871" s="37"/>
      <c r="G871" s="37"/>
    </row>
    <row r="872" ht="15.75" customHeight="1" spans="4:7">
      <c r="D872" s="37"/>
      <c r="E872" s="37"/>
      <c r="F872" s="37"/>
      <c r="G872" s="37"/>
    </row>
    <row r="873" ht="15.75" customHeight="1" spans="4:7">
      <c r="D873" s="37"/>
      <c r="E873" s="37"/>
      <c r="F873" s="37"/>
      <c r="G873" s="37"/>
    </row>
    <row r="874" ht="15.75" customHeight="1" spans="4:7">
      <c r="D874" s="37"/>
      <c r="E874" s="37"/>
      <c r="F874" s="37"/>
      <c r="G874" s="37"/>
    </row>
    <row r="875" ht="15.75" customHeight="1" spans="4:7">
      <c r="D875" s="37"/>
      <c r="E875" s="37"/>
      <c r="F875" s="37"/>
      <c r="G875" s="37"/>
    </row>
    <row r="876" ht="15.75" customHeight="1" spans="4:7">
      <c r="D876" s="37"/>
      <c r="E876" s="37"/>
      <c r="F876" s="37"/>
      <c r="G876" s="37"/>
    </row>
    <row r="877" ht="15.75" customHeight="1" spans="4:7">
      <c r="D877" s="37"/>
      <c r="E877" s="37"/>
      <c r="F877" s="37"/>
      <c r="G877" s="37"/>
    </row>
    <row r="878" ht="15.75" customHeight="1" spans="4:7">
      <c r="D878" s="37"/>
      <c r="E878" s="37"/>
      <c r="F878" s="37"/>
      <c r="G878" s="37"/>
    </row>
    <row r="879" ht="15.75" customHeight="1" spans="4:7">
      <c r="D879" s="37"/>
      <c r="E879" s="37"/>
      <c r="F879" s="37"/>
      <c r="G879" s="37"/>
    </row>
    <row r="880" ht="15.75" customHeight="1" spans="4:7">
      <c r="D880" s="37"/>
      <c r="E880" s="37"/>
      <c r="F880" s="37"/>
      <c r="G880" s="37"/>
    </row>
    <row r="881" ht="15.75" customHeight="1" spans="4:7">
      <c r="D881" s="37"/>
      <c r="E881" s="37"/>
      <c r="F881" s="37"/>
      <c r="G881" s="37"/>
    </row>
    <row r="882" ht="15.75" customHeight="1" spans="4:7">
      <c r="D882" s="37"/>
      <c r="E882" s="37"/>
      <c r="F882" s="37"/>
      <c r="G882" s="37"/>
    </row>
    <row r="883" ht="15.75" customHeight="1" spans="4:7">
      <c r="D883" s="37"/>
      <c r="E883" s="37"/>
      <c r="F883" s="37"/>
      <c r="G883" s="37"/>
    </row>
    <row r="884" ht="15.75" customHeight="1" spans="4:7">
      <c r="D884" s="37"/>
      <c r="E884" s="37"/>
      <c r="F884" s="37"/>
      <c r="G884" s="37"/>
    </row>
    <row r="885" ht="15.75" customHeight="1" spans="4:7">
      <c r="D885" s="37"/>
      <c r="E885" s="37"/>
      <c r="F885" s="37"/>
      <c r="G885" s="37"/>
    </row>
    <row r="886" ht="15.75" customHeight="1" spans="4:7">
      <c r="D886" s="37"/>
      <c r="E886" s="37"/>
      <c r="F886" s="37"/>
      <c r="G886" s="37"/>
    </row>
    <row r="887" ht="15.75" customHeight="1" spans="4:7">
      <c r="D887" s="37"/>
      <c r="E887" s="37"/>
      <c r="F887" s="37"/>
      <c r="G887" s="37"/>
    </row>
    <row r="888" ht="15.75" customHeight="1" spans="4:7">
      <c r="D888" s="37"/>
      <c r="E888" s="37"/>
      <c r="F888" s="37"/>
      <c r="G888" s="37"/>
    </row>
    <row r="889" ht="15.75" customHeight="1" spans="4:7">
      <c r="D889" s="37"/>
      <c r="E889" s="37"/>
      <c r="F889" s="37"/>
      <c r="G889" s="37"/>
    </row>
    <row r="890" ht="15.75" customHeight="1" spans="4:7">
      <c r="D890" s="37"/>
      <c r="E890" s="37"/>
      <c r="F890" s="37"/>
      <c r="G890" s="37"/>
    </row>
    <row r="891" ht="15.75" customHeight="1" spans="4:7">
      <c r="D891" s="37"/>
      <c r="E891" s="37"/>
      <c r="F891" s="37"/>
      <c r="G891" s="37"/>
    </row>
    <row r="892" ht="15.75" customHeight="1" spans="4:7">
      <c r="D892" s="37"/>
      <c r="E892" s="37"/>
      <c r="F892" s="37"/>
      <c r="G892" s="37"/>
    </row>
    <row r="893" ht="15.75" customHeight="1" spans="4:7">
      <c r="D893" s="37"/>
      <c r="E893" s="37"/>
      <c r="F893" s="37"/>
      <c r="G893" s="37"/>
    </row>
    <row r="894" ht="15.75" customHeight="1" spans="4:7">
      <c r="D894" s="37"/>
      <c r="E894" s="37"/>
      <c r="F894" s="37"/>
      <c r="G894" s="37"/>
    </row>
    <row r="895" ht="15.75" customHeight="1" spans="4:7">
      <c r="D895" s="37"/>
      <c r="E895" s="37"/>
      <c r="F895" s="37"/>
      <c r="G895" s="37"/>
    </row>
    <row r="896" ht="15.75" customHeight="1" spans="4:7">
      <c r="D896" s="37"/>
      <c r="E896" s="37"/>
      <c r="F896" s="37"/>
      <c r="G896" s="37"/>
    </row>
    <row r="897" ht="15.75" customHeight="1" spans="4:7">
      <c r="D897" s="37"/>
      <c r="E897" s="37"/>
      <c r="F897" s="37"/>
      <c r="G897" s="37"/>
    </row>
    <row r="898" ht="15.75" customHeight="1" spans="4:7">
      <c r="D898" s="37"/>
      <c r="E898" s="37"/>
      <c r="F898" s="37"/>
      <c r="G898" s="37"/>
    </row>
    <row r="899" ht="15.75" customHeight="1" spans="4:7">
      <c r="D899" s="37"/>
      <c r="E899" s="37"/>
      <c r="F899" s="37"/>
      <c r="G899" s="37"/>
    </row>
    <row r="900" ht="15.75" customHeight="1" spans="4:7">
      <c r="D900" s="37"/>
      <c r="E900" s="37"/>
      <c r="F900" s="37"/>
      <c r="G900" s="37"/>
    </row>
    <row r="901" ht="15.75" customHeight="1" spans="4:7">
      <c r="D901" s="37"/>
      <c r="E901" s="37"/>
      <c r="F901" s="37"/>
      <c r="G901" s="37"/>
    </row>
    <row r="902" ht="15.75" customHeight="1" spans="4:7">
      <c r="D902" s="37"/>
      <c r="E902" s="37"/>
      <c r="F902" s="37"/>
      <c r="G902" s="37"/>
    </row>
    <row r="903" ht="15.75" customHeight="1" spans="4:7">
      <c r="D903" s="37"/>
      <c r="E903" s="37"/>
      <c r="F903" s="37"/>
      <c r="G903" s="37"/>
    </row>
    <row r="904" ht="15.75" customHeight="1" spans="4:7">
      <c r="D904" s="37"/>
      <c r="E904" s="37"/>
      <c r="F904" s="37"/>
      <c r="G904" s="37"/>
    </row>
    <row r="905" ht="15.75" customHeight="1" spans="4:7">
      <c r="D905" s="37"/>
      <c r="E905" s="37"/>
      <c r="F905" s="37"/>
      <c r="G905" s="37"/>
    </row>
    <row r="906" ht="15.75" customHeight="1" spans="4:7">
      <c r="D906" s="37"/>
      <c r="E906" s="37"/>
      <c r="F906" s="37"/>
      <c r="G906" s="37"/>
    </row>
    <row r="907" ht="15.75" customHeight="1" spans="4:7">
      <c r="D907" s="37"/>
      <c r="E907" s="37"/>
      <c r="F907" s="37"/>
      <c r="G907" s="37"/>
    </row>
    <row r="908" ht="15.75" customHeight="1" spans="4:7">
      <c r="D908" s="37"/>
      <c r="E908" s="37"/>
      <c r="F908" s="37"/>
      <c r="G908" s="37"/>
    </row>
    <row r="909" ht="15.75" customHeight="1" spans="4:7">
      <c r="D909" s="37"/>
      <c r="E909" s="37"/>
      <c r="F909" s="37"/>
      <c r="G909" s="37"/>
    </row>
    <row r="910" ht="15.75" customHeight="1" spans="4:7">
      <c r="D910" s="37"/>
      <c r="E910" s="37"/>
      <c r="F910" s="37"/>
      <c r="G910" s="37"/>
    </row>
    <row r="911" ht="15.75" customHeight="1" spans="4:7">
      <c r="D911" s="37"/>
      <c r="E911" s="37"/>
      <c r="F911" s="37"/>
      <c r="G911" s="37"/>
    </row>
    <row r="912" ht="15.75" customHeight="1" spans="4:7">
      <c r="D912" s="37"/>
      <c r="E912" s="37"/>
      <c r="F912" s="37"/>
      <c r="G912" s="37"/>
    </row>
    <row r="913" ht="15.75" customHeight="1" spans="4:7">
      <c r="D913" s="37"/>
      <c r="E913" s="37"/>
      <c r="F913" s="37"/>
      <c r="G913" s="37"/>
    </row>
    <row r="914" ht="15.75" customHeight="1" spans="4:7">
      <c r="D914" s="37"/>
      <c r="E914" s="37"/>
      <c r="F914" s="37"/>
      <c r="G914" s="37"/>
    </row>
    <row r="915" ht="15.75" customHeight="1" spans="4:7">
      <c r="D915" s="37"/>
      <c r="E915" s="37"/>
      <c r="F915" s="37"/>
      <c r="G915" s="37"/>
    </row>
    <row r="916" ht="15.75" customHeight="1" spans="4:7">
      <c r="D916" s="37"/>
      <c r="E916" s="37"/>
      <c r="F916" s="37"/>
      <c r="G916" s="37"/>
    </row>
    <row r="917" ht="15.75" customHeight="1" spans="4:7">
      <c r="D917" s="37"/>
      <c r="E917" s="37"/>
      <c r="F917" s="37"/>
      <c r="G917" s="37"/>
    </row>
    <row r="918" ht="15.75" customHeight="1" spans="4:7">
      <c r="D918" s="37"/>
      <c r="E918" s="37"/>
      <c r="F918" s="37"/>
      <c r="G918" s="37"/>
    </row>
    <row r="919" ht="15.75" customHeight="1" spans="4:7">
      <c r="D919" s="37"/>
      <c r="E919" s="37"/>
      <c r="F919" s="37"/>
      <c r="G919" s="37"/>
    </row>
    <row r="920" ht="15.75" customHeight="1" spans="4:7">
      <c r="D920" s="37"/>
      <c r="E920" s="37"/>
      <c r="F920" s="37"/>
      <c r="G920" s="37"/>
    </row>
    <row r="921" ht="15.75" customHeight="1" spans="4:7">
      <c r="D921" s="37"/>
      <c r="E921" s="37"/>
      <c r="F921" s="37"/>
      <c r="G921" s="37"/>
    </row>
    <row r="922" ht="15.75" customHeight="1" spans="4:7">
      <c r="D922" s="37"/>
      <c r="E922" s="37"/>
      <c r="F922" s="37"/>
      <c r="G922" s="37"/>
    </row>
    <row r="923" ht="15.75" customHeight="1" spans="4:7">
      <c r="D923" s="37"/>
      <c r="E923" s="37"/>
      <c r="F923" s="37"/>
      <c r="G923" s="37"/>
    </row>
    <row r="924" ht="15.75" customHeight="1" spans="4:7">
      <c r="D924" s="37"/>
      <c r="E924" s="37"/>
      <c r="F924" s="37"/>
      <c r="G924" s="37"/>
    </row>
    <row r="925" ht="15.75" customHeight="1" spans="4:7">
      <c r="D925" s="37"/>
      <c r="E925" s="37"/>
      <c r="F925" s="37"/>
      <c r="G925" s="37"/>
    </row>
    <row r="926" ht="15.75" customHeight="1" spans="4:7">
      <c r="D926" s="37"/>
      <c r="E926" s="37"/>
      <c r="F926" s="37"/>
      <c r="G926" s="37"/>
    </row>
    <row r="927" ht="15.75" customHeight="1" spans="4:7">
      <c r="D927" s="37"/>
      <c r="E927" s="37"/>
      <c r="F927" s="37"/>
      <c r="G927" s="37"/>
    </row>
    <row r="928" ht="15.75" customHeight="1" spans="4:7">
      <c r="D928" s="37"/>
      <c r="E928" s="37"/>
      <c r="F928" s="37"/>
      <c r="G928" s="37"/>
    </row>
    <row r="929" ht="15.75" customHeight="1" spans="4:7">
      <c r="D929" s="37"/>
      <c r="E929" s="37"/>
      <c r="F929" s="37"/>
      <c r="G929" s="37"/>
    </row>
    <row r="930" ht="15.75" customHeight="1" spans="4:7">
      <c r="D930" s="37"/>
      <c r="E930" s="37"/>
      <c r="F930" s="37"/>
      <c r="G930" s="37"/>
    </row>
    <row r="931" ht="15.75" customHeight="1" spans="4:7">
      <c r="D931" s="37"/>
      <c r="E931" s="37"/>
      <c r="F931" s="37"/>
      <c r="G931" s="37"/>
    </row>
    <row r="932" ht="15.75" customHeight="1" spans="4:7">
      <c r="D932" s="37"/>
      <c r="E932" s="37"/>
      <c r="F932" s="37"/>
      <c r="G932" s="37"/>
    </row>
    <row r="933" ht="15.75" customHeight="1" spans="4:7">
      <c r="D933" s="37"/>
      <c r="E933" s="37"/>
      <c r="F933" s="37"/>
      <c r="G933" s="37"/>
    </row>
    <row r="934" ht="15.75" customHeight="1" spans="4:7">
      <c r="D934" s="37"/>
      <c r="E934" s="37"/>
      <c r="F934" s="37"/>
      <c r="G934" s="37"/>
    </row>
    <row r="935" ht="15.75" customHeight="1" spans="4:7">
      <c r="D935" s="37"/>
      <c r="E935" s="37"/>
      <c r="F935" s="37"/>
      <c r="G935" s="37"/>
    </row>
    <row r="936" ht="15.75" customHeight="1" spans="4:7">
      <c r="D936" s="37"/>
      <c r="E936" s="37"/>
      <c r="F936" s="37"/>
      <c r="G936" s="37"/>
    </row>
    <row r="937" ht="15.75" customHeight="1" spans="4:7">
      <c r="D937" s="37"/>
      <c r="E937" s="37"/>
      <c r="F937" s="37"/>
      <c r="G937" s="37"/>
    </row>
    <row r="938" ht="15.75" customHeight="1" spans="4:7">
      <c r="D938" s="37"/>
      <c r="E938" s="37"/>
      <c r="F938" s="37"/>
      <c r="G938" s="37"/>
    </row>
    <row r="939" ht="15.75" customHeight="1" spans="4:7">
      <c r="D939" s="37"/>
      <c r="E939" s="37"/>
      <c r="F939" s="37"/>
      <c r="G939" s="37"/>
    </row>
    <row r="940" ht="15.75" customHeight="1" spans="4:7">
      <c r="D940" s="37"/>
      <c r="E940" s="37"/>
      <c r="F940" s="37"/>
      <c r="G940" s="37"/>
    </row>
    <row r="941" ht="15.75" customHeight="1" spans="4:7">
      <c r="D941" s="37"/>
      <c r="E941" s="37"/>
      <c r="F941" s="37"/>
      <c r="G941" s="37"/>
    </row>
    <row r="942" ht="15.75" customHeight="1" spans="4:7">
      <c r="D942" s="37"/>
      <c r="E942" s="37"/>
      <c r="F942" s="37"/>
      <c r="G942" s="37"/>
    </row>
    <row r="943" ht="15.75" customHeight="1" spans="4:7">
      <c r="D943" s="37"/>
      <c r="E943" s="37"/>
      <c r="F943" s="37"/>
      <c r="G943" s="37"/>
    </row>
    <row r="944" ht="15.75" customHeight="1" spans="4:7">
      <c r="D944" s="37"/>
      <c r="E944" s="37"/>
      <c r="F944" s="37"/>
      <c r="G944" s="37"/>
    </row>
    <row r="945" ht="15.75" customHeight="1" spans="4:7">
      <c r="D945" s="37"/>
      <c r="E945" s="37"/>
      <c r="F945" s="37"/>
      <c r="G945" s="37"/>
    </row>
    <row r="946" ht="15.75" customHeight="1" spans="4:7">
      <c r="D946" s="37"/>
      <c r="E946" s="37"/>
      <c r="F946" s="37"/>
      <c r="G946" s="37"/>
    </row>
    <row r="947" ht="15.75" customHeight="1" spans="4:7">
      <c r="D947" s="37"/>
      <c r="E947" s="37"/>
      <c r="F947" s="37"/>
      <c r="G947" s="37"/>
    </row>
    <row r="948" ht="15.75" customHeight="1" spans="4:7">
      <c r="D948" s="37"/>
      <c r="E948" s="37"/>
      <c r="F948" s="37"/>
      <c r="G948" s="37"/>
    </row>
    <row r="949" ht="15.75" customHeight="1" spans="4:7">
      <c r="D949" s="37"/>
      <c r="E949" s="37"/>
      <c r="F949" s="37"/>
      <c r="G949" s="37"/>
    </row>
    <row r="950" ht="15.75" customHeight="1" spans="4:7">
      <c r="D950" s="37"/>
      <c r="E950" s="37"/>
      <c r="F950" s="37"/>
      <c r="G950" s="37"/>
    </row>
    <row r="951" ht="15.75" customHeight="1" spans="4:7">
      <c r="D951" s="37"/>
      <c r="E951" s="37"/>
      <c r="F951" s="37"/>
      <c r="G951" s="37"/>
    </row>
    <row r="952" ht="15.75" customHeight="1" spans="4:7">
      <c r="D952" s="37"/>
      <c r="E952" s="37"/>
      <c r="F952" s="37"/>
      <c r="G952" s="37"/>
    </row>
    <row r="953" ht="15.75" customHeight="1" spans="4:7">
      <c r="D953" s="37"/>
      <c r="E953" s="37"/>
      <c r="F953" s="37"/>
      <c r="G953" s="37"/>
    </row>
    <row r="954" ht="15.75" customHeight="1" spans="4:7">
      <c r="D954" s="37"/>
      <c r="E954" s="37"/>
      <c r="F954" s="37"/>
      <c r="G954" s="37"/>
    </row>
    <row r="955" ht="15.75" customHeight="1" spans="4:7">
      <c r="D955" s="37"/>
      <c r="E955" s="37"/>
      <c r="F955" s="37"/>
      <c r="G955" s="37"/>
    </row>
    <row r="956" ht="15.75" customHeight="1" spans="4:7">
      <c r="D956" s="37"/>
      <c r="E956" s="37"/>
      <c r="F956" s="37"/>
      <c r="G956" s="37"/>
    </row>
    <row r="957" ht="15.75" customHeight="1" spans="4:7">
      <c r="D957" s="37"/>
      <c r="E957" s="37"/>
      <c r="F957" s="37"/>
      <c r="G957" s="37"/>
    </row>
    <row r="958" ht="15.75" customHeight="1" spans="4:7">
      <c r="D958" s="37"/>
      <c r="E958" s="37"/>
      <c r="F958" s="37"/>
      <c r="G958" s="37"/>
    </row>
    <row r="959" ht="15.75" customHeight="1" spans="4:7">
      <c r="D959" s="37"/>
      <c r="E959" s="37"/>
      <c r="F959" s="37"/>
      <c r="G959" s="37"/>
    </row>
    <row r="960" ht="15.75" customHeight="1" spans="4:7">
      <c r="D960" s="37"/>
      <c r="E960" s="37"/>
      <c r="F960" s="37"/>
      <c r="G960" s="37"/>
    </row>
    <row r="961" ht="15.75" customHeight="1" spans="4:7">
      <c r="D961" s="37"/>
      <c r="E961" s="37"/>
      <c r="F961" s="37"/>
      <c r="G961" s="37"/>
    </row>
    <row r="962" ht="15.75" customHeight="1" spans="4:7">
      <c r="D962" s="37"/>
      <c r="E962" s="37"/>
      <c r="F962" s="37"/>
      <c r="G962" s="37"/>
    </row>
    <row r="963" ht="15.75" customHeight="1" spans="4:7">
      <c r="D963" s="37"/>
      <c r="E963" s="37"/>
      <c r="F963" s="37"/>
      <c r="G963" s="37"/>
    </row>
    <row r="964" ht="15.75" customHeight="1" spans="4:7">
      <c r="D964" s="37"/>
      <c r="E964" s="37"/>
      <c r="F964" s="37"/>
      <c r="G964" s="37"/>
    </row>
    <row r="965" ht="15.75" customHeight="1" spans="4:7">
      <c r="D965" s="37"/>
      <c r="E965" s="37"/>
      <c r="F965" s="37"/>
      <c r="G965" s="37"/>
    </row>
    <row r="966" ht="15.75" customHeight="1" spans="4:7">
      <c r="D966" s="37"/>
      <c r="E966" s="37"/>
      <c r="F966" s="37"/>
      <c r="G966" s="37"/>
    </row>
    <row r="967" ht="15.75" customHeight="1" spans="4:7">
      <c r="D967" s="37"/>
      <c r="E967" s="37"/>
      <c r="F967" s="37"/>
      <c r="G967" s="37"/>
    </row>
    <row r="968" ht="15.75" customHeight="1" spans="4:7">
      <c r="D968" s="37"/>
      <c r="E968" s="37"/>
      <c r="F968" s="37"/>
      <c r="G968" s="37"/>
    </row>
    <row r="969" ht="15.75" customHeight="1" spans="4:7">
      <c r="D969" s="37"/>
      <c r="E969" s="37"/>
      <c r="F969" s="37"/>
      <c r="G969" s="37"/>
    </row>
    <row r="970" ht="15.75" customHeight="1" spans="4:7">
      <c r="D970" s="37"/>
      <c r="E970" s="37"/>
      <c r="F970" s="37"/>
      <c r="G970" s="37"/>
    </row>
    <row r="971" ht="15.75" customHeight="1" spans="4:7">
      <c r="D971" s="37"/>
      <c r="E971" s="37"/>
      <c r="F971" s="37"/>
      <c r="G971" s="37"/>
    </row>
    <row r="972" ht="15.75" customHeight="1" spans="4:7">
      <c r="D972" s="37"/>
      <c r="E972" s="37"/>
      <c r="F972" s="37"/>
      <c r="G972" s="37"/>
    </row>
    <row r="973" ht="15.75" customHeight="1" spans="4:7">
      <c r="D973" s="37"/>
      <c r="E973" s="37"/>
      <c r="F973" s="37"/>
      <c r="G973" s="37"/>
    </row>
    <row r="974" ht="15.75" customHeight="1" spans="4:7">
      <c r="D974" s="37"/>
      <c r="E974" s="37"/>
      <c r="F974" s="37"/>
      <c r="G974" s="37"/>
    </row>
    <row r="975" ht="15.75" customHeight="1" spans="4:7">
      <c r="D975" s="37"/>
      <c r="E975" s="37"/>
      <c r="F975" s="37"/>
      <c r="G975" s="37"/>
    </row>
    <row r="976" ht="15.75" customHeight="1" spans="4:7">
      <c r="D976" s="37"/>
      <c r="E976" s="37"/>
      <c r="F976" s="37"/>
      <c r="G976" s="37"/>
    </row>
    <row r="977" ht="15.75" customHeight="1" spans="4:7">
      <c r="D977" s="37"/>
      <c r="E977" s="37"/>
      <c r="F977" s="37"/>
      <c r="G977" s="37"/>
    </row>
    <row r="978" ht="15.75" customHeight="1" spans="4:7">
      <c r="D978" s="37"/>
      <c r="E978" s="37"/>
      <c r="F978" s="37"/>
      <c r="G978" s="37"/>
    </row>
    <row r="979" ht="15.75" customHeight="1" spans="4:7">
      <c r="D979" s="37"/>
      <c r="E979" s="37"/>
      <c r="F979" s="37"/>
      <c r="G979" s="37"/>
    </row>
    <row r="980" ht="15.75" customHeight="1" spans="4:7">
      <c r="D980" s="37"/>
      <c r="E980" s="37"/>
      <c r="F980" s="37"/>
      <c r="G980" s="37"/>
    </row>
    <row r="981" ht="15.75" customHeight="1" spans="4:7">
      <c r="D981" s="37"/>
      <c r="E981" s="37"/>
      <c r="F981" s="37"/>
      <c r="G981" s="37"/>
    </row>
    <row r="982" ht="15.75" customHeight="1" spans="4:7">
      <c r="D982" s="37"/>
      <c r="E982" s="37"/>
      <c r="F982" s="37"/>
      <c r="G982" s="37"/>
    </row>
    <row r="983" ht="15.75" customHeight="1" spans="4:7">
      <c r="D983" s="37"/>
      <c r="E983" s="37"/>
      <c r="F983" s="37"/>
      <c r="G983" s="37"/>
    </row>
    <row r="984" ht="15.75" customHeight="1" spans="4:7">
      <c r="D984" s="37"/>
      <c r="E984" s="37"/>
      <c r="F984" s="37"/>
      <c r="G984" s="37"/>
    </row>
    <row r="985" ht="15.75" customHeight="1" spans="4:7">
      <c r="D985" s="37"/>
      <c r="E985" s="37"/>
      <c r="F985" s="37"/>
      <c r="G985" s="37"/>
    </row>
    <row r="986" ht="15.75" customHeight="1" spans="4:7">
      <c r="D986" s="37"/>
      <c r="E986" s="37"/>
      <c r="F986" s="37"/>
      <c r="G986" s="37"/>
    </row>
    <row r="987" ht="15.75" customHeight="1" spans="4:7">
      <c r="D987" s="37"/>
      <c r="E987" s="37"/>
      <c r="F987" s="37"/>
      <c r="G987" s="37"/>
    </row>
    <row r="988" ht="15.75" customHeight="1" spans="4:7">
      <c r="D988" s="37"/>
      <c r="E988" s="37"/>
      <c r="F988" s="37"/>
      <c r="G988" s="37"/>
    </row>
    <row r="989" ht="15.75" customHeight="1" spans="4:7">
      <c r="D989" s="37"/>
      <c r="E989" s="37"/>
      <c r="F989" s="37"/>
      <c r="G989" s="37"/>
    </row>
    <row r="990" ht="15.75" customHeight="1" spans="4:7">
      <c r="D990" s="37"/>
      <c r="E990" s="37"/>
      <c r="F990" s="37"/>
      <c r="G990" s="37"/>
    </row>
    <row r="991" ht="15.75" customHeight="1" spans="4:7">
      <c r="D991" s="37"/>
      <c r="E991" s="37"/>
      <c r="F991" s="37"/>
      <c r="G991" s="37"/>
    </row>
    <row r="992" ht="15.75" customHeight="1" spans="4:7">
      <c r="D992" s="37"/>
      <c r="E992" s="37"/>
      <c r="F992" s="37"/>
      <c r="G992" s="37"/>
    </row>
    <row r="993" ht="15.75" customHeight="1" spans="4:7">
      <c r="D993" s="37"/>
      <c r="E993" s="37"/>
      <c r="F993" s="37"/>
      <c r="G993" s="37"/>
    </row>
    <row r="994" ht="15.75" customHeight="1" spans="4:7">
      <c r="D994" s="37"/>
      <c r="E994" s="37"/>
      <c r="F994" s="37"/>
      <c r="G994" s="37"/>
    </row>
    <row r="995" ht="15.75" customHeight="1" spans="4:7">
      <c r="D995" s="37"/>
      <c r="E995" s="37"/>
      <c r="F995" s="37"/>
      <c r="G995" s="37"/>
    </row>
    <row r="996" ht="15.75" customHeight="1" spans="4:7">
      <c r="D996" s="37"/>
      <c r="E996" s="37"/>
      <c r="F996" s="37"/>
      <c r="G996" s="37"/>
    </row>
    <row r="997" ht="15.75" customHeight="1" spans="4:7">
      <c r="D997" s="37"/>
      <c r="E997" s="37"/>
      <c r="F997" s="37"/>
      <c r="G997" s="37"/>
    </row>
    <row r="998" ht="15.75" customHeight="1" spans="4:7">
      <c r="D998" s="37"/>
      <c r="E998" s="37"/>
      <c r="F998" s="37"/>
      <c r="G998" s="37"/>
    </row>
    <row r="999" ht="15.75" customHeight="1" spans="4:7">
      <c r="D999" s="37"/>
      <c r="E999" s="37"/>
      <c r="F999" s="37"/>
      <c r="G999" s="37"/>
    </row>
    <row r="1000" ht="15.75" customHeight="1" spans="4:7">
      <c r="D1000" s="37"/>
      <c r="E1000" s="37"/>
      <c r="F1000" s="37"/>
      <c r="G1000" s="37"/>
    </row>
  </sheetData>
  <pageMargins left="0.511811024" right="0.511811024" top="0.787401575" bottom="0.787401575" header="0" footer="0"/>
  <pageSetup paperSize="1" orientation="landscape"/>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4.4285714285714" defaultRowHeight="15" customHeight="1" outlineLevelCol="6"/>
  <cols>
    <col min="1" max="1" width="21" customWidth="1"/>
    <col min="2" max="2" width="32.8571428571429" customWidth="1"/>
    <col min="3" max="3" width="10.1428571428571" customWidth="1"/>
    <col min="4" max="4" width="42.8571428571429" customWidth="1"/>
    <col min="5" max="5" width="37.5714285714286" customWidth="1"/>
    <col min="6" max="6" width="35.5714285714286" customWidth="1"/>
    <col min="7" max="7" width="34.2857142857143" customWidth="1"/>
    <col min="8" max="26" width="8.71428571428571" customWidth="1"/>
  </cols>
  <sheetData>
    <row r="1" ht="30" spans="1:7">
      <c r="A1" s="60" t="s">
        <v>1051</v>
      </c>
      <c r="B1" s="13" t="s">
        <v>1052</v>
      </c>
      <c r="C1" s="13" t="s">
        <v>1053</v>
      </c>
      <c r="D1" s="117" t="s">
        <v>1054</v>
      </c>
      <c r="E1" s="117" t="s">
        <v>1055</v>
      </c>
      <c r="F1" s="117" t="s">
        <v>1056</v>
      </c>
      <c r="G1" s="117" t="s">
        <v>1057</v>
      </c>
    </row>
    <row r="2" ht="15.75" spans="1:7">
      <c r="A2" s="118" t="s">
        <v>1090</v>
      </c>
      <c r="B2" s="4" t="s">
        <v>1091</v>
      </c>
      <c r="C2" s="13">
        <v>2013</v>
      </c>
      <c r="D2" s="17">
        <v>0.22</v>
      </c>
      <c r="E2" s="18">
        <v>0.0313</v>
      </c>
      <c r="F2" s="18">
        <v>0.00264</v>
      </c>
      <c r="G2" s="18">
        <v>0.0003756</v>
      </c>
    </row>
    <row r="3" ht="15.75" spans="1:7">
      <c r="A3" s="118" t="s">
        <v>1090</v>
      </c>
      <c r="B3" s="4" t="s">
        <v>1091</v>
      </c>
      <c r="C3" s="13">
        <v>2014</v>
      </c>
      <c r="D3" s="17">
        <v>0.22</v>
      </c>
      <c r="E3" s="18">
        <v>0.0313</v>
      </c>
      <c r="F3" s="18">
        <v>0.00264</v>
      </c>
      <c r="G3" s="18">
        <v>0.0003756</v>
      </c>
    </row>
    <row r="4" ht="15.75" spans="1:7">
      <c r="A4" s="118" t="s">
        <v>1090</v>
      </c>
      <c r="B4" s="4" t="s">
        <v>1091</v>
      </c>
      <c r="C4" s="13">
        <v>2015</v>
      </c>
      <c r="D4" s="17">
        <v>0.22</v>
      </c>
      <c r="E4" s="18">
        <v>0.0313</v>
      </c>
      <c r="F4" s="18">
        <v>0.00264</v>
      </c>
      <c r="G4" s="18">
        <v>0.0003756</v>
      </c>
    </row>
    <row r="5" ht="15.75" spans="1:7">
      <c r="A5" s="118" t="s">
        <v>1090</v>
      </c>
      <c r="B5" s="4" t="s">
        <v>1091</v>
      </c>
      <c r="C5" s="13">
        <v>2016</v>
      </c>
      <c r="D5" s="17">
        <v>0.22</v>
      </c>
      <c r="E5" s="18">
        <v>0.0313</v>
      </c>
      <c r="F5" s="18">
        <v>0.00264</v>
      </c>
      <c r="G5" s="18">
        <v>0.0003756</v>
      </c>
    </row>
    <row r="6" ht="15.75" spans="1:7">
      <c r="A6" s="118" t="s">
        <v>1090</v>
      </c>
      <c r="B6" s="4" t="s">
        <v>1091</v>
      </c>
      <c r="C6" s="13">
        <v>2017</v>
      </c>
      <c r="D6" s="17">
        <v>0.22</v>
      </c>
      <c r="E6" s="18">
        <v>0.0313</v>
      </c>
      <c r="F6" s="18">
        <v>0.00264</v>
      </c>
      <c r="G6" s="18">
        <v>0.0003756</v>
      </c>
    </row>
    <row r="7" ht="15.75" spans="1:7">
      <c r="A7" s="118" t="s">
        <v>1090</v>
      </c>
      <c r="B7" s="4" t="s">
        <v>1091</v>
      </c>
      <c r="C7" s="13">
        <v>2018</v>
      </c>
      <c r="D7" s="17">
        <v>0.22</v>
      </c>
      <c r="E7" s="18">
        <v>0.0313</v>
      </c>
      <c r="F7" s="18">
        <v>0.00264</v>
      </c>
      <c r="G7" s="18">
        <v>0.0003756</v>
      </c>
    </row>
    <row r="8" ht="15.75" spans="1:7">
      <c r="A8" s="118" t="s">
        <v>1090</v>
      </c>
      <c r="B8" s="4" t="s">
        <v>1091</v>
      </c>
      <c r="C8" s="13">
        <v>2019</v>
      </c>
      <c r="D8" s="17">
        <v>0.22</v>
      </c>
      <c r="E8" s="18">
        <v>0.0313</v>
      </c>
      <c r="F8" s="18">
        <v>0.00264</v>
      </c>
      <c r="G8" s="18">
        <v>0.0003756</v>
      </c>
    </row>
    <row r="9" ht="15.75" spans="1:7">
      <c r="A9" s="118" t="s">
        <v>1090</v>
      </c>
      <c r="B9" s="4" t="s">
        <v>1091</v>
      </c>
      <c r="C9" s="13">
        <v>2020</v>
      </c>
      <c r="D9" s="17">
        <v>0.22</v>
      </c>
      <c r="E9" s="18">
        <v>0.0313</v>
      </c>
      <c r="F9" s="18">
        <v>0.00264</v>
      </c>
      <c r="G9" s="18">
        <v>0.0003756</v>
      </c>
    </row>
    <row r="10" ht="15.75" spans="1:7">
      <c r="A10" s="118" t="s">
        <v>1090</v>
      </c>
      <c r="B10" s="4" t="s">
        <v>1091</v>
      </c>
      <c r="C10" s="13">
        <v>2021</v>
      </c>
      <c r="D10" s="17">
        <v>0.22</v>
      </c>
      <c r="E10" s="18">
        <v>0.0313</v>
      </c>
      <c r="F10" s="18">
        <v>0.00264</v>
      </c>
      <c r="G10" s="18">
        <v>0.0003756</v>
      </c>
    </row>
    <row r="11" ht="15.75" spans="1:7">
      <c r="A11" s="118" t="s">
        <v>1090</v>
      </c>
      <c r="B11" s="4" t="s">
        <v>1091</v>
      </c>
      <c r="C11" s="13">
        <v>2022</v>
      </c>
      <c r="D11" s="17">
        <v>0.22</v>
      </c>
      <c r="E11" s="18">
        <v>0.0313</v>
      </c>
      <c r="F11" s="18">
        <v>0.00264</v>
      </c>
      <c r="G11" s="18">
        <v>0.0003756</v>
      </c>
    </row>
    <row r="12" ht="15.75" spans="1:7">
      <c r="A12" s="118" t="s">
        <v>1090</v>
      </c>
      <c r="B12" s="4" t="s">
        <v>1091</v>
      </c>
      <c r="C12" s="13">
        <v>2023</v>
      </c>
      <c r="D12" s="17">
        <v>0.22</v>
      </c>
      <c r="E12" s="18">
        <v>0.0313</v>
      </c>
      <c r="F12" s="18">
        <v>0.00264</v>
      </c>
      <c r="G12" s="18">
        <v>0.0003756</v>
      </c>
    </row>
    <row r="13" ht="15.75" spans="1:7">
      <c r="A13" s="118" t="s">
        <v>1090</v>
      </c>
      <c r="B13" s="4" t="s">
        <v>1091</v>
      </c>
      <c r="C13" s="13">
        <v>2024</v>
      </c>
      <c r="D13" s="14">
        <v>0.22</v>
      </c>
      <c r="E13" s="15">
        <v>0.0313</v>
      </c>
      <c r="F13" s="15">
        <v>0.00264</v>
      </c>
      <c r="G13" s="15">
        <v>0.0003756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1000"/>
  <sheetViews>
    <sheetView workbookViewId="0">
      <selection activeCell="A1" sqref="A1"/>
    </sheetView>
  </sheetViews>
  <sheetFormatPr defaultColWidth="14.4285714285714" defaultRowHeight="15" customHeight="1" outlineLevelCol="3"/>
  <cols>
    <col min="1" max="1" width="54" customWidth="1"/>
    <col min="2" max="2" width="13.5714285714286" customWidth="1"/>
    <col min="3" max="3" width="16.5714285714286" customWidth="1"/>
    <col min="4" max="4" width="24.5714285714286" customWidth="1"/>
    <col min="5" max="26" width="8.71428571428571" customWidth="1"/>
  </cols>
  <sheetData>
    <row r="1" spans="1:4">
      <c r="A1" s="109" t="s">
        <v>1092</v>
      </c>
      <c r="B1" s="109" t="s">
        <v>1093</v>
      </c>
      <c r="C1" s="110" t="s">
        <v>1094</v>
      </c>
      <c r="D1" s="111" t="s">
        <v>1095</v>
      </c>
    </row>
    <row r="2" ht="15.75" spans="1:4">
      <c r="A2" s="4" t="s">
        <v>1096</v>
      </c>
      <c r="B2" s="112" t="s">
        <v>1097</v>
      </c>
      <c r="C2" s="113">
        <v>2013</v>
      </c>
      <c r="D2" s="114">
        <v>11.2</v>
      </c>
    </row>
    <row r="3" ht="15.75" spans="1:4">
      <c r="A3" s="4" t="s">
        <v>1059</v>
      </c>
      <c r="B3" s="112" t="s">
        <v>1097</v>
      </c>
      <c r="C3" s="113">
        <v>2013</v>
      </c>
      <c r="D3" s="114"/>
    </row>
    <row r="4" ht="15.75" spans="1:4">
      <c r="A4" s="4" t="s">
        <v>1098</v>
      </c>
      <c r="B4" s="112" t="s">
        <v>1097</v>
      </c>
      <c r="C4" s="113">
        <v>2013</v>
      </c>
      <c r="D4" s="114">
        <v>12.4</v>
      </c>
    </row>
    <row r="5" ht="15.75" spans="1:4">
      <c r="A5" s="4" t="s">
        <v>1061</v>
      </c>
      <c r="B5" s="112" t="s">
        <v>1097</v>
      </c>
      <c r="C5" s="113">
        <v>2013</v>
      </c>
      <c r="D5" s="114">
        <v>8.6</v>
      </c>
    </row>
    <row r="6" ht="15.75" spans="1:4">
      <c r="A6" s="4" t="s">
        <v>1091</v>
      </c>
      <c r="B6" s="112" t="s">
        <v>1099</v>
      </c>
      <c r="C6" s="113">
        <v>2013</v>
      </c>
      <c r="D6" s="114">
        <v>12</v>
      </c>
    </row>
    <row r="7" ht="15.75" spans="1:4">
      <c r="A7" s="4" t="s">
        <v>1068</v>
      </c>
      <c r="B7" s="112" t="s">
        <v>1099</v>
      </c>
      <c r="C7" s="113">
        <v>2013</v>
      </c>
      <c r="D7" s="114">
        <v>12</v>
      </c>
    </row>
    <row r="8" ht="15.75" spans="1:4">
      <c r="A8" s="4" t="s">
        <v>1100</v>
      </c>
      <c r="B8" s="112" t="s">
        <v>1097</v>
      </c>
      <c r="C8" s="113">
        <v>2013</v>
      </c>
      <c r="D8" s="114">
        <v>40.9</v>
      </c>
    </row>
    <row r="9" ht="15.75" spans="1:4">
      <c r="A9" s="4" t="s">
        <v>1101</v>
      </c>
      <c r="B9" s="112" t="s">
        <v>1097</v>
      </c>
      <c r="C9" s="113">
        <v>2013</v>
      </c>
      <c r="D9" s="114">
        <v>42.5</v>
      </c>
    </row>
    <row r="10" ht="15.75" spans="1:4">
      <c r="A10" s="4" t="s">
        <v>1062</v>
      </c>
      <c r="B10" s="112" t="s">
        <v>1097</v>
      </c>
      <c r="C10" s="113">
        <v>2013</v>
      </c>
      <c r="D10" s="114">
        <v>29.4</v>
      </c>
    </row>
    <row r="11" ht="15.75" spans="1:4">
      <c r="A11" s="4" t="s">
        <v>1102</v>
      </c>
      <c r="B11" s="112" t="s">
        <v>1097</v>
      </c>
      <c r="C11" s="113">
        <v>2013</v>
      </c>
      <c r="D11" s="114">
        <v>9</v>
      </c>
    </row>
    <row r="12" ht="15.75" spans="1:4">
      <c r="A12" s="4" t="s">
        <v>1063</v>
      </c>
      <c r="B12" s="112" t="s">
        <v>1097</v>
      </c>
      <c r="C12" s="113">
        <v>2013</v>
      </c>
      <c r="D12" s="114"/>
    </row>
    <row r="13" ht="15.75" spans="1:4">
      <c r="A13" s="4" t="s">
        <v>1103</v>
      </c>
      <c r="B13" s="112" t="s">
        <v>1097</v>
      </c>
      <c r="C13" s="113">
        <v>2013</v>
      </c>
      <c r="D13" s="114">
        <v>9.1</v>
      </c>
    </row>
    <row r="14" ht="15.75" spans="1:4">
      <c r="A14" s="4" t="s">
        <v>1064</v>
      </c>
      <c r="B14" s="112" t="s">
        <v>1097</v>
      </c>
      <c r="C14" s="113">
        <v>2013</v>
      </c>
      <c r="D14" s="114">
        <v>6.3</v>
      </c>
    </row>
    <row r="15" ht="15.75" spans="1:4">
      <c r="A15" s="4" t="s">
        <v>1070</v>
      </c>
      <c r="B15" s="112" t="s">
        <v>1097</v>
      </c>
      <c r="C15" s="113">
        <v>2013</v>
      </c>
      <c r="D15" s="114">
        <v>10.4</v>
      </c>
    </row>
    <row r="16" ht="15.75" spans="1:4">
      <c r="A16" s="4" t="s">
        <v>1071</v>
      </c>
      <c r="B16" s="112" t="s">
        <v>1097</v>
      </c>
      <c r="C16" s="113">
        <v>2013</v>
      </c>
      <c r="D16" s="114">
        <v>3.4</v>
      </c>
    </row>
    <row r="17" ht="15.75" spans="1:4">
      <c r="A17" s="4" t="s">
        <v>1072</v>
      </c>
      <c r="B17" s="112" t="s">
        <v>1097</v>
      </c>
      <c r="C17" s="113">
        <v>2013</v>
      </c>
      <c r="D17" s="114">
        <v>3.38</v>
      </c>
    </row>
    <row r="18" ht="15.75" spans="1:4">
      <c r="A18" s="4" t="s">
        <v>1073</v>
      </c>
      <c r="B18" s="112" t="s">
        <v>1097</v>
      </c>
      <c r="C18" s="113">
        <v>2013</v>
      </c>
      <c r="D18" s="114">
        <v>2.1</v>
      </c>
    </row>
    <row r="19" ht="15.75" spans="1:4">
      <c r="A19" s="4" t="s">
        <v>1074</v>
      </c>
      <c r="B19" s="112" t="s">
        <v>1097</v>
      </c>
      <c r="C19" s="113">
        <v>2013</v>
      </c>
      <c r="D19" s="114">
        <v>5.1743956179729</v>
      </c>
    </row>
    <row r="20" ht="15.75" spans="1:4">
      <c r="A20" s="4" t="s">
        <v>1075</v>
      </c>
      <c r="B20" s="112" t="s">
        <v>1097</v>
      </c>
      <c r="C20" s="113">
        <v>2013</v>
      </c>
      <c r="D20" s="114">
        <v>4.22353138919237</v>
      </c>
    </row>
    <row r="21" ht="15.75" customHeight="1" spans="1:4">
      <c r="A21" s="4" t="s">
        <v>1076</v>
      </c>
      <c r="B21" s="112" t="s">
        <v>1097</v>
      </c>
      <c r="C21" s="113">
        <v>2013</v>
      </c>
      <c r="D21" s="114">
        <v>2.57199737968024</v>
      </c>
    </row>
    <row r="22" ht="15.75" customHeight="1" spans="1:4">
      <c r="A22" s="4" t="s">
        <v>1077</v>
      </c>
      <c r="B22" s="112" t="s">
        <v>1097</v>
      </c>
      <c r="C22" s="113">
        <v>2013</v>
      </c>
      <c r="D22" s="114">
        <v>3.04002080888491</v>
      </c>
    </row>
    <row r="23" ht="15.75" customHeight="1" spans="1:4">
      <c r="A23" s="4" t="s">
        <v>1078</v>
      </c>
      <c r="B23" s="112" t="s">
        <v>1097</v>
      </c>
      <c r="C23" s="113">
        <v>2013</v>
      </c>
      <c r="D23" s="114">
        <v>3.27860703008794</v>
      </c>
    </row>
    <row r="24" ht="15.75" customHeight="1" spans="1:4">
      <c r="A24" s="4" t="s">
        <v>1079</v>
      </c>
      <c r="B24" s="112" t="s">
        <v>1097</v>
      </c>
      <c r="C24" s="113">
        <v>2013</v>
      </c>
      <c r="D24" s="114">
        <v>2.75383300272886</v>
      </c>
    </row>
    <row r="25" ht="15.75" customHeight="1" spans="1:4">
      <c r="A25" s="4" t="s">
        <v>1080</v>
      </c>
      <c r="B25" s="112" t="s">
        <v>1097</v>
      </c>
      <c r="C25" s="113">
        <v>2013</v>
      </c>
      <c r="D25" s="114">
        <v>2.77408065709144</v>
      </c>
    </row>
    <row r="26" ht="15.75" customHeight="1" spans="1:4">
      <c r="A26" s="4" t="s">
        <v>1081</v>
      </c>
      <c r="B26" s="112" t="s">
        <v>1097</v>
      </c>
      <c r="C26" s="113">
        <v>2013</v>
      </c>
      <c r="D26" s="114">
        <v>2.87847094941349</v>
      </c>
    </row>
    <row r="27" ht="15.75" customHeight="1" spans="1:4">
      <c r="A27" s="4" t="s">
        <v>1082</v>
      </c>
      <c r="B27" s="112" t="s">
        <v>1097</v>
      </c>
      <c r="C27" s="113">
        <v>2013</v>
      </c>
      <c r="D27" s="114">
        <v>4.32993296917271</v>
      </c>
    </row>
    <row r="28" ht="15.75" customHeight="1" spans="1:4">
      <c r="A28" s="4" t="s">
        <v>1083</v>
      </c>
      <c r="B28" s="112" t="s">
        <v>1097</v>
      </c>
      <c r="C28" s="113">
        <v>2013</v>
      </c>
      <c r="D28" s="114">
        <v>3.54663373323924</v>
      </c>
    </row>
    <row r="29" ht="15.75" customHeight="1" spans="1:4">
      <c r="A29" s="4" t="s">
        <v>1084</v>
      </c>
      <c r="B29" s="112" t="s">
        <v>1097</v>
      </c>
      <c r="C29" s="113">
        <v>2013</v>
      </c>
      <c r="D29" s="114">
        <v>2.15979337138142</v>
      </c>
    </row>
    <row r="30" ht="15.75" customHeight="1" spans="1:4">
      <c r="A30" s="4" t="s">
        <v>1085</v>
      </c>
      <c r="B30" s="112" t="s">
        <v>1097</v>
      </c>
      <c r="C30" s="113">
        <v>2013</v>
      </c>
      <c r="D30" s="114">
        <v>2.55274038705745</v>
      </c>
    </row>
    <row r="31" ht="15.75" customHeight="1" spans="1:4">
      <c r="A31" s="4" t="s">
        <v>1086</v>
      </c>
      <c r="B31" s="112" t="s">
        <v>1097</v>
      </c>
      <c r="C31" s="113">
        <v>2013</v>
      </c>
      <c r="D31" s="114">
        <v>2.83335588480707</v>
      </c>
    </row>
    <row r="32" ht="15.75" customHeight="1" spans="1:4">
      <c r="A32" s="4" t="s">
        <v>1087</v>
      </c>
      <c r="B32" s="112" t="s">
        <v>1097</v>
      </c>
      <c r="C32" s="113">
        <v>2013</v>
      </c>
      <c r="D32" s="114">
        <v>2.3798289562162</v>
      </c>
    </row>
    <row r="33" ht="15.75" customHeight="1" spans="1:4">
      <c r="A33" s="4" t="s">
        <v>1088</v>
      </c>
      <c r="B33" s="112" t="s">
        <v>1097</v>
      </c>
      <c r="C33" s="113">
        <v>2013</v>
      </c>
      <c r="D33" s="114">
        <v>2.39731150481315</v>
      </c>
    </row>
    <row r="34" ht="15.75" customHeight="1" spans="1:4">
      <c r="A34" s="4" t="s">
        <v>1089</v>
      </c>
      <c r="B34" s="112" t="s">
        <v>1097</v>
      </c>
      <c r="C34" s="113">
        <v>2013</v>
      </c>
      <c r="D34" s="114">
        <v>2.45802519857573</v>
      </c>
    </row>
    <row r="35" ht="15.75" customHeight="1" spans="1:4">
      <c r="A35" s="4" t="s">
        <v>1104</v>
      </c>
      <c r="B35" s="112" t="s">
        <v>1097</v>
      </c>
      <c r="C35" s="113">
        <v>2013</v>
      </c>
      <c r="D35" s="114">
        <v>15.7749703256274</v>
      </c>
    </row>
    <row r="36" ht="15.75" customHeight="1" spans="1:4">
      <c r="A36" s="4" t="s">
        <v>1065</v>
      </c>
      <c r="B36" s="112" t="s">
        <v>1097</v>
      </c>
      <c r="C36" s="113">
        <v>2013</v>
      </c>
      <c r="D36" s="114">
        <v>11.3642212301435</v>
      </c>
    </row>
    <row r="37" ht="15.75" customHeight="1" spans="1:4">
      <c r="A37" s="4" t="s">
        <v>1105</v>
      </c>
      <c r="B37" s="112" t="s">
        <v>1097</v>
      </c>
      <c r="C37" s="113">
        <v>2013</v>
      </c>
      <c r="D37" s="114">
        <v>20.4266545747752</v>
      </c>
    </row>
    <row r="38" ht="15.75" customHeight="1" spans="1:4">
      <c r="A38" s="4" t="s">
        <v>1066</v>
      </c>
      <c r="B38" s="112" t="s">
        <v>1097</v>
      </c>
      <c r="C38" s="113">
        <v>2013</v>
      </c>
      <c r="D38" s="114">
        <v>14.715274690714</v>
      </c>
    </row>
    <row r="39" ht="15.75" customHeight="1" spans="1:4">
      <c r="A39" s="4" t="s">
        <v>1106</v>
      </c>
      <c r="B39" s="6" t="s">
        <v>1107</v>
      </c>
      <c r="C39" s="113">
        <v>2013</v>
      </c>
      <c r="D39" s="114">
        <v>15.2021891152326</v>
      </c>
    </row>
    <row r="40" ht="15.75" customHeight="1" spans="1:4">
      <c r="A40" s="4" t="s">
        <v>1108</v>
      </c>
      <c r="B40" s="6" t="s">
        <v>1107</v>
      </c>
      <c r="C40" s="113">
        <v>2013</v>
      </c>
      <c r="D40" s="114">
        <v>4.75556400989157</v>
      </c>
    </row>
    <row r="41" ht="15.75" customHeight="1" spans="1:4">
      <c r="A41" s="4" t="s">
        <v>1109</v>
      </c>
      <c r="B41" s="6" t="s">
        <v>1107</v>
      </c>
      <c r="C41" s="113">
        <v>2013</v>
      </c>
      <c r="D41" s="114">
        <v>5.291285253188</v>
      </c>
    </row>
    <row r="42" ht="15.75" customHeight="1" spans="1:4">
      <c r="A42" s="4" t="s">
        <v>1110</v>
      </c>
      <c r="B42" s="6" t="s">
        <v>1107</v>
      </c>
      <c r="C42" s="113">
        <v>2013</v>
      </c>
      <c r="D42" s="114">
        <v>3.4299434059338</v>
      </c>
    </row>
    <row r="43" ht="15.75" customHeight="1" spans="1:4">
      <c r="A43" s="4" t="s">
        <v>1111</v>
      </c>
      <c r="B43" s="6" t="s">
        <v>1107</v>
      </c>
      <c r="C43" s="113">
        <v>2013</v>
      </c>
      <c r="D43" s="114">
        <v>2.51939937518895</v>
      </c>
    </row>
    <row r="44" ht="15.75" customHeight="1" spans="1:4">
      <c r="A44" s="4" t="s">
        <v>1112</v>
      </c>
      <c r="B44" s="6" t="s">
        <v>1107</v>
      </c>
      <c r="C44" s="113">
        <v>2013</v>
      </c>
      <c r="D44" s="114">
        <v>2.83446712018141</v>
      </c>
    </row>
    <row r="45" ht="15.75" customHeight="1" spans="1:4">
      <c r="A45" s="4" t="s">
        <v>1113</v>
      </c>
      <c r="B45" s="6" t="s">
        <v>1107</v>
      </c>
      <c r="C45" s="113">
        <v>2013</v>
      </c>
      <c r="D45" s="114">
        <v>12.6103404791929</v>
      </c>
    </row>
    <row r="46" ht="15.75" customHeight="1" spans="1:4">
      <c r="A46" s="4" t="s">
        <v>1096</v>
      </c>
      <c r="B46" s="112" t="s">
        <v>1097</v>
      </c>
      <c r="C46" s="113">
        <v>2014</v>
      </c>
      <c r="D46" s="114">
        <v>11.5</v>
      </c>
    </row>
    <row r="47" ht="15.75" customHeight="1" spans="1:4">
      <c r="A47" s="4" t="s">
        <v>1059</v>
      </c>
      <c r="B47" s="112" t="s">
        <v>1097</v>
      </c>
      <c r="C47" s="113">
        <v>2014</v>
      </c>
      <c r="D47" s="114"/>
    </row>
    <row r="48" ht="15.75" customHeight="1" spans="1:4">
      <c r="A48" s="4" t="s">
        <v>1098</v>
      </c>
      <c r="B48" s="112" t="s">
        <v>1097</v>
      </c>
      <c r="C48" s="113">
        <v>2014</v>
      </c>
      <c r="D48" s="114">
        <v>12.7</v>
      </c>
    </row>
    <row r="49" ht="15.75" customHeight="1" spans="1:4">
      <c r="A49" s="4" t="s">
        <v>1061</v>
      </c>
      <c r="B49" s="112" t="s">
        <v>1097</v>
      </c>
      <c r="C49" s="113">
        <v>2014</v>
      </c>
      <c r="D49" s="114">
        <v>8.8</v>
      </c>
    </row>
    <row r="50" ht="15.75" customHeight="1" spans="1:4">
      <c r="A50" s="4" t="s">
        <v>1091</v>
      </c>
      <c r="B50" s="112" t="s">
        <v>1099</v>
      </c>
      <c r="C50" s="113">
        <v>2014</v>
      </c>
      <c r="D50" s="114">
        <v>12</v>
      </c>
    </row>
    <row r="51" ht="15.75" customHeight="1" spans="1:4">
      <c r="A51" s="4" t="s">
        <v>1068</v>
      </c>
      <c r="B51" s="112" t="s">
        <v>1099</v>
      </c>
      <c r="C51" s="113">
        <v>2014</v>
      </c>
      <c r="D51" s="114">
        <v>12</v>
      </c>
    </row>
    <row r="52" ht="15.75" customHeight="1" spans="1:4">
      <c r="A52" s="4" t="s">
        <v>1100</v>
      </c>
      <c r="B52" s="112" t="s">
        <v>1097</v>
      </c>
      <c r="C52" s="113">
        <v>2014</v>
      </c>
      <c r="D52" s="114">
        <v>40.9</v>
      </c>
    </row>
    <row r="53" ht="15.75" customHeight="1" spans="1:4">
      <c r="A53" s="4" t="s">
        <v>1101</v>
      </c>
      <c r="B53" s="112" t="s">
        <v>1097</v>
      </c>
      <c r="C53" s="113">
        <v>2014</v>
      </c>
      <c r="D53" s="114">
        <v>42.5</v>
      </c>
    </row>
    <row r="54" ht="15.75" customHeight="1" spans="1:4">
      <c r="A54" s="4" t="s">
        <v>1062</v>
      </c>
      <c r="B54" s="112" t="s">
        <v>1097</v>
      </c>
      <c r="C54" s="113">
        <v>2014</v>
      </c>
      <c r="D54" s="114">
        <v>29.4</v>
      </c>
    </row>
    <row r="55" ht="15.75" customHeight="1" spans="1:4">
      <c r="A55" s="4" t="s">
        <v>1102</v>
      </c>
      <c r="B55" s="112" t="s">
        <v>1097</v>
      </c>
      <c r="C55" s="113">
        <v>2014</v>
      </c>
      <c r="D55" s="114">
        <v>9.9</v>
      </c>
    </row>
    <row r="56" ht="15.75" customHeight="1" spans="1:4">
      <c r="A56" s="4" t="s">
        <v>1063</v>
      </c>
      <c r="B56" s="112" t="s">
        <v>1097</v>
      </c>
      <c r="C56" s="113">
        <v>2014</v>
      </c>
      <c r="D56" s="114"/>
    </row>
    <row r="57" ht="15.75" customHeight="1" spans="1:4">
      <c r="A57" s="4" t="s">
        <v>1103</v>
      </c>
      <c r="B57" s="112" t="s">
        <v>1097</v>
      </c>
      <c r="C57" s="113">
        <v>2014</v>
      </c>
      <c r="D57" s="114">
        <v>9.2</v>
      </c>
    </row>
    <row r="58" ht="15.75" customHeight="1" spans="1:4">
      <c r="A58" s="4" t="s">
        <v>1064</v>
      </c>
      <c r="B58" s="112" t="s">
        <v>1097</v>
      </c>
      <c r="C58" s="113">
        <v>2014</v>
      </c>
      <c r="D58" s="114">
        <v>6.3</v>
      </c>
    </row>
    <row r="59" ht="15.75" customHeight="1" spans="1:4">
      <c r="A59" s="4" t="s">
        <v>1070</v>
      </c>
      <c r="B59" s="112" t="s">
        <v>1097</v>
      </c>
      <c r="C59" s="113">
        <v>2014</v>
      </c>
      <c r="D59" s="114">
        <v>10.4</v>
      </c>
    </row>
    <row r="60" ht="15.75" customHeight="1" spans="1:4">
      <c r="A60" s="4" t="s">
        <v>1071</v>
      </c>
      <c r="B60" s="112" t="s">
        <v>1097</v>
      </c>
      <c r="C60" s="113">
        <v>2014</v>
      </c>
      <c r="D60" s="114">
        <v>3.4</v>
      </c>
    </row>
    <row r="61" ht="15.75" customHeight="1" spans="1:4">
      <c r="A61" s="4" t="s">
        <v>1072</v>
      </c>
      <c r="B61" s="112" t="s">
        <v>1097</v>
      </c>
      <c r="C61" s="113">
        <v>2014</v>
      </c>
      <c r="D61" s="114">
        <v>3.38</v>
      </c>
    </row>
    <row r="62" ht="15.75" customHeight="1" spans="1:4">
      <c r="A62" s="4" t="s">
        <v>1073</v>
      </c>
      <c r="B62" s="112" t="s">
        <v>1097</v>
      </c>
      <c r="C62" s="113">
        <v>2014</v>
      </c>
      <c r="D62" s="114">
        <v>2.1</v>
      </c>
    </row>
    <row r="63" ht="15.75" customHeight="1" spans="1:4">
      <c r="A63" s="4" t="s">
        <v>1074</v>
      </c>
      <c r="B63" s="112" t="s">
        <v>1097</v>
      </c>
      <c r="C63" s="113">
        <v>2014</v>
      </c>
      <c r="D63" s="114">
        <v>5.1743956179729</v>
      </c>
    </row>
    <row r="64" ht="15.75" customHeight="1" spans="1:4">
      <c r="A64" s="4" t="s">
        <v>1075</v>
      </c>
      <c r="B64" s="112" t="s">
        <v>1097</v>
      </c>
      <c r="C64" s="113">
        <v>2014</v>
      </c>
      <c r="D64" s="114">
        <v>4.22353138919237</v>
      </c>
    </row>
    <row r="65" ht="15.75" customHeight="1" spans="1:4">
      <c r="A65" s="4" t="s">
        <v>1076</v>
      </c>
      <c r="B65" s="112" t="s">
        <v>1097</v>
      </c>
      <c r="C65" s="113">
        <v>2014</v>
      </c>
      <c r="D65" s="114">
        <v>2.57199737968024</v>
      </c>
    </row>
    <row r="66" ht="15.75" customHeight="1" spans="1:4">
      <c r="A66" s="4" t="s">
        <v>1077</v>
      </c>
      <c r="B66" s="112" t="s">
        <v>1097</v>
      </c>
      <c r="C66" s="113">
        <v>2014</v>
      </c>
      <c r="D66" s="114">
        <v>3.04002080888491</v>
      </c>
    </row>
    <row r="67" ht="15.75" customHeight="1" spans="1:4">
      <c r="A67" s="4" t="s">
        <v>1078</v>
      </c>
      <c r="B67" s="112" t="s">
        <v>1097</v>
      </c>
      <c r="C67" s="113">
        <v>2014</v>
      </c>
      <c r="D67" s="114">
        <v>3.27860703008794</v>
      </c>
    </row>
    <row r="68" ht="15.75" customHeight="1" spans="1:4">
      <c r="A68" s="4" t="s">
        <v>1079</v>
      </c>
      <c r="B68" s="112" t="s">
        <v>1097</v>
      </c>
      <c r="C68" s="113">
        <v>2014</v>
      </c>
      <c r="D68" s="114">
        <v>2.75383300272886</v>
      </c>
    </row>
    <row r="69" ht="15.75" customHeight="1" spans="1:4">
      <c r="A69" s="4" t="s">
        <v>1080</v>
      </c>
      <c r="B69" s="112" t="s">
        <v>1097</v>
      </c>
      <c r="C69" s="113">
        <v>2014</v>
      </c>
      <c r="D69" s="114">
        <v>2.77408065709144</v>
      </c>
    </row>
    <row r="70" ht="15.75" customHeight="1" spans="1:4">
      <c r="A70" s="4" t="s">
        <v>1081</v>
      </c>
      <c r="B70" s="112" t="s">
        <v>1097</v>
      </c>
      <c r="C70" s="113">
        <v>2014</v>
      </c>
      <c r="D70" s="114">
        <v>2.87847094941349</v>
      </c>
    </row>
    <row r="71" ht="15.75" customHeight="1" spans="1:4">
      <c r="A71" s="4" t="s">
        <v>1082</v>
      </c>
      <c r="B71" s="112" t="s">
        <v>1097</v>
      </c>
      <c r="C71" s="113">
        <v>2014</v>
      </c>
      <c r="D71" s="114">
        <v>4.32993296917271</v>
      </c>
    </row>
    <row r="72" ht="15.75" customHeight="1" spans="1:4">
      <c r="A72" s="4" t="s">
        <v>1083</v>
      </c>
      <c r="B72" s="112" t="s">
        <v>1097</v>
      </c>
      <c r="C72" s="113">
        <v>2014</v>
      </c>
      <c r="D72" s="114">
        <v>3.54663373323924</v>
      </c>
    </row>
    <row r="73" ht="15.75" customHeight="1" spans="1:4">
      <c r="A73" s="4" t="s">
        <v>1084</v>
      </c>
      <c r="B73" s="112" t="s">
        <v>1097</v>
      </c>
      <c r="C73" s="113">
        <v>2014</v>
      </c>
      <c r="D73" s="114">
        <v>2.15979337138142</v>
      </c>
    </row>
    <row r="74" ht="15.75" customHeight="1" spans="1:4">
      <c r="A74" s="4" t="s">
        <v>1085</v>
      </c>
      <c r="B74" s="112" t="s">
        <v>1097</v>
      </c>
      <c r="C74" s="113">
        <v>2014</v>
      </c>
      <c r="D74" s="114">
        <v>2.55274038705745</v>
      </c>
    </row>
    <row r="75" ht="15.75" customHeight="1" spans="1:4">
      <c r="A75" s="4" t="s">
        <v>1086</v>
      </c>
      <c r="B75" s="112" t="s">
        <v>1097</v>
      </c>
      <c r="C75" s="113">
        <v>2014</v>
      </c>
      <c r="D75" s="114">
        <v>2.83335588480707</v>
      </c>
    </row>
    <row r="76" ht="15.75" customHeight="1" spans="1:4">
      <c r="A76" s="4" t="s">
        <v>1087</v>
      </c>
      <c r="B76" s="112" t="s">
        <v>1097</v>
      </c>
      <c r="C76" s="113">
        <v>2014</v>
      </c>
      <c r="D76" s="114">
        <v>2.3798289562162</v>
      </c>
    </row>
    <row r="77" ht="15.75" customHeight="1" spans="1:4">
      <c r="A77" s="4" t="s">
        <v>1088</v>
      </c>
      <c r="B77" s="112" t="s">
        <v>1097</v>
      </c>
      <c r="C77" s="113">
        <v>2014</v>
      </c>
      <c r="D77" s="114">
        <v>2.39731150481315</v>
      </c>
    </row>
    <row r="78" ht="15.75" customHeight="1" spans="1:4">
      <c r="A78" s="4" t="s">
        <v>1089</v>
      </c>
      <c r="B78" s="112" t="s">
        <v>1097</v>
      </c>
      <c r="C78" s="113">
        <v>2014</v>
      </c>
      <c r="D78" s="114">
        <v>2.45802519857573</v>
      </c>
    </row>
    <row r="79" ht="15.75" customHeight="1" spans="1:4">
      <c r="A79" s="4" t="s">
        <v>1104</v>
      </c>
      <c r="B79" s="112" t="s">
        <v>1097</v>
      </c>
      <c r="C79" s="113">
        <v>2014</v>
      </c>
      <c r="D79" s="114">
        <v>15.7749703256274</v>
      </c>
    </row>
    <row r="80" ht="15.75" customHeight="1" spans="1:4">
      <c r="A80" s="4" t="s">
        <v>1065</v>
      </c>
      <c r="B80" s="112" t="s">
        <v>1097</v>
      </c>
      <c r="C80" s="113">
        <v>2014</v>
      </c>
      <c r="D80" s="114">
        <v>11.3642212301435</v>
      </c>
    </row>
    <row r="81" ht="15.75" customHeight="1" spans="1:4">
      <c r="A81" s="4" t="s">
        <v>1105</v>
      </c>
      <c r="B81" s="112" t="s">
        <v>1097</v>
      </c>
      <c r="C81" s="113">
        <v>2014</v>
      </c>
      <c r="D81" s="114">
        <v>20.4266545747752</v>
      </c>
    </row>
    <row r="82" ht="15.75" customHeight="1" spans="1:4">
      <c r="A82" s="4" t="s">
        <v>1066</v>
      </c>
      <c r="B82" s="112" t="s">
        <v>1097</v>
      </c>
      <c r="C82" s="113">
        <v>2014</v>
      </c>
      <c r="D82" s="114">
        <v>14.715274690714</v>
      </c>
    </row>
    <row r="83" ht="15.75" customHeight="1" spans="1:4">
      <c r="A83" s="4" t="s">
        <v>1106</v>
      </c>
      <c r="B83" s="6" t="s">
        <v>1107</v>
      </c>
      <c r="C83" s="113">
        <v>2014</v>
      </c>
      <c r="D83" s="114">
        <v>15.2021891152326</v>
      </c>
    </row>
    <row r="84" ht="15.75" customHeight="1" spans="1:4">
      <c r="A84" s="4" t="s">
        <v>1108</v>
      </c>
      <c r="B84" s="6" t="s">
        <v>1107</v>
      </c>
      <c r="C84" s="113">
        <v>2014</v>
      </c>
      <c r="D84" s="114">
        <v>4.75556400989157</v>
      </c>
    </row>
    <row r="85" ht="15.75" customHeight="1" spans="1:4">
      <c r="A85" s="4" t="s">
        <v>1109</v>
      </c>
      <c r="B85" s="6" t="s">
        <v>1107</v>
      </c>
      <c r="C85" s="113">
        <v>2014</v>
      </c>
      <c r="D85" s="114">
        <v>5.291285253188</v>
      </c>
    </row>
    <row r="86" ht="15.75" customHeight="1" spans="1:4">
      <c r="A86" s="4" t="s">
        <v>1110</v>
      </c>
      <c r="B86" s="6" t="s">
        <v>1107</v>
      </c>
      <c r="C86" s="113">
        <v>2014</v>
      </c>
      <c r="D86" s="114">
        <v>3.4299434059338</v>
      </c>
    </row>
    <row r="87" ht="15.75" customHeight="1" spans="1:4">
      <c r="A87" s="4" t="s">
        <v>1111</v>
      </c>
      <c r="B87" s="6" t="s">
        <v>1107</v>
      </c>
      <c r="C87" s="113">
        <v>2014</v>
      </c>
      <c r="D87" s="114">
        <v>2.51939937518895</v>
      </c>
    </row>
    <row r="88" ht="15.75" customHeight="1" spans="1:4">
      <c r="A88" s="4" t="s">
        <v>1112</v>
      </c>
      <c r="B88" s="6" t="s">
        <v>1107</v>
      </c>
      <c r="C88" s="113">
        <v>2014</v>
      </c>
      <c r="D88" s="114">
        <v>2.83446712018141</v>
      </c>
    </row>
    <row r="89" ht="15.75" customHeight="1" spans="1:4">
      <c r="A89" s="4" t="s">
        <v>1113</v>
      </c>
      <c r="B89" s="6" t="s">
        <v>1107</v>
      </c>
      <c r="C89" s="113">
        <v>2014</v>
      </c>
      <c r="D89" s="114">
        <v>12.6103404791929</v>
      </c>
    </row>
    <row r="90" ht="15.75" customHeight="1" spans="1:4">
      <c r="A90" s="4" t="s">
        <v>1096</v>
      </c>
      <c r="B90" s="112" t="s">
        <v>1097</v>
      </c>
      <c r="C90" s="113">
        <v>2015</v>
      </c>
      <c r="D90" s="114">
        <v>12</v>
      </c>
    </row>
    <row r="91" ht="15.75" customHeight="1" spans="1:4">
      <c r="A91" s="4" t="s">
        <v>1059</v>
      </c>
      <c r="B91" s="112" t="s">
        <v>1097</v>
      </c>
      <c r="C91" s="113">
        <v>2015</v>
      </c>
      <c r="D91" s="114"/>
    </row>
    <row r="92" ht="15.75" customHeight="1" spans="1:4">
      <c r="A92" s="4" t="s">
        <v>1098</v>
      </c>
      <c r="B92" s="112" t="s">
        <v>1097</v>
      </c>
      <c r="C92" s="113">
        <v>2015</v>
      </c>
      <c r="D92" s="114">
        <v>13.2</v>
      </c>
    </row>
    <row r="93" ht="15.75" customHeight="1" spans="1:4">
      <c r="A93" s="4" t="s">
        <v>1061</v>
      </c>
      <c r="B93" s="112" t="s">
        <v>1097</v>
      </c>
      <c r="C93" s="113">
        <v>2015</v>
      </c>
      <c r="D93" s="114">
        <v>9.2</v>
      </c>
    </row>
    <row r="94" ht="15.75" customHeight="1" spans="1:4">
      <c r="A94" s="4" t="s">
        <v>1091</v>
      </c>
      <c r="B94" s="112" t="s">
        <v>1099</v>
      </c>
      <c r="C94" s="113">
        <v>2015</v>
      </c>
      <c r="D94" s="114">
        <v>12</v>
      </c>
    </row>
    <row r="95" ht="15.75" customHeight="1" spans="1:4">
      <c r="A95" s="4" t="s">
        <v>1068</v>
      </c>
      <c r="B95" s="112" t="s">
        <v>1099</v>
      </c>
      <c r="C95" s="113">
        <v>2015</v>
      </c>
      <c r="D95" s="114">
        <v>12</v>
      </c>
    </row>
    <row r="96" ht="15.75" customHeight="1" spans="1:4">
      <c r="A96" s="4" t="s">
        <v>1100</v>
      </c>
      <c r="B96" s="112" t="s">
        <v>1097</v>
      </c>
      <c r="C96" s="113">
        <v>2015</v>
      </c>
      <c r="D96" s="114">
        <v>44.2447045713087</v>
      </c>
    </row>
    <row r="97" ht="15.75" customHeight="1" spans="1:4">
      <c r="A97" s="4" t="s">
        <v>1101</v>
      </c>
      <c r="B97" s="112" t="s">
        <v>1097</v>
      </c>
      <c r="C97" s="113">
        <v>2015</v>
      </c>
      <c r="D97" s="114">
        <v>47.2</v>
      </c>
    </row>
    <row r="98" ht="15.75" customHeight="1" spans="1:4">
      <c r="A98" s="4" t="s">
        <v>1062</v>
      </c>
      <c r="B98" s="112" t="s">
        <v>1097</v>
      </c>
      <c r="C98" s="113">
        <v>2015</v>
      </c>
      <c r="D98" s="114">
        <v>32.5</v>
      </c>
    </row>
    <row r="99" ht="15.75" customHeight="1" spans="1:4">
      <c r="A99" s="4" t="s">
        <v>1102</v>
      </c>
      <c r="B99" s="112" t="s">
        <v>1097</v>
      </c>
      <c r="C99" s="113">
        <v>2015</v>
      </c>
      <c r="D99" s="114">
        <v>10.6</v>
      </c>
    </row>
    <row r="100" ht="15.75" customHeight="1" spans="1:4">
      <c r="A100" s="4" t="s">
        <v>1063</v>
      </c>
      <c r="B100" s="112" t="s">
        <v>1097</v>
      </c>
      <c r="C100" s="113">
        <v>2015</v>
      </c>
      <c r="D100" s="114"/>
    </row>
    <row r="101" ht="15.75" customHeight="1" spans="1:4">
      <c r="A101" s="4" t="s">
        <v>1103</v>
      </c>
      <c r="B101" s="112" t="s">
        <v>1097</v>
      </c>
      <c r="C101" s="113">
        <v>2015</v>
      </c>
      <c r="D101" s="114">
        <v>10</v>
      </c>
    </row>
    <row r="102" ht="15.75" customHeight="1" spans="1:4">
      <c r="A102" s="4" t="s">
        <v>1064</v>
      </c>
      <c r="B102" s="112" t="s">
        <v>1097</v>
      </c>
      <c r="C102" s="113">
        <v>2015</v>
      </c>
      <c r="D102" s="114">
        <v>6.8</v>
      </c>
    </row>
    <row r="103" ht="15.75" customHeight="1" spans="1:4">
      <c r="A103" s="4" t="s">
        <v>1070</v>
      </c>
      <c r="B103" s="112" t="s">
        <v>1097</v>
      </c>
      <c r="C103" s="113">
        <v>2015</v>
      </c>
      <c r="D103" s="114">
        <v>10.6</v>
      </c>
    </row>
    <row r="104" ht="15.75" customHeight="1" spans="1:4">
      <c r="A104" s="4" t="s">
        <v>1071</v>
      </c>
      <c r="B104" s="112" t="s">
        <v>1097</v>
      </c>
      <c r="C104" s="113">
        <v>2015</v>
      </c>
      <c r="D104" s="114">
        <v>3.3</v>
      </c>
    </row>
    <row r="105" ht="15.75" customHeight="1" spans="1:4">
      <c r="A105" s="4" t="s">
        <v>1072</v>
      </c>
      <c r="B105" s="112" t="s">
        <v>1097</v>
      </c>
      <c r="C105" s="113">
        <v>2015</v>
      </c>
      <c r="D105" s="114">
        <v>3.4</v>
      </c>
    </row>
    <row r="106" ht="15.75" customHeight="1" spans="1:4">
      <c r="A106" s="4" t="s">
        <v>1073</v>
      </c>
      <c r="B106" s="112" t="s">
        <v>1097</v>
      </c>
      <c r="C106" s="113">
        <v>2015</v>
      </c>
      <c r="D106" s="114">
        <v>2.1</v>
      </c>
    </row>
    <row r="107" ht="15.75" customHeight="1" spans="1:4">
      <c r="A107" s="4" t="s">
        <v>1074</v>
      </c>
      <c r="B107" s="112" t="s">
        <v>1097</v>
      </c>
      <c r="C107" s="113">
        <v>2015</v>
      </c>
      <c r="D107" s="114">
        <v>5.1743956179729</v>
      </c>
    </row>
    <row r="108" ht="15.75" customHeight="1" spans="1:4">
      <c r="A108" s="4" t="s">
        <v>1075</v>
      </c>
      <c r="B108" s="112" t="s">
        <v>1097</v>
      </c>
      <c r="C108" s="113">
        <v>2015</v>
      </c>
      <c r="D108" s="114">
        <v>4.22353138919237</v>
      </c>
    </row>
    <row r="109" ht="15.75" customHeight="1" spans="1:4">
      <c r="A109" s="4" t="s">
        <v>1076</v>
      </c>
      <c r="B109" s="112" t="s">
        <v>1097</v>
      </c>
      <c r="C109" s="113">
        <v>2015</v>
      </c>
      <c r="D109" s="114">
        <v>2.57199737968024</v>
      </c>
    </row>
    <row r="110" ht="15.75" customHeight="1" spans="1:4">
      <c r="A110" s="4" t="s">
        <v>1077</v>
      </c>
      <c r="B110" s="112" t="s">
        <v>1097</v>
      </c>
      <c r="C110" s="113">
        <v>2015</v>
      </c>
      <c r="D110" s="114">
        <v>3.04002080888491</v>
      </c>
    </row>
    <row r="111" ht="15.75" customHeight="1" spans="1:4">
      <c r="A111" s="4" t="s">
        <v>1078</v>
      </c>
      <c r="B111" s="112" t="s">
        <v>1097</v>
      </c>
      <c r="C111" s="113">
        <v>2015</v>
      </c>
      <c r="D111" s="114">
        <v>3.27860703008794</v>
      </c>
    </row>
    <row r="112" ht="15.75" customHeight="1" spans="1:4">
      <c r="A112" s="4" t="s">
        <v>1079</v>
      </c>
      <c r="B112" s="112" t="s">
        <v>1097</v>
      </c>
      <c r="C112" s="113">
        <v>2015</v>
      </c>
      <c r="D112" s="114">
        <v>2.75383300272886</v>
      </c>
    </row>
    <row r="113" ht="15.75" customHeight="1" spans="1:4">
      <c r="A113" s="4" t="s">
        <v>1080</v>
      </c>
      <c r="B113" s="112" t="s">
        <v>1097</v>
      </c>
      <c r="C113" s="113">
        <v>2015</v>
      </c>
      <c r="D113" s="114">
        <v>2.77408065709144</v>
      </c>
    </row>
    <row r="114" ht="15.75" customHeight="1" spans="1:4">
      <c r="A114" s="4" t="s">
        <v>1081</v>
      </c>
      <c r="B114" s="112" t="s">
        <v>1097</v>
      </c>
      <c r="C114" s="113">
        <v>2015</v>
      </c>
      <c r="D114" s="114">
        <v>2.87847094941349</v>
      </c>
    </row>
    <row r="115" ht="15.75" customHeight="1" spans="1:4">
      <c r="A115" s="4" t="s">
        <v>1082</v>
      </c>
      <c r="B115" s="112" t="s">
        <v>1097</v>
      </c>
      <c r="C115" s="113">
        <v>2015</v>
      </c>
      <c r="D115" s="114">
        <v>4.32993296917271</v>
      </c>
    </row>
    <row r="116" ht="15.75" customHeight="1" spans="1:4">
      <c r="A116" s="4" t="s">
        <v>1083</v>
      </c>
      <c r="B116" s="112" t="s">
        <v>1097</v>
      </c>
      <c r="C116" s="113">
        <v>2015</v>
      </c>
      <c r="D116" s="114">
        <v>3.54663373323924</v>
      </c>
    </row>
    <row r="117" ht="15.75" customHeight="1" spans="1:4">
      <c r="A117" s="4" t="s">
        <v>1084</v>
      </c>
      <c r="B117" s="112" t="s">
        <v>1097</v>
      </c>
      <c r="C117" s="113">
        <v>2015</v>
      </c>
      <c r="D117" s="114">
        <v>2.15979337138142</v>
      </c>
    </row>
    <row r="118" ht="15.75" customHeight="1" spans="1:4">
      <c r="A118" s="4" t="s">
        <v>1085</v>
      </c>
      <c r="B118" s="112" t="s">
        <v>1097</v>
      </c>
      <c r="C118" s="113">
        <v>2015</v>
      </c>
      <c r="D118" s="114">
        <v>2.55274038705745</v>
      </c>
    </row>
    <row r="119" ht="15.75" customHeight="1" spans="1:4">
      <c r="A119" s="4" t="s">
        <v>1086</v>
      </c>
      <c r="B119" s="112" t="s">
        <v>1097</v>
      </c>
      <c r="C119" s="113">
        <v>2015</v>
      </c>
      <c r="D119" s="114">
        <v>2.83335588480707</v>
      </c>
    </row>
    <row r="120" ht="15.75" customHeight="1" spans="1:4">
      <c r="A120" s="4" t="s">
        <v>1087</v>
      </c>
      <c r="B120" s="112" t="s">
        <v>1097</v>
      </c>
      <c r="C120" s="113">
        <v>2015</v>
      </c>
      <c r="D120" s="114">
        <v>2.3798289562162</v>
      </c>
    </row>
    <row r="121" ht="15.75" customHeight="1" spans="1:4">
      <c r="A121" s="4" t="s">
        <v>1088</v>
      </c>
      <c r="B121" s="112" t="s">
        <v>1097</v>
      </c>
      <c r="C121" s="113">
        <v>2015</v>
      </c>
      <c r="D121" s="114">
        <v>2.39731150481315</v>
      </c>
    </row>
    <row r="122" ht="15.75" customHeight="1" spans="1:4">
      <c r="A122" s="4" t="s">
        <v>1089</v>
      </c>
      <c r="B122" s="112" t="s">
        <v>1097</v>
      </c>
      <c r="C122" s="113">
        <v>2015</v>
      </c>
      <c r="D122" s="114">
        <v>2.45802519857573</v>
      </c>
    </row>
    <row r="123" ht="15.75" customHeight="1" spans="1:4">
      <c r="A123" s="4" t="s">
        <v>1104</v>
      </c>
      <c r="B123" s="112" t="s">
        <v>1097</v>
      </c>
      <c r="C123" s="113">
        <v>2015</v>
      </c>
      <c r="D123" s="114">
        <v>15.7749703256274</v>
      </c>
    </row>
    <row r="124" ht="15.75" customHeight="1" spans="1:4">
      <c r="A124" s="4" t="s">
        <v>1065</v>
      </c>
      <c r="B124" s="112" t="s">
        <v>1097</v>
      </c>
      <c r="C124" s="113">
        <v>2015</v>
      </c>
      <c r="D124" s="114">
        <v>11.3642212301435</v>
      </c>
    </row>
    <row r="125" ht="15.75" customHeight="1" spans="1:4">
      <c r="A125" s="4" t="s">
        <v>1105</v>
      </c>
      <c r="B125" s="112" t="s">
        <v>1097</v>
      </c>
      <c r="C125" s="113">
        <v>2015</v>
      </c>
      <c r="D125" s="114">
        <v>20.4266545747752</v>
      </c>
    </row>
    <row r="126" ht="15.75" customHeight="1" spans="1:4">
      <c r="A126" s="4" t="s">
        <v>1066</v>
      </c>
      <c r="B126" s="112" t="s">
        <v>1097</v>
      </c>
      <c r="C126" s="113">
        <v>2015</v>
      </c>
      <c r="D126" s="114">
        <v>14.715274690714</v>
      </c>
    </row>
    <row r="127" ht="15.75" customHeight="1" spans="1:4">
      <c r="A127" s="4" t="s">
        <v>1106</v>
      </c>
      <c r="B127" s="6" t="s">
        <v>1107</v>
      </c>
      <c r="C127" s="113">
        <v>2015</v>
      </c>
      <c r="D127" s="114">
        <v>15.2021891152326</v>
      </c>
    </row>
    <row r="128" ht="15.75" customHeight="1" spans="1:4">
      <c r="A128" s="4" t="s">
        <v>1108</v>
      </c>
      <c r="B128" s="6" t="s">
        <v>1107</v>
      </c>
      <c r="C128" s="113">
        <v>2015</v>
      </c>
      <c r="D128" s="114">
        <v>4.75556400989157</v>
      </c>
    </row>
    <row r="129" ht="15.75" customHeight="1" spans="1:4">
      <c r="A129" s="4" t="s">
        <v>1109</v>
      </c>
      <c r="B129" s="6" t="s">
        <v>1107</v>
      </c>
      <c r="C129" s="113">
        <v>2015</v>
      </c>
      <c r="D129" s="114">
        <v>5.291285253188</v>
      </c>
    </row>
    <row r="130" ht="15.75" customHeight="1" spans="1:4">
      <c r="A130" s="4" t="s">
        <v>1110</v>
      </c>
      <c r="B130" s="6" t="s">
        <v>1107</v>
      </c>
      <c r="C130" s="113">
        <v>2015</v>
      </c>
      <c r="D130" s="114">
        <v>3.4299434059338</v>
      </c>
    </row>
    <row r="131" ht="15.75" customHeight="1" spans="1:4">
      <c r="A131" s="4" t="s">
        <v>1111</v>
      </c>
      <c r="B131" s="6" t="s">
        <v>1107</v>
      </c>
      <c r="C131" s="113">
        <v>2015</v>
      </c>
      <c r="D131" s="114">
        <v>2.51939937518895</v>
      </c>
    </row>
    <row r="132" ht="15.75" customHeight="1" spans="1:4">
      <c r="A132" s="4" t="s">
        <v>1112</v>
      </c>
      <c r="B132" s="6" t="s">
        <v>1107</v>
      </c>
      <c r="C132" s="113">
        <v>2015</v>
      </c>
      <c r="D132" s="114">
        <v>2.83446712018141</v>
      </c>
    </row>
    <row r="133" ht="15.75" customHeight="1" spans="1:4">
      <c r="A133" s="4" t="s">
        <v>1113</v>
      </c>
      <c r="B133" s="6" t="s">
        <v>1107</v>
      </c>
      <c r="C133" s="113">
        <v>2015</v>
      </c>
      <c r="D133" s="114">
        <v>12.6103404791929</v>
      </c>
    </row>
    <row r="134" ht="15.75" customHeight="1" spans="1:4">
      <c r="A134" s="4" t="s">
        <v>1096</v>
      </c>
      <c r="B134" s="112" t="s">
        <v>1097</v>
      </c>
      <c r="C134" s="113">
        <v>2016</v>
      </c>
      <c r="D134" s="114">
        <v>12.5</v>
      </c>
    </row>
    <row r="135" ht="15.75" customHeight="1" spans="1:4">
      <c r="A135" s="4" t="s">
        <v>1059</v>
      </c>
      <c r="B135" s="112" t="s">
        <v>1097</v>
      </c>
      <c r="C135" s="113">
        <v>2016</v>
      </c>
      <c r="D135" s="114"/>
    </row>
    <row r="136" ht="15.75" customHeight="1" spans="1:4">
      <c r="A136" s="4" t="s">
        <v>1098</v>
      </c>
      <c r="B136" s="112" t="s">
        <v>1097</v>
      </c>
      <c r="C136" s="113">
        <v>2016</v>
      </c>
      <c r="D136" s="114">
        <v>13.8</v>
      </c>
    </row>
    <row r="137" ht="15.75" customHeight="1" spans="1:4">
      <c r="A137" s="4" t="s">
        <v>1061</v>
      </c>
      <c r="B137" s="112" t="s">
        <v>1097</v>
      </c>
      <c r="C137" s="113">
        <v>2016</v>
      </c>
      <c r="D137" s="114">
        <v>9.6</v>
      </c>
    </row>
    <row r="138" ht="15.75" customHeight="1" spans="1:4">
      <c r="A138" s="4" t="s">
        <v>1091</v>
      </c>
      <c r="B138" s="112" t="s">
        <v>1099</v>
      </c>
      <c r="C138" s="113">
        <v>2016</v>
      </c>
      <c r="D138" s="114">
        <v>12</v>
      </c>
    </row>
    <row r="139" ht="15.75" customHeight="1" spans="1:4">
      <c r="A139" s="4" t="s">
        <v>1068</v>
      </c>
      <c r="B139" s="112" t="s">
        <v>1099</v>
      </c>
      <c r="C139" s="113">
        <v>2016</v>
      </c>
      <c r="D139" s="114">
        <v>12</v>
      </c>
    </row>
    <row r="140" ht="15.75" customHeight="1" spans="1:4">
      <c r="A140" s="4" t="s">
        <v>1100</v>
      </c>
      <c r="B140" s="112" t="s">
        <v>1097</v>
      </c>
      <c r="C140" s="113">
        <v>2016</v>
      </c>
      <c r="D140" s="114">
        <v>45.2</v>
      </c>
    </row>
    <row r="141" ht="15.75" customHeight="1" spans="1:4">
      <c r="A141" s="4" t="s">
        <v>1101</v>
      </c>
      <c r="B141" s="112" t="s">
        <v>1097</v>
      </c>
      <c r="C141" s="113">
        <v>2016</v>
      </c>
      <c r="D141" s="114">
        <v>45.7</v>
      </c>
    </row>
    <row r="142" ht="15.75" customHeight="1" spans="1:4">
      <c r="A142" s="4" t="s">
        <v>1062</v>
      </c>
      <c r="B142" s="112" t="s">
        <v>1097</v>
      </c>
      <c r="C142" s="113">
        <v>2016</v>
      </c>
      <c r="D142" s="114">
        <v>31.2</v>
      </c>
    </row>
    <row r="143" ht="15.75" customHeight="1" spans="1:4">
      <c r="A143" s="4" t="s">
        <v>1102</v>
      </c>
      <c r="B143" s="112" t="s">
        <v>1097</v>
      </c>
      <c r="C143" s="113">
        <v>2016</v>
      </c>
      <c r="D143" s="114">
        <v>10.4</v>
      </c>
    </row>
    <row r="144" ht="15.75" customHeight="1" spans="1:4">
      <c r="A144" s="4" t="s">
        <v>1063</v>
      </c>
      <c r="B144" s="112" t="s">
        <v>1097</v>
      </c>
      <c r="C144" s="113">
        <v>2016</v>
      </c>
      <c r="D144" s="114"/>
    </row>
    <row r="145" ht="15.75" customHeight="1" spans="1:4">
      <c r="A145" s="4" t="s">
        <v>1103</v>
      </c>
      <c r="B145" s="112" t="s">
        <v>1097</v>
      </c>
      <c r="C145" s="113">
        <v>2016</v>
      </c>
      <c r="D145" s="114">
        <v>10.1</v>
      </c>
    </row>
    <row r="146" ht="15.75" customHeight="1" spans="1:4">
      <c r="A146" s="4" t="s">
        <v>1064</v>
      </c>
      <c r="B146" s="112" t="s">
        <v>1097</v>
      </c>
      <c r="C146" s="113">
        <v>2016</v>
      </c>
      <c r="D146" s="114">
        <v>6.7</v>
      </c>
    </row>
    <row r="147" ht="15.75" customHeight="1" spans="1:4">
      <c r="A147" s="4" t="s">
        <v>1070</v>
      </c>
      <c r="B147" s="112" t="s">
        <v>1097</v>
      </c>
      <c r="C147" s="113">
        <v>2016</v>
      </c>
      <c r="D147" s="114">
        <v>10.8</v>
      </c>
    </row>
    <row r="148" ht="15.75" customHeight="1" spans="1:4">
      <c r="A148" s="4" t="s">
        <v>1071</v>
      </c>
      <c r="B148" s="112" t="s">
        <v>1097</v>
      </c>
      <c r="C148" s="113">
        <v>2016</v>
      </c>
      <c r="D148" s="114">
        <v>3.3</v>
      </c>
    </row>
    <row r="149" ht="15.75" customHeight="1" spans="1:4">
      <c r="A149" s="4" t="s">
        <v>1072</v>
      </c>
      <c r="B149" s="112" t="s">
        <v>1097</v>
      </c>
      <c r="C149" s="113">
        <v>2016</v>
      </c>
      <c r="D149" s="114">
        <v>3.4</v>
      </c>
    </row>
    <row r="150" ht="15.75" customHeight="1" spans="1:4">
      <c r="A150" s="4" t="s">
        <v>1073</v>
      </c>
      <c r="B150" s="112" t="s">
        <v>1097</v>
      </c>
      <c r="C150" s="113">
        <v>2016</v>
      </c>
      <c r="D150" s="114">
        <v>2.1</v>
      </c>
    </row>
    <row r="151" ht="15.75" customHeight="1" spans="1:4">
      <c r="A151" s="4" t="s">
        <v>1074</v>
      </c>
      <c r="B151" s="112" t="s">
        <v>1097</v>
      </c>
      <c r="C151" s="113">
        <v>2016</v>
      </c>
      <c r="D151" s="114">
        <v>5.1743956179729</v>
      </c>
    </row>
    <row r="152" ht="15.75" customHeight="1" spans="1:4">
      <c r="A152" s="4" t="s">
        <v>1075</v>
      </c>
      <c r="B152" s="112" t="s">
        <v>1097</v>
      </c>
      <c r="C152" s="113">
        <v>2016</v>
      </c>
      <c r="D152" s="114">
        <v>4.22353138919237</v>
      </c>
    </row>
    <row r="153" ht="15.75" customHeight="1" spans="1:4">
      <c r="A153" s="4" t="s">
        <v>1076</v>
      </c>
      <c r="B153" s="112" t="s">
        <v>1097</v>
      </c>
      <c r="C153" s="113">
        <v>2016</v>
      </c>
      <c r="D153" s="114">
        <v>2.57199737968024</v>
      </c>
    </row>
    <row r="154" ht="15.75" customHeight="1" spans="1:4">
      <c r="A154" s="4" t="s">
        <v>1077</v>
      </c>
      <c r="B154" s="112" t="s">
        <v>1097</v>
      </c>
      <c r="C154" s="113">
        <v>2016</v>
      </c>
      <c r="D154" s="114">
        <v>3.04002080888491</v>
      </c>
    </row>
    <row r="155" ht="15.75" customHeight="1" spans="1:4">
      <c r="A155" s="4" t="s">
        <v>1078</v>
      </c>
      <c r="B155" s="112" t="s">
        <v>1097</v>
      </c>
      <c r="C155" s="113">
        <v>2016</v>
      </c>
      <c r="D155" s="114">
        <v>3.27860703008794</v>
      </c>
    </row>
    <row r="156" ht="15.75" customHeight="1" spans="1:4">
      <c r="A156" s="4" t="s">
        <v>1079</v>
      </c>
      <c r="B156" s="112" t="s">
        <v>1097</v>
      </c>
      <c r="C156" s="113">
        <v>2016</v>
      </c>
      <c r="D156" s="114">
        <v>2.75383300272886</v>
      </c>
    </row>
    <row r="157" ht="15.75" customHeight="1" spans="1:4">
      <c r="A157" s="4" t="s">
        <v>1080</v>
      </c>
      <c r="B157" s="112" t="s">
        <v>1097</v>
      </c>
      <c r="C157" s="113">
        <v>2016</v>
      </c>
      <c r="D157" s="114">
        <v>2.77408065709144</v>
      </c>
    </row>
    <row r="158" ht="15.75" customHeight="1" spans="1:4">
      <c r="A158" s="4" t="s">
        <v>1081</v>
      </c>
      <c r="B158" s="112" t="s">
        <v>1097</v>
      </c>
      <c r="C158" s="113">
        <v>2016</v>
      </c>
      <c r="D158" s="114">
        <v>2.87847094941349</v>
      </c>
    </row>
    <row r="159" ht="15.75" customHeight="1" spans="1:4">
      <c r="A159" s="4" t="s">
        <v>1082</v>
      </c>
      <c r="B159" s="112" t="s">
        <v>1097</v>
      </c>
      <c r="C159" s="113">
        <v>2016</v>
      </c>
      <c r="D159" s="114">
        <v>4.32993296917271</v>
      </c>
    </row>
    <row r="160" ht="15.75" customHeight="1" spans="1:4">
      <c r="A160" s="4" t="s">
        <v>1083</v>
      </c>
      <c r="B160" s="112" t="s">
        <v>1097</v>
      </c>
      <c r="C160" s="113">
        <v>2016</v>
      </c>
      <c r="D160" s="114">
        <v>3.54663373323924</v>
      </c>
    </row>
    <row r="161" ht="15.75" customHeight="1" spans="1:4">
      <c r="A161" s="4" t="s">
        <v>1084</v>
      </c>
      <c r="B161" s="112" t="s">
        <v>1097</v>
      </c>
      <c r="C161" s="113">
        <v>2016</v>
      </c>
      <c r="D161" s="114">
        <v>2.15979337138142</v>
      </c>
    </row>
    <row r="162" ht="15.75" customHeight="1" spans="1:4">
      <c r="A162" s="4" t="s">
        <v>1085</v>
      </c>
      <c r="B162" s="112" t="s">
        <v>1097</v>
      </c>
      <c r="C162" s="113">
        <v>2016</v>
      </c>
      <c r="D162" s="114">
        <v>2.55274038705745</v>
      </c>
    </row>
    <row r="163" ht="15.75" customHeight="1" spans="1:4">
      <c r="A163" s="4" t="s">
        <v>1086</v>
      </c>
      <c r="B163" s="112" t="s">
        <v>1097</v>
      </c>
      <c r="C163" s="113">
        <v>2016</v>
      </c>
      <c r="D163" s="114">
        <v>2.83335588480707</v>
      </c>
    </row>
    <row r="164" ht="15.75" customHeight="1" spans="1:4">
      <c r="A164" s="4" t="s">
        <v>1087</v>
      </c>
      <c r="B164" s="112" t="s">
        <v>1097</v>
      </c>
      <c r="C164" s="113">
        <v>2016</v>
      </c>
      <c r="D164" s="114">
        <v>2.3798289562162</v>
      </c>
    </row>
    <row r="165" ht="15.75" customHeight="1" spans="1:4">
      <c r="A165" s="4" t="s">
        <v>1088</v>
      </c>
      <c r="B165" s="112" t="s">
        <v>1097</v>
      </c>
      <c r="C165" s="113">
        <v>2016</v>
      </c>
      <c r="D165" s="114">
        <v>2.39731150481315</v>
      </c>
    </row>
    <row r="166" ht="15.75" customHeight="1" spans="1:4">
      <c r="A166" s="4" t="s">
        <v>1089</v>
      </c>
      <c r="B166" s="112" t="s">
        <v>1097</v>
      </c>
      <c r="C166" s="113">
        <v>2016</v>
      </c>
      <c r="D166" s="114">
        <v>2.45802519857573</v>
      </c>
    </row>
    <row r="167" ht="15.75" customHeight="1" spans="1:4">
      <c r="A167" s="4" t="s">
        <v>1104</v>
      </c>
      <c r="B167" s="112" t="s">
        <v>1097</v>
      </c>
      <c r="C167" s="113">
        <v>2016</v>
      </c>
      <c r="D167" s="114">
        <v>15.7749703256274</v>
      </c>
    </row>
    <row r="168" ht="15.75" customHeight="1" spans="1:4">
      <c r="A168" s="4" t="s">
        <v>1065</v>
      </c>
      <c r="B168" s="112" t="s">
        <v>1097</v>
      </c>
      <c r="C168" s="113">
        <v>2016</v>
      </c>
      <c r="D168" s="114">
        <v>11.3642212301435</v>
      </c>
    </row>
    <row r="169" ht="15.75" customHeight="1" spans="1:4">
      <c r="A169" s="4" t="s">
        <v>1105</v>
      </c>
      <c r="B169" s="112" t="s">
        <v>1097</v>
      </c>
      <c r="C169" s="113">
        <v>2016</v>
      </c>
      <c r="D169" s="114">
        <v>20.4266545747752</v>
      </c>
    </row>
    <row r="170" ht="15.75" customHeight="1" spans="1:4">
      <c r="A170" s="4" t="s">
        <v>1066</v>
      </c>
      <c r="B170" s="112" t="s">
        <v>1097</v>
      </c>
      <c r="C170" s="113">
        <v>2016</v>
      </c>
      <c r="D170" s="114">
        <v>14.715274690714</v>
      </c>
    </row>
    <row r="171" ht="15.75" customHeight="1" spans="1:4">
      <c r="A171" s="4" t="s">
        <v>1106</v>
      </c>
      <c r="B171" s="6" t="s">
        <v>1107</v>
      </c>
      <c r="C171" s="113">
        <v>2016</v>
      </c>
      <c r="D171" s="114">
        <v>15.2021891152326</v>
      </c>
    </row>
    <row r="172" ht="15.75" customHeight="1" spans="1:4">
      <c r="A172" s="4" t="s">
        <v>1108</v>
      </c>
      <c r="B172" s="6" t="s">
        <v>1107</v>
      </c>
      <c r="C172" s="113">
        <v>2016</v>
      </c>
      <c r="D172" s="114">
        <v>4.75556400989157</v>
      </c>
    </row>
    <row r="173" ht="15.75" customHeight="1" spans="1:4">
      <c r="A173" s="4" t="s">
        <v>1109</v>
      </c>
      <c r="B173" s="6" t="s">
        <v>1107</v>
      </c>
      <c r="C173" s="113">
        <v>2016</v>
      </c>
      <c r="D173" s="114">
        <v>5.291285253188</v>
      </c>
    </row>
    <row r="174" ht="15.75" customHeight="1" spans="1:4">
      <c r="A174" s="4" t="s">
        <v>1110</v>
      </c>
      <c r="B174" s="6" t="s">
        <v>1107</v>
      </c>
      <c r="C174" s="113">
        <v>2016</v>
      </c>
      <c r="D174" s="114">
        <v>3.4299434059338</v>
      </c>
    </row>
    <row r="175" ht="15.75" customHeight="1" spans="1:4">
      <c r="A175" s="4" t="s">
        <v>1111</v>
      </c>
      <c r="B175" s="6" t="s">
        <v>1107</v>
      </c>
      <c r="C175" s="113">
        <v>2016</v>
      </c>
      <c r="D175" s="114">
        <v>2.51939937518895</v>
      </c>
    </row>
    <row r="176" ht="15.75" customHeight="1" spans="1:4">
      <c r="A176" s="4" t="s">
        <v>1112</v>
      </c>
      <c r="B176" s="6" t="s">
        <v>1107</v>
      </c>
      <c r="C176" s="113">
        <v>2016</v>
      </c>
      <c r="D176" s="114">
        <v>2.83446712018141</v>
      </c>
    </row>
    <row r="177" ht="15.75" customHeight="1" spans="1:4">
      <c r="A177" s="4" t="s">
        <v>1113</v>
      </c>
      <c r="B177" s="6" t="s">
        <v>1107</v>
      </c>
      <c r="C177" s="113">
        <v>2016</v>
      </c>
      <c r="D177" s="114">
        <v>12.6103404791929</v>
      </c>
    </row>
    <row r="178" ht="15.75" customHeight="1" spans="1:4">
      <c r="A178" s="4" t="s">
        <v>1096</v>
      </c>
      <c r="B178" s="112" t="s">
        <v>1097</v>
      </c>
      <c r="C178" s="113">
        <v>2017</v>
      </c>
      <c r="D178" s="114">
        <v>13.1</v>
      </c>
    </row>
    <row r="179" ht="15.75" customHeight="1" spans="1:4">
      <c r="A179" s="4" t="s">
        <v>1059</v>
      </c>
      <c r="B179" s="112" t="s">
        <v>1097</v>
      </c>
      <c r="C179" s="113">
        <v>2017</v>
      </c>
      <c r="D179" s="114"/>
    </row>
    <row r="180" ht="15.75" customHeight="1" spans="1:4">
      <c r="A180" s="4" t="s">
        <v>1098</v>
      </c>
      <c r="B180" s="112" t="s">
        <v>1097</v>
      </c>
      <c r="C180" s="113">
        <v>2017</v>
      </c>
      <c r="D180" s="114">
        <v>14.3</v>
      </c>
    </row>
    <row r="181" ht="15.75" customHeight="1" spans="1:4">
      <c r="A181" s="4" t="s">
        <v>1061</v>
      </c>
      <c r="B181" s="112" t="s">
        <v>1097</v>
      </c>
      <c r="C181" s="113">
        <v>2017</v>
      </c>
      <c r="D181" s="114">
        <v>9.8</v>
      </c>
    </row>
    <row r="182" ht="15.75" customHeight="1" spans="1:4">
      <c r="A182" s="4" t="s">
        <v>1091</v>
      </c>
      <c r="B182" s="112" t="s">
        <v>1099</v>
      </c>
      <c r="C182" s="113">
        <v>2017</v>
      </c>
      <c r="D182" s="114">
        <v>12</v>
      </c>
    </row>
    <row r="183" ht="15.75" customHeight="1" spans="1:4">
      <c r="A183" s="4" t="s">
        <v>1068</v>
      </c>
      <c r="B183" s="112" t="s">
        <v>1099</v>
      </c>
      <c r="C183" s="113">
        <v>2017</v>
      </c>
      <c r="D183" s="114">
        <v>12</v>
      </c>
    </row>
    <row r="184" ht="15.75" customHeight="1" spans="1:4">
      <c r="A184" s="4" t="s">
        <v>1100</v>
      </c>
      <c r="B184" s="112" t="s">
        <v>1097</v>
      </c>
      <c r="C184" s="113">
        <v>2017</v>
      </c>
      <c r="D184" s="114">
        <v>57.1</v>
      </c>
    </row>
    <row r="185" ht="15.75" customHeight="1" spans="1:4">
      <c r="A185" s="4" t="s">
        <v>1101</v>
      </c>
      <c r="B185" s="112" t="s">
        <v>1097</v>
      </c>
      <c r="C185" s="113">
        <v>2017</v>
      </c>
      <c r="D185" s="114">
        <v>51.9</v>
      </c>
    </row>
    <row r="186" ht="15.75" customHeight="1" spans="1:4">
      <c r="A186" s="4" t="s">
        <v>1062</v>
      </c>
      <c r="B186" s="112" t="s">
        <v>1097</v>
      </c>
      <c r="C186" s="113">
        <v>2017</v>
      </c>
      <c r="D186" s="114">
        <v>35.8</v>
      </c>
    </row>
    <row r="187" ht="15.75" customHeight="1" spans="1:4">
      <c r="A187" s="4" t="s">
        <v>1102</v>
      </c>
      <c r="B187" s="112" t="s">
        <v>1097</v>
      </c>
      <c r="C187" s="113">
        <v>2017</v>
      </c>
      <c r="D187" s="114">
        <v>10.9</v>
      </c>
    </row>
    <row r="188" ht="15.75" customHeight="1" spans="1:4">
      <c r="A188" s="4" t="s">
        <v>1063</v>
      </c>
      <c r="B188" s="112" t="s">
        <v>1097</v>
      </c>
      <c r="C188" s="113">
        <v>2017</v>
      </c>
      <c r="D188" s="114"/>
    </row>
    <row r="189" ht="15.75" customHeight="1" spans="1:4">
      <c r="A189" s="4" t="s">
        <v>1103</v>
      </c>
      <c r="B189" s="112" t="s">
        <v>1097</v>
      </c>
      <c r="C189" s="113">
        <v>2017</v>
      </c>
      <c r="D189" s="114">
        <v>10.7</v>
      </c>
    </row>
    <row r="190" ht="15.75" customHeight="1" spans="1:4">
      <c r="A190" s="4" t="s">
        <v>1064</v>
      </c>
      <c r="B190" s="112" t="s">
        <v>1097</v>
      </c>
      <c r="C190" s="113">
        <v>2017</v>
      </c>
      <c r="D190" s="114">
        <v>7.4</v>
      </c>
    </row>
    <row r="191" ht="15.75" customHeight="1" spans="1:4">
      <c r="A191" s="4" t="s">
        <v>1070</v>
      </c>
      <c r="B191" s="112" t="s">
        <v>1097</v>
      </c>
      <c r="C191" s="113">
        <v>2017</v>
      </c>
      <c r="D191" s="114">
        <v>10.8</v>
      </c>
    </row>
    <row r="192" ht="15.75" customHeight="1" spans="1:4">
      <c r="A192" s="4" t="s">
        <v>1071</v>
      </c>
      <c r="B192" s="112" t="s">
        <v>1097</v>
      </c>
      <c r="C192" s="113">
        <v>2017</v>
      </c>
      <c r="D192" s="114">
        <v>3.3</v>
      </c>
    </row>
    <row r="193" ht="15.75" customHeight="1" spans="1:4">
      <c r="A193" s="4" t="s">
        <v>1072</v>
      </c>
      <c r="B193" s="112" t="s">
        <v>1097</v>
      </c>
      <c r="C193" s="113">
        <v>2017</v>
      </c>
      <c r="D193" s="114">
        <v>3.4</v>
      </c>
    </row>
    <row r="194" ht="15.75" customHeight="1" spans="1:4">
      <c r="A194" s="4" t="s">
        <v>1073</v>
      </c>
      <c r="B194" s="112" t="s">
        <v>1097</v>
      </c>
      <c r="C194" s="113">
        <v>2017</v>
      </c>
      <c r="D194" s="114">
        <v>2.1</v>
      </c>
    </row>
    <row r="195" ht="15.75" customHeight="1" spans="1:4">
      <c r="A195" s="4" t="s">
        <v>1074</v>
      </c>
      <c r="B195" s="112" t="s">
        <v>1097</v>
      </c>
      <c r="C195" s="113">
        <v>2017</v>
      </c>
      <c r="D195" s="114">
        <v>5.1743956179729</v>
      </c>
    </row>
    <row r="196" ht="15.75" customHeight="1" spans="1:4">
      <c r="A196" s="4" t="s">
        <v>1075</v>
      </c>
      <c r="B196" s="112" t="s">
        <v>1097</v>
      </c>
      <c r="C196" s="113">
        <v>2017</v>
      </c>
      <c r="D196" s="114">
        <v>4.22353138919237</v>
      </c>
    </row>
    <row r="197" ht="15.75" customHeight="1" spans="1:4">
      <c r="A197" s="4" t="s">
        <v>1076</v>
      </c>
      <c r="B197" s="112" t="s">
        <v>1097</v>
      </c>
      <c r="C197" s="113">
        <v>2017</v>
      </c>
      <c r="D197" s="114">
        <v>2.57199737968024</v>
      </c>
    </row>
    <row r="198" ht="15.75" customHeight="1" spans="1:4">
      <c r="A198" s="4" t="s">
        <v>1077</v>
      </c>
      <c r="B198" s="112" t="s">
        <v>1097</v>
      </c>
      <c r="C198" s="113">
        <v>2017</v>
      </c>
      <c r="D198" s="114">
        <v>3.04002080888491</v>
      </c>
    </row>
    <row r="199" ht="15.75" customHeight="1" spans="1:4">
      <c r="A199" s="4" t="s">
        <v>1078</v>
      </c>
      <c r="B199" s="112" t="s">
        <v>1097</v>
      </c>
      <c r="C199" s="113">
        <v>2017</v>
      </c>
      <c r="D199" s="114">
        <v>3.27860703008794</v>
      </c>
    </row>
    <row r="200" ht="15.75" customHeight="1" spans="1:4">
      <c r="A200" s="4" t="s">
        <v>1079</v>
      </c>
      <c r="B200" s="112" t="s">
        <v>1097</v>
      </c>
      <c r="C200" s="113">
        <v>2017</v>
      </c>
      <c r="D200" s="114">
        <v>2.75383300272886</v>
      </c>
    </row>
    <row r="201" ht="15.75" customHeight="1" spans="1:4">
      <c r="A201" s="4" t="s">
        <v>1080</v>
      </c>
      <c r="B201" s="112" t="s">
        <v>1097</v>
      </c>
      <c r="C201" s="113">
        <v>2017</v>
      </c>
      <c r="D201" s="114">
        <v>2.77408065709144</v>
      </c>
    </row>
    <row r="202" ht="15.75" customHeight="1" spans="1:4">
      <c r="A202" s="4" t="s">
        <v>1081</v>
      </c>
      <c r="B202" s="112" t="s">
        <v>1097</v>
      </c>
      <c r="C202" s="113">
        <v>2017</v>
      </c>
      <c r="D202" s="114">
        <v>2.87847094941349</v>
      </c>
    </row>
    <row r="203" ht="15.75" customHeight="1" spans="1:4">
      <c r="A203" s="4" t="s">
        <v>1082</v>
      </c>
      <c r="B203" s="112" t="s">
        <v>1097</v>
      </c>
      <c r="C203" s="113">
        <v>2017</v>
      </c>
      <c r="D203" s="114">
        <v>4.32993296917271</v>
      </c>
    </row>
    <row r="204" ht="15.75" customHeight="1" spans="1:4">
      <c r="A204" s="4" t="s">
        <v>1083</v>
      </c>
      <c r="B204" s="112" t="s">
        <v>1097</v>
      </c>
      <c r="C204" s="113">
        <v>2017</v>
      </c>
      <c r="D204" s="114">
        <v>3.54663373323924</v>
      </c>
    </row>
    <row r="205" ht="15.75" customHeight="1" spans="1:4">
      <c r="A205" s="4" t="s">
        <v>1084</v>
      </c>
      <c r="B205" s="112" t="s">
        <v>1097</v>
      </c>
      <c r="C205" s="113">
        <v>2017</v>
      </c>
      <c r="D205" s="114">
        <v>2.15979337138142</v>
      </c>
    </row>
    <row r="206" ht="15.75" customHeight="1" spans="1:4">
      <c r="A206" s="4" t="s">
        <v>1085</v>
      </c>
      <c r="B206" s="112" t="s">
        <v>1097</v>
      </c>
      <c r="C206" s="113">
        <v>2017</v>
      </c>
      <c r="D206" s="114">
        <v>2.55274038705745</v>
      </c>
    </row>
    <row r="207" ht="15.75" customHeight="1" spans="1:4">
      <c r="A207" s="4" t="s">
        <v>1086</v>
      </c>
      <c r="B207" s="112" t="s">
        <v>1097</v>
      </c>
      <c r="C207" s="113">
        <v>2017</v>
      </c>
      <c r="D207" s="114">
        <v>2.83335588480707</v>
      </c>
    </row>
    <row r="208" ht="15.75" customHeight="1" spans="1:4">
      <c r="A208" s="4" t="s">
        <v>1087</v>
      </c>
      <c r="B208" s="112" t="s">
        <v>1097</v>
      </c>
      <c r="C208" s="113">
        <v>2017</v>
      </c>
      <c r="D208" s="114">
        <v>2.3798289562162</v>
      </c>
    </row>
    <row r="209" ht="15.75" customHeight="1" spans="1:4">
      <c r="A209" s="4" t="s">
        <v>1088</v>
      </c>
      <c r="B209" s="112" t="s">
        <v>1097</v>
      </c>
      <c r="C209" s="113">
        <v>2017</v>
      </c>
      <c r="D209" s="114">
        <v>2.39731150481315</v>
      </c>
    </row>
    <row r="210" ht="15.75" customHeight="1" spans="1:4">
      <c r="A210" s="4" t="s">
        <v>1089</v>
      </c>
      <c r="B210" s="112" t="s">
        <v>1097</v>
      </c>
      <c r="C210" s="113">
        <v>2017</v>
      </c>
      <c r="D210" s="114">
        <v>2.45802519857573</v>
      </c>
    </row>
    <row r="211" ht="15.75" customHeight="1" spans="1:4">
      <c r="A211" s="4" t="s">
        <v>1104</v>
      </c>
      <c r="B211" s="112" t="s">
        <v>1097</v>
      </c>
      <c r="C211" s="113">
        <v>2017</v>
      </c>
      <c r="D211" s="114">
        <v>15.7749703256274</v>
      </c>
    </row>
    <row r="212" ht="15.75" customHeight="1" spans="1:4">
      <c r="A212" s="4" t="s">
        <v>1065</v>
      </c>
      <c r="B212" s="112" t="s">
        <v>1097</v>
      </c>
      <c r="C212" s="113">
        <v>2017</v>
      </c>
      <c r="D212" s="114">
        <v>11.3642212301435</v>
      </c>
    </row>
    <row r="213" ht="15.75" customHeight="1" spans="1:4">
      <c r="A213" s="4" t="s">
        <v>1105</v>
      </c>
      <c r="B213" s="112" t="s">
        <v>1097</v>
      </c>
      <c r="C213" s="113">
        <v>2017</v>
      </c>
      <c r="D213" s="114">
        <v>20.4266545747752</v>
      </c>
    </row>
    <row r="214" ht="15.75" customHeight="1" spans="1:4">
      <c r="A214" s="4" t="s">
        <v>1066</v>
      </c>
      <c r="B214" s="112" t="s">
        <v>1097</v>
      </c>
      <c r="C214" s="113">
        <v>2017</v>
      </c>
      <c r="D214" s="114">
        <v>14.715274690714</v>
      </c>
    </row>
    <row r="215" ht="15.75" customHeight="1" spans="1:4">
      <c r="A215" s="4" t="s">
        <v>1106</v>
      </c>
      <c r="B215" s="6" t="s">
        <v>1107</v>
      </c>
      <c r="C215" s="113">
        <v>2017</v>
      </c>
      <c r="D215" s="114">
        <v>15.2021891152326</v>
      </c>
    </row>
    <row r="216" ht="15.75" customHeight="1" spans="1:4">
      <c r="A216" s="4" t="s">
        <v>1108</v>
      </c>
      <c r="B216" s="6" t="s">
        <v>1107</v>
      </c>
      <c r="C216" s="113">
        <v>2017</v>
      </c>
      <c r="D216" s="114">
        <v>4.75556400989157</v>
      </c>
    </row>
    <row r="217" ht="15.75" customHeight="1" spans="1:4">
      <c r="A217" s="4" t="s">
        <v>1109</v>
      </c>
      <c r="B217" s="6" t="s">
        <v>1107</v>
      </c>
      <c r="C217" s="113">
        <v>2017</v>
      </c>
      <c r="D217" s="114">
        <v>5.291285253188</v>
      </c>
    </row>
    <row r="218" ht="15.75" customHeight="1" spans="1:4">
      <c r="A218" s="4" t="s">
        <v>1110</v>
      </c>
      <c r="B218" s="6" t="s">
        <v>1107</v>
      </c>
      <c r="C218" s="113">
        <v>2017</v>
      </c>
      <c r="D218" s="114">
        <v>3.4299434059338</v>
      </c>
    </row>
    <row r="219" ht="15.75" customHeight="1" spans="1:4">
      <c r="A219" s="4" t="s">
        <v>1111</v>
      </c>
      <c r="B219" s="6" t="s">
        <v>1107</v>
      </c>
      <c r="C219" s="113">
        <v>2017</v>
      </c>
      <c r="D219" s="114">
        <v>2.51939937518895</v>
      </c>
    </row>
    <row r="220" ht="15.75" customHeight="1" spans="1:4">
      <c r="A220" s="4" t="s">
        <v>1112</v>
      </c>
      <c r="B220" s="6" t="s">
        <v>1107</v>
      </c>
      <c r="C220" s="113">
        <v>2017</v>
      </c>
      <c r="D220" s="114">
        <v>2.83446712018141</v>
      </c>
    </row>
    <row r="221" ht="15.75" customHeight="1" spans="1:4">
      <c r="A221" s="4" t="s">
        <v>1113</v>
      </c>
      <c r="B221" s="6" t="s">
        <v>1107</v>
      </c>
      <c r="C221" s="113">
        <v>2017</v>
      </c>
      <c r="D221" s="114">
        <v>12.6103404791929</v>
      </c>
    </row>
    <row r="222" ht="15.75" customHeight="1" spans="1:4">
      <c r="A222" s="4" t="s">
        <v>1096</v>
      </c>
      <c r="B222" s="112" t="s">
        <v>1097</v>
      </c>
      <c r="C222" s="113">
        <v>2018</v>
      </c>
      <c r="D222" s="114">
        <v>13.4</v>
      </c>
    </row>
    <row r="223" ht="15.75" customHeight="1" spans="1:4">
      <c r="A223" s="4" t="s">
        <v>1059</v>
      </c>
      <c r="B223" s="112" t="s">
        <v>1097</v>
      </c>
      <c r="C223" s="113">
        <v>2018</v>
      </c>
      <c r="D223" s="114"/>
    </row>
    <row r="224" ht="15.75" customHeight="1" spans="1:4">
      <c r="A224" s="4" t="s">
        <v>1098</v>
      </c>
      <c r="B224" s="112" t="s">
        <v>1097</v>
      </c>
      <c r="C224" s="113">
        <v>2018</v>
      </c>
      <c r="D224" s="114">
        <v>14.2</v>
      </c>
    </row>
    <row r="225" ht="15.75" customHeight="1" spans="1:4">
      <c r="A225" s="4" t="s">
        <v>1061</v>
      </c>
      <c r="B225" s="112" t="s">
        <v>1097</v>
      </c>
      <c r="C225" s="113">
        <v>2018</v>
      </c>
      <c r="D225" s="114">
        <v>9.8</v>
      </c>
    </row>
    <row r="226" ht="15.75" customHeight="1" spans="1:4">
      <c r="A226" s="4" t="s">
        <v>1091</v>
      </c>
      <c r="B226" s="112" t="s">
        <v>1099</v>
      </c>
      <c r="C226" s="113">
        <v>2018</v>
      </c>
      <c r="D226" s="114">
        <v>12</v>
      </c>
    </row>
    <row r="227" ht="15.75" customHeight="1" spans="1:4">
      <c r="A227" s="4" t="s">
        <v>1068</v>
      </c>
      <c r="B227" s="112" t="s">
        <v>1099</v>
      </c>
      <c r="C227" s="113">
        <v>2018</v>
      </c>
      <c r="D227" s="114">
        <v>12</v>
      </c>
    </row>
    <row r="228" ht="15.75" customHeight="1" spans="1:4">
      <c r="A228" s="4" t="s">
        <v>1100</v>
      </c>
      <c r="B228" s="112" t="s">
        <v>1097</v>
      </c>
      <c r="C228" s="113">
        <v>2018</v>
      </c>
      <c r="D228" s="114">
        <v>58.5</v>
      </c>
    </row>
    <row r="229" ht="15.75" customHeight="1" spans="1:4">
      <c r="A229" s="4" t="s">
        <v>1101</v>
      </c>
      <c r="B229" s="112" t="s">
        <v>1097</v>
      </c>
      <c r="C229" s="113">
        <v>2018</v>
      </c>
      <c r="D229" s="114">
        <v>51.5</v>
      </c>
    </row>
    <row r="230" ht="15.75" customHeight="1" spans="1:4">
      <c r="A230" s="4" t="s">
        <v>1062</v>
      </c>
      <c r="B230" s="112" t="s">
        <v>1097</v>
      </c>
      <c r="C230" s="113">
        <v>2018</v>
      </c>
      <c r="D230" s="114">
        <v>35.6</v>
      </c>
    </row>
    <row r="231" ht="15.75" customHeight="1" spans="1:4">
      <c r="A231" s="4" t="s">
        <v>1102</v>
      </c>
      <c r="B231" s="112" t="s">
        <v>1097</v>
      </c>
      <c r="C231" s="113">
        <v>2018</v>
      </c>
      <c r="D231" s="114">
        <v>10.9</v>
      </c>
    </row>
    <row r="232" ht="15.75" customHeight="1" spans="1:4">
      <c r="A232" s="4" t="s">
        <v>1063</v>
      </c>
      <c r="B232" s="112" t="s">
        <v>1097</v>
      </c>
      <c r="C232" s="113">
        <v>2018</v>
      </c>
      <c r="D232" s="114"/>
    </row>
    <row r="233" ht="15.75" customHeight="1" spans="1:4">
      <c r="A233" s="4" t="s">
        <v>1103</v>
      </c>
      <c r="B233" s="112" t="s">
        <v>1097</v>
      </c>
      <c r="C233" s="113">
        <v>2018</v>
      </c>
      <c r="D233" s="114">
        <v>11.1</v>
      </c>
    </row>
    <row r="234" ht="15.75" customHeight="1" spans="1:4">
      <c r="A234" s="4" t="s">
        <v>1064</v>
      </c>
      <c r="B234" s="112" t="s">
        <v>1097</v>
      </c>
      <c r="C234" s="113">
        <v>2018</v>
      </c>
      <c r="D234" s="114">
        <v>7.8</v>
      </c>
    </row>
    <row r="235" ht="15.75" customHeight="1" spans="1:4">
      <c r="A235" s="4" t="s">
        <v>1070</v>
      </c>
      <c r="B235" s="112" t="s">
        <v>1097</v>
      </c>
      <c r="C235" s="113">
        <v>2018</v>
      </c>
      <c r="D235" s="114">
        <v>11.1</v>
      </c>
    </row>
    <row r="236" ht="15.75" customHeight="1" spans="1:4">
      <c r="A236" s="4" t="s">
        <v>1071</v>
      </c>
      <c r="B236" s="112" t="s">
        <v>1097</v>
      </c>
      <c r="C236" s="113">
        <v>2018</v>
      </c>
      <c r="D236" s="114">
        <v>3.3</v>
      </c>
    </row>
    <row r="237" ht="15.75" customHeight="1" spans="1:4">
      <c r="A237" s="4" t="s">
        <v>1072</v>
      </c>
      <c r="B237" s="112" t="s">
        <v>1097</v>
      </c>
      <c r="C237" s="113">
        <v>2018</v>
      </c>
      <c r="D237" s="114">
        <v>3.4</v>
      </c>
    </row>
    <row r="238" ht="15.75" customHeight="1" spans="1:4">
      <c r="A238" s="4" t="s">
        <v>1073</v>
      </c>
      <c r="B238" s="112" t="s">
        <v>1097</v>
      </c>
      <c r="C238" s="113">
        <v>2018</v>
      </c>
      <c r="D238" s="114">
        <v>2.1</v>
      </c>
    </row>
    <row r="239" ht="15.75" customHeight="1" spans="1:4">
      <c r="A239" s="4" t="s">
        <v>1074</v>
      </c>
      <c r="B239" s="112" t="s">
        <v>1097</v>
      </c>
      <c r="C239" s="113">
        <v>2018</v>
      </c>
      <c r="D239" s="114">
        <v>5.1743956179729</v>
      </c>
    </row>
    <row r="240" ht="15.75" customHeight="1" spans="1:4">
      <c r="A240" s="4" t="s">
        <v>1075</v>
      </c>
      <c r="B240" s="112" t="s">
        <v>1097</v>
      </c>
      <c r="C240" s="113">
        <v>2018</v>
      </c>
      <c r="D240" s="114">
        <v>4.22353138919237</v>
      </c>
    </row>
    <row r="241" ht="15.75" customHeight="1" spans="1:4">
      <c r="A241" s="4" t="s">
        <v>1076</v>
      </c>
      <c r="B241" s="112" t="s">
        <v>1097</v>
      </c>
      <c r="C241" s="113">
        <v>2018</v>
      </c>
      <c r="D241" s="114">
        <v>2.57199737968024</v>
      </c>
    </row>
    <row r="242" ht="15.75" customHeight="1" spans="1:4">
      <c r="A242" s="4" t="s">
        <v>1077</v>
      </c>
      <c r="B242" s="112" t="s">
        <v>1097</v>
      </c>
      <c r="C242" s="113">
        <v>2018</v>
      </c>
      <c r="D242" s="114">
        <v>3.04002080888491</v>
      </c>
    </row>
    <row r="243" ht="15.75" customHeight="1" spans="1:4">
      <c r="A243" s="4" t="s">
        <v>1078</v>
      </c>
      <c r="B243" s="112" t="s">
        <v>1097</v>
      </c>
      <c r="C243" s="113">
        <v>2018</v>
      </c>
      <c r="D243" s="114">
        <v>3.27860703008794</v>
      </c>
    </row>
    <row r="244" ht="15.75" customHeight="1" spans="1:4">
      <c r="A244" s="4" t="s">
        <v>1079</v>
      </c>
      <c r="B244" s="112" t="s">
        <v>1097</v>
      </c>
      <c r="C244" s="113">
        <v>2018</v>
      </c>
      <c r="D244" s="114">
        <v>2.75383300272886</v>
      </c>
    </row>
    <row r="245" ht="15.75" customHeight="1" spans="1:4">
      <c r="A245" s="4" t="s">
        <v>1080</v>
      </c>
      <c r="B245" s="112" t="s">
        <v>1097</v>
      </c>
      <c r="C245" s="113">
        <v>2018</v>
      </c>
      <c r="D245" s="114">
        <v>2.77408065709144</v>
      </c>
    </row>
    <row r="246" ht="15.75" customHeight="1" spans="1:4">
      <c r="A246" s="4" t="s">
        <v>1081</v>
      </c>
      <c r="B246" s="112" t="s">
        <v>1097</v>
      </c>
      <c r="C246" s="113">
        <v>2018</v>
      </c>
      <c r="D246" s="114">
        <v>2.87847094941349</v>
      </c>
    </row>
    <row r="247" ht="15.75" customHeight="1" spans="1:4">
      <c r="A247" s="4" t="s">
        <v>1082</v>
      </c>
      <c r="B247" s="112" t="s">
        <v>1097</v>
      </c>
      <c r="C247" s="113">
        <v>2018</v>
      </c>
      <c r="D247" s="114">
        <v>4.32993296917271</v>
      </c>
    </row>
    <row r="248" ht="15.75" customHeight="1" spans="1:4">
      <c r="A248" s="4" t="s">
        <v>1083</v>
      </c>
      <c r="B248" s="112" t="s">
        <v>1097</v>
      </c>
      <c r="C248" s="113">
        <v>2018</v>
      </c>
      <c r="D248" s="114">
        <v>3.54663373323924</v>
      </c>
    </row>
    <row r="249" ht="15.75" customHeight="1" spans="1:4">
      <c r="A249" s="4" t="s">
        <v>1084</v>
      </c>
      <c r="B249" s="112" t="s">
        <v>1097</v>
      </c>
      <c r="C249" s="113">
        <v>2018</v>
      </c>
      <c r="D249" s="114">
        <v>2.15979337138142</v>
      </c>
    </row>
    <row r="250" ht="15.75" customHeight="1" spans="1:4">
      <c r="A250" s="4" t="s">
        <v>1085</v>
      </c>
      <c r="B250" s="112" t="s">
        <v>1097</v>
      </c>
      <c r="C250" s="113">
        <v>2018</v>
      </c>
      <c r="D250" s="114">
        <v>2.55274038705745</v>
      </c>
    </row>
    <row r="251" ht="15.75" customHeight="1" spans="1:4">
      <c r="A251" s="4" t="s">
        <v>1086</v>
      </c>
      <c r="B251" s="112" t="s">
        <v>1097</v>
      </c>
      <c r="C251" s="113">
        <v>2018</v>
      </c>
      <c r="D251" s="114">
        <v>2.83335588480707</v>
      </c>
    </row>
    <row r="252" ht="15.75" customHeight="1" spans="1:4">
      <c r="A252" s="4" t="s">
        <v>1087</v>
      </c>
      <c r="B252" s="112" t="s">
        <v>1097</v>
      </c>
      <c r="C252" s="113">
        <v>2018</v>
      </c>
      <c r="D252" s="114">
        <v>2.3798289562162</v>
      </c>
    </row>
    <row r="253" ht="15.75" customHeight="1" spans="1:4">
      <c r="A253" s="4" t="s">
        <v>1088</v>
      </c>
      <c r="B253" s="112" t="s">
        <v>1097</v>
      </c>
      <c r="C253" s="113">
        <v>2018</v>
      </c>
      <c r="D253" s="114">
        <v>2.39731150481315</v>
      </c>
    </row>
    <row r="254" ht="15.75" customHeight="1" spans="1:4">
      <c r="A254" s="4" t="s">
        <v>1089</v>
      </c>
      <c r="B254" s="112" t="s">
        <v>1097</v>
      </c>
      <c r="C254" s="113">
        <v>2018</v>
      </c>
      <c r="D254" s="114">
        <v>2.45802519857573</v>
      </c>
    </row>
    <row r="255" ht="15.75" customHeight="1" spans="1:4">
      <c r="A255" s="4" t="s">
        <v>1104</v>
      </c>
      <c r="B255" s="112" t="s">
        <v>1097</v>
      </c>
      <c r="C255" s="113">
        <v>2018</v>
      </c>
      <c r="D255" s="114">
        <v>15.7749703256274</v>
      </c>
    </row>
    <row r="256" ht="15.75" customHeight="1" spans="1:4">
      <c r="A256" s="4" t="s">
        <v>1065</v>
      </c>
      <c r="B256" s="112" t="s">
        <v>1097</v>
      </c>
      <c r="C256" s="113">
        <v>2018</v>
      </c>
      <c r="D256" s="114">
        <v>11.3642212301435</v>
      </c>
    </row>
    <row r="257" ht="15.75" customHeight="1" spans="1:4">
      <c r="A257" s="4" t="s">
        <v>1105</v>
      </c>
      <c r="B257" s="112" t="s">
        <v>1097</v>
      </c>
      <c r="C257" s="113">
        <v>2018</v>
      </c>
      <c r="D257" s="114">
        <v>20.4266545747752</v>
      </c>
    </row>
    <row r="258" ht="15.75" customHeight="1" spans="1:4">
      <c r="A258" s="4" t="s">
        <v>1066</v>
      </c>
      <c r="B258" s="112" t="s">
        <v>1097</v>
      </c>
      <c r="C258" s="113">
        <v>2018</v>
      </c>
      <c r="D258" s="114">
        <v>14.715274690714</v>
      </c>
    </row>
    <row r="259" ht="15.75" customHeight="1" spans="1:4">
      <c r="A259" s="4" t="s">
        <v>1106</v>
      </c>
      <c r="B259" s="6" t="s">
        <v>1107</v>
      </c>
      <c r="C259" s="113">
        <v>2018</v>
      </c>
      <c r="D259" s="114">
        <v>15.2021891152326</v>
      </c>
    </row>
    <row r="260" ht="15.75" customHeight="1" spans="1:4">
      <c r="A260" s="4" t="s">
        <v>1108</v>
      </c>
      <c r="B260" s="6" t="s">
        <v>1107</v>
      </c>
      <c r="C260" s="113">
        <v>2018</v>
      </c>
      <c r="D260" s="114">
        <v>4.75556400989157</v>
      </c>
    </row>
    <row r="261" ht="15.75" customHeight="1" spans="1:4">
      <c r="A261" s="4" t="s">
        <v>1109</v>
      </c>
      <c r="B261" s="6" t="s">
        <v>1107</v>
      </c>
      <c r="C261" s="113">
        <v>2018</v>
      </c>
      <c r="D261" s="114">
        <v>5.291285253188</v>
      </c>
    </row>
    <row r="262" ht="15.75" customHeight="1" spans="1:4">
      <c r="A262" s="4" t="s">
        <v>1110</v>
      </c>
      <c r="B262" s="6" t="s">
        <v>1107</v>
      </c>
      <c r="C262" s="113">
        <v>2018</v>
      </c>
      <c r="D262" s="114">
        <v>3.4299434059338</v>
      </c>
    </row>
    <row r="263" ht="15.75" customHeight="1" spans="1:4">
      <c r="A263" s="4" t="s">
        <v>1111</v>
      </c>
      <c r="B263" s="6" t="s">
        <v>1107</v>
      </c>
      <c r="C263" s="113">
        <v>2018</v>
      </c>
      <c r="D263" s="114">
        <v>2.51939937518895</v>
      </c>
    </row>
    <row r="264" ht="15.75" customHeight="1" spans="1:4">
      <c r="A264" s="4" t="s">
        <v>1112</v>
      </c>
      <c r="B264" s="6" t="s">
        <v>1107</v>
      </c>
      <c r="C264" s="113">
        <v>2018</v>
      </c>
      <c r="D264" s="114">
        <v>2.83446712018141</v>
      </c>
    </row>
    <row r="265" ht="15.75" customHeight="1" spans="1:4">
      <c r="A265" s="4" t="s">
        <v>1113</v>
      </c>
      <c r="B265" s="6" t="s">
        <v>1107</v>
      </c>
      <c r="C265" s="113">
        <v>2018</v>
      </c>
      <c r="D265" s="114">
        <v>12.6103404791929</v>
      </c>
    </row>
    <row r="266" ht="15.75" customHeight="1" spans="1:4">
      <c r="A266" s="4" t="s">
        <v>1096</v>
      </c>
      <c r="B266" s="112" t="s">
        <v>1097</v>
      </c>
      <c r="C266" s="113">
        <v>2019</v>
      </c>
      <c r="D266" s="114">
        <v>12.0737948161744</v>
      </c>
    </row>
    <row r="267" ht="15.75" customHeight="1" spans="1:4">
      <c r="A267" s="4" t="s">
        <v>1059</v>
      </c>
      <c r="B267" s="112" t="s">
        <v>1097</v>
      </c>
      <c r="C267" s="113">
        <v>2019</v>
      </c>
      <c r="D267" s="114"/>
    </row>
    <row r="268" ht="15.75" customHeight="1" spans="1:4">
      <c r="A268" s="4" t="s">
        <v>1098</v>
      </c>
      <c r="B268" s="112" t="s">
        <v>1097</v>
      </c>
      <c r="C268" s="113">
        <v>2019</v>
      </c>
      <c r="D268" s="114">
        <v>14.4650912826203</v>
      </c>
    </row>
    <row r="269" ht="15.75" customHeight="1" spans="1:4">
      <c r="A269" s="4" t="s">
        <v>1061</v>
      </c>
      <c r="B269" s="112" t="s">
        <v>1097</v>
      </c>
      <c r="C269" s="113">
        <v>2019</v>
      </c>
      <c r="D269" s="114">
        <v>9.961983454145</v>
      </c>
    </row>
    <row r="270" ht="15.75" customHeight="1" spans="1:4">
      <c r="A270" s="4" t="s">
        <v>1091</v>
      </c>
      <c r="B270" s="112" t="s">
        <v>1099</v>
      </c>
      <c r="C270" s="113">
        <v>2019</v>
      </c>
      <c r="D270" s="114">
        <v>12</v>
      </c>
    </row>
    <row r="271" ht="15.75" customHeight="1" spans="1:4">
      <c r="A271" s="4" t="s">
        <v>1068</v>
      </c>
      <c r="B271" s="112" t="s">
        <v>1099</v>
      </c>
      <c r="C271" s="113">
        <v>2019</v>
      </c>
      <c r="D271" s="114">
        <v>12</v>
      </c>
    </row>
    <row r="272" ht="15.75" customHeight="1" spans="1:4">
      <c r="A272" s="4" t="s">
        <v>1100</v>
      </c>
      <c r="B272" s="112" t="s">
        <v>1097</v>
      </c>
      <c r="C272" s="113">
        <v>2019</v>
      </c>
      <c r="D272" s="114">
        <v>55.926995531619</v>
      </c>
    </row>
    <row r="273" ht="15.75" customHeight="1" spans="1:4">
      <c r="A273" s="4" t="s">
        <v>1101</v>
      </c>
      <c r="B273" s="112" t="s">
        <v>1097</v>
      </c>
      <c r="C273" s="113">
        <v>2019</v>
      </c>
      <c r="D273" s="114">
        <v>53.9230058689058</v>
      </c>
    </row>
    <row r="274" ht="15.75" customHeight="1" spans="1:4">
      <c r="A274" s="4" t="s">
        <v>1062</v>
      </c>
      <c r="B274" s="112" t="s">
        <v>1097</v>
      </c>
      <c r="C274" s="113">
        <v>2019</v>
      </c>
      <c r="D274" s="114">
        <v>36.3862347445057</v>
      </c>
    </row>
    <row r="275" ht="15.75" customHeight="1" spans="1:4">
      <c r="A275" s="4" t="s">
        <v>1102</v>
      </c>
      <c r="B275" s="112" t="s">
        <v>1097</v>
      </c>
      <c r="C275" s="113">
        <v>2019</v>
      </c>
      <c r="D275" s="114">
        <v>15.2906926763726</v>
      </c>
    </row>
    <row r="276" ht="15.75" customHeight="1" spans="1:4">
      <c r="A276" s="4" t="s">
        <v>1063</v>
      </c>
      <c r="B276" s="112" t="s">
        <v>1097</v>
      </c>
      <c r="C276" s="113">
        <v>2019</v>
      </c>
      <c r="D276" s="114"/>
    </row>
    <row r="277" ht="15.75" customHeight="1" spans="1:4">
      <c r="A277" s="4" t="s">
        <v>1103</v>
      </c>
      <c r="B277" s="112" t="s">
        <v>1097</v>
      </c>
      <c r="C277" s="113">
        <v>2019</v>
      </c>
      <c r="D277" s="114">
        <v>11.3464680404083</v>
      </c>
    </row>
    <row r="278" ht="15.75" customHeight="1" spans="1:4">
      <c r="A278" s="4" t="s">
        <v>1064</v>
      </c>
      <c r="B278" s="112" t="s">
        <v>1097</v>
      </c>
      <c r="C278" s="113">
        <v>2019</v>
      </c>
      <c r="D278" s="114">
        <v>7.55080409349476</v>
      </c>
    </row>
    <row r="279" ht="15.75" customHeight="1" spans="1:4">
      <c r="A279" s="4" t="s">
        <v>1070</v>
      </c>
      <c r="B279" s="112" t="s">
        <v>1097</v>
      </c>
      <c r="C279" s="113">
        <v>2019</v>
      </c>
      <c r="D279" s="114">
        <v>11.2687736518468</v>
      </c>
    </row>
    <row r="280" ht="15.75" customHeight="1" spans="1:4">
      <c r="A280" s="4" t="s">
        <v>1071</v>
      </c>
      <c r="B280" s="112" t="s">
        <v>1097</v>
      </c>
      <c r="C280" s="113">
        <v>2019</v>
      </c>
      <c r="D280" s="114">
        <v>3.3</v>
      </c>
    </row>
    <row r="281" ht="15.75" customHeight="1" spans="1:4">
      <c r="A281" s="4" t="s">
        <v>1072</v>
      </c>
      <c r="B281" s="112" t="s">
        <v>1097</v>
      </c>
      <c r="C281" s="113">
        <v>2019</v>
      </c>
      <c r="D281" s="114">
        <v>3.4</v>
      </c>
    </row>
    <row r="282" ht="15.75" customHeight="1" spans="1:4">
      <c r="A282" s="4" t="s">
        <v>1073</v>
      </c>
      <c r="B282" s="112" t="s">
        <v>1097</v>
      </c>
      <c r="C282" s="113">
        <v>2019</v>
      </c>
      <c r="D282" s="114">
        <v>2.1</v>
      </c>
    </row>
    <row r="283" ht="15.75" customHeight="1" spans="1:4">
      <c r="A283" s="4" t="s">
        <v>1074</v>
      </c>
      <c r="B283" s="112" t="s">
        <v>1097</v>
      </c>
      <c r="C283" s="113">
        <v>2019</v>
      </c>
      <c r="D283" s="114">
        <v>5.1743956179729</v>
      </c>
    </row>
    <row r="284" ht="15.75" customHeight="1" spans="1:4">
      <c r="A284" s="4" t="s">
        <v>1075</v>
      </c>
      <c r="B284" s="112" t="s">
        <v>1097</v>
      </c>
      <c r="C284" s="113">
        <v>2019</v>
      </c>
      <c r="D284" s="114">
        <v>4.22353138919237</v>
      </c>
    </row>
    <row r="285" ht="15.75" customHeight="1" spans="1:4">
      <c r="A285" s="4" t="s">
        <v>1076</v>
      </c>
      <c r="B285" s="112" t="s">
        <v>1097</v>
      </c>
      <c r="C285" s="113">
        <v>2019</v>
      </c>
      <c r="D285" s="114">
        <v>2.57199737968024</v>
      </c>
    </row>
    <row r="286" ht="15.75" customHeight="1" spans="1:4">
      <c r="A286" s="4" t="s">
        <v>1077</v>
      </c>
      <c r="B286" s="112" t="s">
        <v>1097</v>
      </c>
      <c r="C286" s="113">
        <v>2019</v>
      </c>
      <c r="D286" s="114">
        <v>3.04002080888491</v>
      </c>
    </row>
    <row r="287" ht="15.75" customHeight="1" spans="1:4">
      <c r="A287" s="4" t="s">
        <v>1078</v>
      </c>
      <c r="B287" s="112" t="s">
        <v>1097</v>
      </c>
      <c r="C287" s="113">
        <v>2019</v>
      </c>
      <c r="D287" s="114">
        <v>3.27860703008794</v>
      </c>
    </row>
    <row r="288" ht="15.75" customHeight="1" spans="1:4">
      <c r="A288" s="4" t="s">
        <v>1079</v>
      </c>
      <c r="B288" s="112" t="s">
        <v>1097</v>
      </c>
      <c r="C288" s="113">
        <v>2019</v>
      </c>
      <c r="D288" s="114">
        <v>2.75383300272886</v>
      </c>
    </row>
    <row r="289" ht="15.75" customHeight="1" spans="1:4">
      <c r="A289" s="4" t="s">
        <v>1080</v>
      </c>
      <c r="B289" s="112" t="s">
        <v>1097</v>
      </c>
      <c r="C289" s="113">
        <v>2019</v>
      </c>
      <c r="D289" s="114">
        <v>2.77408065709144</v>
      </c>
    </row>
    <row r="290" ht="15.75" customHeight="1" spans="1:4">
      <c r="A290" s="4" t="s">
        <v>1081</v>
      </c>
      <c r="B290" s="112" t="s">
        <v>1097</v>
      </c>
      <c r="C290" s="113">
        <v>2019</v>
      </c>
      <c r="D290" s="114">
        <v>2.87847094941349</v>
      </c>
    </row>
    <row r="291" ht="15.75" customHeight="1" spans="1:4">
      <c r="A291" s="4" t="s">
        <v>1082</v>
      </c>
      <c r="B291" s="112" t="s">
        <v>1097</v>
      </c>
      <c r="C291" s="113">
        <v>2019</v>
      </c>
      <c r="D291" s="114">
        <v>4.32993296917271</v>
      </c>
    </row>
    <row r="292" ht="15.75" customHeight="1" spans="1:4">
      <c r="A292" s="4" t="s">
        <v>1083</v>
      </c>
      <c r="B292" s="112" t="s">
        <v>1097</v>
      </c>
      <c r="C292" s="113">
        <v>2019</v>
      </c>
      <c r="D292" s="114">
        <v>3.54663373323924</v>
      </c>
    </row>
    <row r="293" ht="15.75" customHeight="1" spans="1:4">
      <c r="A293" s="4" t="s">
        <v>1084</v>
      </c>
      <c r="B293" s="112" t="s">
        <v>1097</v>
      </c>
      <c r="C293" s="113">
        <v>2019</v>
      </c>
      <c r="D293" s="114">
        <v>2.15979337138142</v>
      </c>
    </row>
    <row r="294" ht="15.75" customHeight="1" spans="1:4">
      <c r="A294" s="4" t="s">
        <v>1085</v>
      </c>
      <c r="B294" s="112" t="s">
        <v>1097</v>
      </c>
      <c r="C294" s="113">
        <v>2019</v>
      </c>
      <c r="D294" s="114">
        <v>2.55274038705745</v>
      </c>
    </row>
    <row r="295" ht="15.75" customHeight="1" spans="1:4">
      <c r="A295" s="4" t="s">
        <v>1086</v>
      </c>
      <c r="B295" s="112" t="s">
        <v>1097</v>
      </c>
      <c r="C295" s="113">
        <v>2019</v>
      </c>
      <c r="D295" s="114">
        <v>2.83335588480707</v>
      </c>
    </row>
    <row r="296" ht="15.75" customHeight="1" spans="1:4">
      <c r="A296" s="4" t="s">
        <v>1087</v>
      </c>
      <c r="B296" s="112" t="s">
        <v>1097</v>
      </c>
      <c r="C296" s="113">
        <v>2019</v>
      </c>
      <c r="D296" s="114">
        <v>2.3798289562162</v>
      </c>
    </row>
    <row r="297" ht="15.75" customHeight="1" spans="1:4">
      <c r="A297" s="4" t="s">
        <v>1088</v>
      </c>
      <c r="B297" s="112" t="s">
        <v>1097</v>
      </c>
      <c r="C297" s="113">
        <v>2019</v>
      </c>
      <c r="D297" s="114">
        <v>2.39731150481315</v>
      </c>
    </row>
    <row r="298" ht="15.75" customHeight="1" spans="1:4">
      <c r="A298" s="4" t="s">
        <v>1089</v>
      </c>
      <c r="B298" s="112" t="s">
        <v>1097</v>
      </c>
      <c r="C298" s="113">
        <v>2019</v>
      </c>
      <c r="D298" s="114">
        <v>2.45802519857573</v>
      </c>
    </row>
    <row r="299" ht="15.75" customHeight="1" spans="1:4">
      <c r="A299" s="4" t="s">
        <v>1104</v>
      </c>
      <c r="B299" s="112" t="s">
        <v>1097</v>
      </c>
      <c r="C299" s="113">
        <v>2019</v>
      </c>
      <c r="D299" s="114">
        <v>15.7749703256274</v>
      </c>
    </row>
    <row r="300" ht="15.75" customHeight="1" spans="1:4">
      <c r="A300" s="4" t="s">
        <v>1065</v>
      </c>
      <c r="B300" s="112" t="s">
        <v>1097</v>
      </c>
      <c r="C300" s="113">
        <v>2019</v>
      </c>
      <c r="D300" s="114">
        <v>11.3642212301435</v>
      </c>
    </row>
    <row r="301" ht="15.75" customHeight="1" spans="1:4">
      <c r="A301" s="4" t="s">
        <v>1105</v>
      </c>
      <c r="B301" s="112" t="s">
        <v>1097</v>
      </c>
      <c r="C301" s="113">
        <v>2019</v>
      </c>
      <c r="D301" s="114">
        <v>20.4266545747752</v>
      </c>
    </row>
    <row r="302" ht="15.75" customHeight="1" spans="1:4">
      <c r="A302" s="4" t="s">
        <v>1066</v>
      </c>
      <c r="B302" s="112" t="s">
        <v>1097</v>
      </c>
      <c r="C302" s="113">
        <v>2019</v>
      </c>
      <c r="D302" s="114">
        <v>14.715274690714</v>
      </c>
    </row>
    <row r="303" ht="15.75" customHeight="1" spans="1:4">
      <c r="A303" s="4" t="s">
        <v>1106</v>
      </c>
      <c r="B303" s="6" t="s">
        <v>1107</v>
      </c>
      <c r="C303" s="113">
        <v>2019</v>
      </c>
      <c r="D303" s="114">
        <v>15.2021891152326</v>
      </c>
    </row>
    <row r="304" ht="15.75" customHeight="1" spans="1:4">
      <c r="A304" s="4" t="s">
        <v>1108</v>
      </c>
      <c r="B304" s="6" t="s">
        <v>1107</v>
      </c>
      <c r="C304" s="113">
        <v>2019</v>
      </c>
      <c r="D304" s="114">
        <v>4.75556400989157</v>
      </c>
    </row>
    <row r="305" ht="15.75" customHeight="1" spans="1:4">
      <c r="A305" s="4" t="s">
        <v>1109</v>
      </c>
      <c r="B305" s="6" t="s">
        <v>1107</v>
      </c>
      <c r="C305" s="113">
        <v>2019</v>
      </c>
      <c r="D305" s="114">
        <v>5.291285253188</v>
      </c>
    </row>
    <row r="306" ht="15.75" customHeight="1" spans="1:4">
      <c r="A306" s="4" t="s">
        <v>1110</v>
      </c>
      <c r="B306" s="6" t="s">
        <v>1107</v>
      </c>
      <c r="C306" s="113">
        <v>2019</v>
      </c>
      <c r="D306" s="114">
        <v>3.4299434059338</v>
      </c>
    </row>
    <row r="307" ht="15.75" customHeight="1" spans="1:4">
      <c r="A307" s="4" t="s">
        <v>1111</v>
      </c>
      <c r="B307" s="6" t="s">
        <v>1107</v>
      </c>
      <c r="C307" s="113">
        <v>2019</v>
      </c>
      <c r="D307" s="114">
        <v>2.51939937518895</v>
      </c>
    </row>
    <row r="308" ht="15.75" customHeight="1" spans="1:4">
      <c r="A308" s="4" t="s">
        <v>1112</v>
      </c>
      <c r="B308" s="6" t="s">
        <v>1107</v>
      </c>
      <c r="C308" s="113">
        <v>2019</v>
      </c>
      <c r="D308" s="114">
        <v>2.83446712018141</v>
      </c>
    </row>
    <row r="309" ht="15.75" customHeight="1" spans="1:4">
      <c r="A309" s="4" t="s">
        <v>1113</v>
      </c>
      <c r="B309" s="6" t="s">
        <v>1107</v>
      </c>
      <c r="C309" s="113">
        <v>2019</v>
      </c>
      <c r="D309" s="114">
        <v>12.6103404791929</v>
      </c>
    </row>
    <row r="310" ht="15.75" customHeight="1" spans="1:4">
      <c r="A310" s="4" t="s">
        <v>1096</v>
      </c>
      <c r="B310" s="112" t="s">
        <v>1097</v>
      </c>
      <c r="C310" s="113">
        <v>2020</v>
      </c>
      <c r="D310" s="114">
        <v>12.5710287731725</v>
      </c>
    </row>
    <row r="311" ht="15.75" customHeight="1" spans="1:4">
      <c r="A311" s="4" t="s">
        <v>1059</v>
      </c>
      <c r="B311" s="112" t="s">
        <v>1097</v>
      </c>
      <c r="C311" s="113">
        <v>2020</v>
      </c>
      <c r="D311" s="114"/>
    </row>
    <row r="312" ht="15.75" customHeight="1" spans="1:4">
      <c r="A312" s="4" t="s">
        <v>1098</v>
      </c>
      <c r="B312" s="112" t="s">
        <v>1097</v>
      </c>
      <c r="C312" s="113">
        <v>2020</v>
      </c>
      <c r="D312" s="114">
        <v>14.754326917349</v>
      </c>
    </row>
    <row r="313" ht="15.75" customHeight="1" spans="1:4">
      <c r="A313" s="4" t="s">
        <v>1061</v>
      </c>
      <c r="B313" s="112" t="s">
        <v>1097</v>
      </c>
      <c r="C313" s="113">
        <v>2020</v>
      </c>
      <c r="D313" s="114">
        <v>10.188043799555</v>
      </c>
    </row>
    <row r="314" ht="15.75" customHeight="1" spans="1:4">
      <c r="A314" s="4" t="s">
        <v>1091</v>
      </c>
      <c r="B314" s="112" t="s">
        <v>1099</v>
      </c>
      <c r="C314" s="113">
        <v>2020</v>
      </c>
      <c r="D314" s="114">
        <v>12</v>
      </c>
    </row>
    <row r="315" ht="15.75" customHeight="1" spans="1:4">
      <c r="A315" s="4" t="s">
        <v>1068</v>
      </c>
      <c r="B315" s="112" t="s">
        <v>1099</v>
      </c>
      <c r="C315" s="113">
        <v>2020</v>
      </c>
      <c r="D315" s="114">
        <v>12</v>
      </c>
    </row>
    <row r="316" ht="15.75" customHeight="1" spans="1:4">
      <c r="A316" s="4" t="s">
        <v>1100</v>
      </c>
      <c r="B316" s="112" t="s">
        <v>1097</v>
      </c>
      <c r="C316" s="113">
        <v>2020</v>
      </c>
      <c r="D316" s="114">
        <v>50.9205491346434</v>
      </c>
    </row>
    <row r="317" ht="15.75" customHeight="1" spans="1:4">
      <c r="A317" s="4" t="s">
        <v>1101</v>
      </c>
      <c r="B317" s="112" t="s">
        <v>1097</v>
      </c>
      <c r="C317" s="113">
        <v>2020</v>
      </c>
      <c r="D317" s="114">
        <v>50.8009946005103</v>
      </c>
    </row>
    <row r="318" ht="15.75" customHeight="1" spans="1:4">
      <c r="A318" s="4" t="s">
        <v>1062</v>
      </c>
      <c r="B318" s="112" t="s">
        <v>1097</v>
      </c>
      <c r="C318" s="113">
        <v>2020</v>
      </c>
      <c r="D318" s="114">
        <v>35.3966137256997</v>
      </c>
    </row>
    <row r="319" ht="15.75" customHeight="1" spans="1:4">
      <c r="A319" s="4" t="s">
        <v>1102</v>
      </c>
      <c r="B319" s="112" t="s">
        <v>1097</v>
      </c>
      <c r="C319" s="113">
        <v>2020</v>
      </c>
      <c r="D319" s="114">
        <v>14.0695480740642</v>
      </c>
    </row>
    <row r="320" ht="15.75" customHeight="1" spans="1:4">
      <c r="A320" s="4" t="s">
        <v>1063</v>
      </c>
      <c r="B320" s="112" t="s">
        <v>1097</v>
      </c>
      <c r="C320" s="113">
        <v>2020</v>
      </c>
      <c r="D320" s="114"/>
    </row>
    <row r="321" ht="15.75" customHeight="1" spans="1:4">
      <c r="A321" s="4" t="s">
        <v>1103</v>
      </c>
      <c r="B321" s="112" t="s">
        <v>1097</v>
      </c>
      <c r="C321" s="113">
        <v>2020</v>
      </c>
      <c r="D321" s="114">
        <v>11.4692506660536</v>
      </c>
    </row>
    <row r="322" ht="15.75" customHeight="1" spans="1:4">
      <c r="A322" s="4" t="s">
        <v>1064</v>
      </c>
      <c r="B322" s="112" t="s">
        <v>1097</v>
      </c>
      <c r="C322" s="113">
        <v>2020</v>
      </c>
      <c r="D322" s="114">
        <v>7.98541706072523</v>
      </c>
    </row>
    <row r="323" ht="15.75" customHeight="1" spans="1:4">
      <c r="A323" s="4" t="s">
        <v>1070</v>
      </c>
      <c r="B323" s="112" t="s">
        <v>1097</v>
      </c>
      <c r="C323" s="113">
        <v>2020</v>
      </c>
      <c r="D323" s="114">
        <v>11.3412895712505</v>
      </c>
    </row>
    <row r="324" ht="15.75" customHeight="1" spans="1:4">
      <c r="A324" s="4" t="s">
        <v>1071</v>
      </c>
      <c r="B324" s="112" t="s">
        <v>1097</v>
      </c>
      <c r="C324" s="113">
        <v>2020</v>
      </c>
      <c r="D324" s="114">
        <v>3.3</v>
      </c>
    </row>
    <row r="325" ht="15.75" customHeight="1" spans="1:4">
      <c r="A325" s="4" t="s">
        <v>1072</v>
      </c>
      <c r="B325" s="112" t="s">
        <v>1097</v>
      </c>
      <c r="C325" s="113">
        <v>2020</v>
      </c>
      <c r="D325" s="114">
        <v>3.4</v>
      </c>
    </row>
    <row r="326" ht="15.75" customHeight="1" spans="1:4">
      <c r="A326" s="4" t="s">
        <v>1073</v>
      </c>
      <c r="B326" s="112" t="s">
        <v>1097</v>
      </c>
      <c r="C326" s="113">
        <v>2020</v>
      </c>
      <c r="D326" s="114">
        <v>2.1</v>
      </c>
    </row>
    <row r="327" ht="15.75" customHeight="1" spans="1:4">
      <c r="A327" s="4" t="s">
        <v>1074</v>
      </c>
      <c r="B327" s="112" t="s">
        <v>1097</v>
      </c>
      <c r="C327" s="113">
        <v>2020</v>
      </c>
      <c r="D327" s="114">
        <v>5.1743956179729</v>
      </c>
    </row>
    <row r="328" ht="15.75" customHeight="1" spans="1:4">
      <c r="A328" s="4" t="s">
        <v>1075</v>
      </c>
      <c r="B328" s="112" t="s">
        <v>1097</v>
      </c>
      <c r="C328" s="113">
        <v>2020</v>
      </c>
      <c r="D328" s="114">
        <v>4.22353138919237</v>
      </c>
    </row>
    <row r="329" ht="15.75" customHeight="1" spans="1:4">
      <c r="A329" s="4" t="s">
        <v>1076</v>
      </c>
      <c r="B329" s="112" t="s">
        <v>1097</v>
      </c>
      <c r="C329" s="113">
        <v>2020</v>
      </c>
      <c r="D329" s="114">
        <v>2.57199737968024</v>
      </c>
    </row>
    <row r="330" ht="15.75" customHeight="1" spans="1:4">
      <c r="A330" s="4" t="s">
        <v>1077</v>
      </c>
      <c r="B330" s="112" t="s">
        <v>1097</v>
      </c>
      <c r="C330" s="113">
        <v>2020</v>
      </c>
      <c r="D330" s="114">
        <v>3.04002080888491</v>
      </c>
    </row>
    <row r="331" ht="15.75" customHeight="1" spans="1:4">
      <c r="A331" s="4" t="s">
        <v>1078</v>
      </c>
      <c r="B331" s="112" t="s">
        <v>1097</v>
      </c>
      <c r="C331" s="113">
        <v>2020</v>
      </c>
      <c r="D331" s="114">
        <v>3.27860703008794</v>
      </c>
    </row>
    <row r="332" ht="15.75" customHeight="1" spans="1:4">
      <c r="A332" s="4" t="s">
        <v>1079</v>
      </c>
      <c r="B332" s="112" t="s">
        <v>1097</v>
      </c>
      <c r="C332" s="113">
        <v>2020</v>
      </c>
      <c r="D332" s="114">
        <v>2.75383300272886</v>
      </c>
    </row>
    <row r="333" ht="15.75" customHeight="1" spans="1:4">
      <c r="A333" s="4" t="s">
        <v>1080</v>
      </c>
      <c r="B333" s="112" t="s">
        <v>1097</v>
      </c>
      <c r="C333" s="113">
        <v>2020</v>
      </c>
      <c r="D333" s="114">
        <v>2.77408065709144</v>
      </c>
    </row>
    <row r="334" ht="15.75" customHeight="1" spans="1:4">
      <c r="A334" s="4" t="s">
        <v>1081</v>
      </c>
      <c r="B334" s="112" t="s">
        <v>1097</v>
      </c>
      <c r="C334" s="113">
        <v>2020</v>
      </c>
      <c r="D334" s="114">
        <v>2.87847094941349</v>
      </c>
    </row>
    <row r="335" ht="15.75" customHeight="1" spans="1:4">
      <c r="A335" s="4" t="s">
        <v>1082</v>
      </c>
      <c r="B335" s="112" t="s">
        <v>1097</v>
      </c>
      <c r="C335" s="113">
        <v>2020</v>
      </c>
      <c r="D335" s="114">
        <v>4.32993296917271</v>
      </c>
    </row>
    <row r="336" ht="15.75" customHeight="1" spans="1:4">
      <c r="A336" s="4" t="s">
        <v>1083</v>
      </c>
      <c r="B336" s="112" t="s">
        <v>1097</v>
      </c>
      <c r="C336" s="113">
        <v>2020</v>
      </c>
      <c r="D336" s="114">
        <v>3.54663373323924</v>
      </c>
    </row>
    <row r="337" ht="15.75" customHeight="1" spans="1:4">
      <c r="A337" s="4" t="s">
        <v>1084</v>
      </c>
      <c r="B337" s="112" t="s">
        <v>1097</v>
      </c>
      <c r="C337" s="113">
        <v>2020</v>
      </c>
      <c r="D337" s="114">
        <v>2.15979337138142</v>
      </c>
    </row>
    <row r="338" ht="15.75" customHeight="1" spans="1:4">
      <c r="A338" s="4" t="s">
        <v>1085</v>
      </c>
      <c r="B338" s="112" t="s">
        <v>1097</v>
      </c>
      <c r="C338" s="113">
        <v>2020</v>
      </c>
      <c r="D338" s="114">
        <v>2.55274038705745</v>
      </c>
    </row>
    <row r="339" ht="15.75" customHeight="1" spans="1:4">
      <c r="A339" s="4" t="s">
        <v>1086</v>
      </c>
      <c r="B339" s="112" t="s">
        <v>1097</v>
      </c>
      <c r="C339" s="113">
        <v>2020</v>
      </c>
      <c r="D339" s="114">
        <v>2.83335588480707</v>
      </c>
    </row>
    <row r="340" ht="15.75" customHeight="1" spans="1:4">
      <c r="A340" s="4" t="s">
        <v>1087</v>
      </c>
      <c r="B340" s="112" t="s">
        <v>1097</v>
      </c>
      <c r="C340" s="113">
        <v>2020</v>
      </c>
      <c r="D340" s="114">
        <v>2.3798289562162</v>
      </c>
    </row>
    <row r="341" ht="15.75" customHeight="1" spans="1:4">
      <c r="A341" s="4" t="s">
        <v>1088</v>
      </c>
      <c r="B341" s="112" t="s">
        <v>1097</v>
      </c>
      <c r="C341" s="113">
        <v>2020</v>
      </c>
      <c r="D341" s="114">
        <v>2.39731150481315</v>
      </c>
    </row>
    <row r="342" ht="15.75" customHeight="1" spans="1:4">
      <c r="A342" s="4" t="s">
        <v>1089</v>
      </c>
      <c r="B342" s="112" t="s">
        <v>1097</v>
      </c>
      <c r="C342" s="113">
        <v>2020</v>
      </c>
      <c r="D342" s="114">
        <v>2.45802519857573</v>
      </c>
    </row>
    <row r="343" ht="15.75" customHeight="1" spans="1:4">
      <c r="A343" s="4" t="s">
        <v>1104</v>
      </c>
      <c r="B343" s="112" t="s">
        <v>1097</v>
      </c>
      <c r="C343" s="113">
        <v>2020</v>
      </c>
      <c r="D343" s="114">
        <v>15.7749703256274</v>
      </c>
    </row>
    <row r="344" ht="15.75" customHeight="1" spans="1:4">
      <c r="A344" s="4" t="s">
        <v>1065</v>
      </c>
      <c r="B344" s="112" t="s">
        <v>1097</v>
      </c>
      <c r="C344" s="113">
        <v>2020</v>
      </c>
      <c r="D344" s="114">
        <v>11.3642212301435</v>
      </c>
    </row>
    <row r="345" ht="15.75" customHeight="1" spans="1:4">
      <c r="A345" s="4" t="s">
        <v>1105</v>
      </c>
      <c r="B345" s="112" t="s">
        <v>1097</v>
      </c>
      <c r="C345" s="113">
        <v>2020</v>
      </c>
      <c r="D345" s="114">
        <v>20.4266545747752</v>
      </c>
    </row>
    <row r="346" ht="15.75" customHeight="1" spans="1:4">
      <c r="A346" s="4" t="s">
        <v>1066</v>
      </c>
      <c r="B346" s="112" t="s">
        <v>1097</v>
      </c>
      <c r="C346" s="113">
        <v>2020</v>
      </c>
      <c r="D346" s="114">
        <v>14.715274690714</v>
      </c>
    </row>
    <row r="347" ht="15.75" customHeight="1" spans="1:4">
      <c r="A347" s="4" t="s">
        <v>1106</v>
      </c>
      <c r="B347" s="6" t="s">
        <v>1107</v>
      </c>
      <c r="C347" s="113">
        <v>2020</v>
      </c>
      <c r="D347" s="114">
        <v>15.2021891152326</v>
      </c>
    </row>
    <row r="348" ht="15.75" customHeight="1" spans="1:4">
      <c r="A348" s="4" t="s">
        <v>1108</v>
      </c>
      <c r="B348" s="6" t="s">
        <v>1107</v>
      </c>
      <c r="C348" s="113">
        <v>2020</v>
      </c>
      <c r="D348" s="114">
        <v>4.75556400989157</v>
      </c>
    </row>
    <row r="349" ht="15.75" customHeight="1" spans="1:4">
      <c r="A349" s="4" t="s">
        <v>1109</v>
      </c>
      <c r="B349" s="6" t="s">
        <v>1107</v>
      </c>
      <c r="C349" s="113">
        <v>2020</v>
      </c>
      <c r="D349" s="114">
        <v>5.291285253188</v>
      </c>
    </row>
    <row r="350" ht="15.75" customHeight="1" spans="1:4">
      <c r="A350" s="4" t="s">
        <v>1110</v>
      </c>
      <c r="B350" s="6" t="s">
        <v>1107</v>
      </c>
      <c r="C350" s="113">
        <v>2020</v>
      </c>
      <c r="D350" s="114">
        <v>3.4299434059338</v>
      </c>
    </row>
    <row r="351" ht="15.75" customHeight="1" spans="1:4">
      <c r="A351" s="4" t="s">
        <v>1111</v>
      </c>
      <c r="B351" s="6" t="s">
        <v>1107</v>
      </c>
      <c r="C351" s="113">
        <v>2020</v>
      </c>
      <c r="D351" s="114">
        <v>2.51939937518895</v>
      </c>
    </row>
    <row r="352" ht="15.75" customHeight="1" spans="1:4">
      <c r="A352" s="4" t="s">
        <v>1112</v>
      </c>
      <c r="B352" s="6" t="s">
        <v>1107</v>
      </c>
      <c r="C352" s="113">
        <v>2020</v>
      </c>
      <c r="D352" s="114">
        <v>2.83446712018141</v>
      </c>
    </row>
    <row r="353" ht="15.75" customHeight="1" spans="1:4">
      <c r="A353" s="4" t="s">
        <v>1113</v>
      </c>
      <c r="B353" s="6" t="s">
        <v>1107</v>
      </c>
      <c r="C353" s="113">
        <v>2020</v>
      </c>
      <c r="D353" s="114">
        <v>12.6103404791929</v>
      </c>
    </row>
    <row r="354" ht="15.75" customHeight="1" spans="1:4">
      <c r="A354" s="4" t="s">
        <v>1096</v>
      </c>
      <c r="B354" s="112" t="s">
        <v>1097</v>
      </c>
      <c r="C354" s="113">
        <v>2021</v>
      </c>
      <c r="D354" s="114">
        <v>12.0145397704352</v>
      </c>
    </row>
    <row r="355" ht="15.75" customHeight="1" spans="1:4">
      <c r="A355" s="4" t="s">
        <v>1059</v>
      </c>
      <c r="B355" s="112" t="s">
        <v>1097</v>
      </c>
      <c r="C355" s="113">
        <v>2021</v>
      </c>
      <c r="D355" s="114"/>
    </row>
    <row r="356" ht="15.75" customHeight="1" spans="1:4">
      <c r="A356" s="4" t="s">
        <v>1098</v>
      </c>
      <c r="B356" s="112" t="s">
        <v>1097</v>
      </c>
      <c r="C356" s="113">
        <v>2021</v>
      </c>
      <c r="D356" s="114">
        <v>14.9906978672359</v>
      </c>
    </row>
    <row r="357" ht="15.75" customHeight="1" spans="1:4">
      <c r="A357" s="4" t="s">
        <v>1061</v>
      </c>
      <c r="B357" s="112" t="s">
        <v>1097</v>
      </c>
      <c r="C357" s="113">
        <v>2021</v>
      </c>
      <c r="D357" s="114">
        <v>10.3794210880692</v>
      </c>
    </row>
    <row r="358" ht="15.75" customHeight="1" spans="1:4">
      <c r="A358" s="4" t="s">
        <v>1091</v>
      </c>
      <c r="B358" s="112" t="s">
        <v>1099</v>
      </c>
      <c r="C358" s="113">
        <v>2021</v>
      </c>
      <c r="D358" s="114">
        <v>12</v>
      </c>
    </row>
    <row r="359" ht="15.75" customHeight="1" spans="1:4">
      <c r="A359" s="4" t="s">
        <v>1068</v>
      </c>
      <c r="B359" s="112" t="s">
        <v>1099</v>
      </c>
      <c r="C359" s="113">
        <v>2021</v>
      </c>
      <c r="D359" s="114">
        <v>12</v>
      </c>
    </row>
    <row r="360" ht="15.75" customHeight="1" spans="1:4">
      <c r="A360" s="4" t="s">
        <v>1100</v>
      </c>
      <c r="B360" s="112" t="s">
        <v>1097</v>
      </c>
      <c r="C360" s="113">
        <v>2021</v>
      </c>
      <c r="D360" s="114">
        <v>53.4373516304675</v>
      </c>
    </row>
    <row r="361" ht="15.75" customHeight="1" spans="1:4">
      <c r="A361" s="4" t="s">
        <v>1101</v>
      </c>
      <c r="B361" s="112" t="s">
        <v>1097</v>
      </c>
      <c r="C361" s="113">
        <v>2021</v>
      </c>
      <c r="D361" s="114">
        <v>52.8352580314001</v>
      </c>
    </row>
    <row r="362" ht="15.75" customHeight="1" spans="1:4">
      <c r="A362" s="4" t="s">
        <v>1062</v>
      </c>
      <c r="B362" s="112" t="s">
        <v>1097</v>
      </c>
      <c r="C362" s="113">
        <v>2021</v>
      </c>
      <c r="D362" s="114">
        <v>35.9849129514456</v>
      </c>
    </row>
    <row r="363" ht="15.75" customHeight="1" spans="1:4">
      <c r="A363" s="4" t="s">
        <v>1102</v>
      </c>
      <c r="B363" s="112" t="s">
        <v>1097</v>
      </c>
      <c r="C363" s="113">
        <v>2021</v>
      </c>
      <c r="D363" s="114">
        <v>11.9774475188322</v>
      </c>
    </row>
    <row r="364" ht="15.75" customHeight="1" spans="1:4">
      <c r="A364" s="4" t="s">
        <v>1063</v>
      </c>
      <c r="B364" s="112" t="s">
        <v>1097</v>
      </c>
      <c r="C364" s="113">
        <v>2021</v>
      </c>
      <c r="D364" s="114"/>
    </row>
    <row r="365" ht="15.75" customHeight="1" spans="1:4">
      <c r="A365" s="4" t="s">
        <v>1103</v>
      </c>
      <c r="B365" s="112" t="s">
        <v>1097</v>
      </c>
      <c r="C365" s="113">
        <v>2021</v>
      </c>
      <c r="D365" s="114">
        <v>12.148915533487</v>
      </c>
    </row>
    <row r="366" ht="15.75" customHeight="1" spans="1:4">
      <c r="A366" s="4" t="s">
        <v>1064</v>
      </c>
      <c r="B366" s="112" t="s">
        <v>1097</v>
      </c>
      <c r="C366" s="113">
        <v>2021</v>
      </c>
      <c r="D366" s="114">
        <v>9.35950903451528</v>
      </c>
    </row>
    <row r="367" ht="15.75" customHeight="1" spans="1:4">
      <c r="A367" s="4" t="s">
        <v>1070</v>
      </c>
      <c r="B367" s="112" t="s">
        <v>1097</v>
      </c>
      <c r="C367" s="113">
        <v>2021</v>
      </c>
      <c r="D367" s="114">
        <v>11.4727535505764</v>
      </c>
    </row>
    <row r="368" ht="15.75" customHeight="1" spans="1:4">
      <c r="A368" s="4" t="s">
        <v>1071</v>
      </c>
      <c r="B368" s="112" t="s">
        <v>1097</v>
      </c>
      <c r="C368" s="113">
        <v>2021</v>
      </c>
      <c r="D368" s="114">
        <v>3.3</v>
      </c>
    </row>
    <row r="369" ht="15.75" customHeight="1" spans="1:4">
      <c r="A369" s="4" t="s">
        <v>1072</v>
      </c>
      <c r="B369" s="112" t="s">
        <v>1097</v>
      </c>
      <c r="C369" s="113">
        <v>2021</v>
      </c>
      <c r="D369" s="114">
        <v>3.4</v>
      </c>
    </row>
    <row r="370" ht="15.75" customHeight="1" spans="1:4">
      <c r="A370" s="4" t="s">
        <v>1073</v>
      </c>
      <c r="B370" s="112" t="s">
        <v>1097</v>
      </c>
      <c r="C370" s="113">
        <v>2021</v>
      </c>
      <c r="D370" s="114">
        <v>2.1</v>
      </c>
    </row>
    <row r="371" ht="15.75" customHeight="1" spans="1:4">
      <c r="A371" s="4" t="s">
        <v>1074</v>
      </c>
      <c r="B371" s="112" t="s">
        <v>1097</v>
      </c>
      <c r="C371" s="113">
        <v>2021</v>
      </c>
      <c r="D371" s="114">
        <v>5.1743956179729</v>
      </c>
    </row>
    <row r="372" ht="15.75" customHeight="1" spans="1:4">
      <c r="A372" s="4" t="s">
        <v>1075</v>
      </c>
      <c r="B372" s="112" t="s">
        <v>1097</v>
      </c>
      <c r="C372" s="113">
        <v>2021</v>
      </c>
      <c r="D372" s="114">
        <v>4.22353138919237</v>
      </c>
    </row>
    <row r="373" ht="15.75" customHeight="1" spans="1:4">
      <c r="A373" s="4" t="s">
        <v>1076</v>
      </c>
      <c r="B373" s="112" t="s">
        <v>1097</v>
      </c>
      <c r="C373" s="113">
        <v>2021</v>
      </c>
      <c r="D373" s="114">
        <v>2.57199737968024</v>
      </c>
    </row>
    <row r="374" ht="15.75" customHeight="1" spans="1:4">
      <c r="A374" s="4" t="s">
        <v>1077</v>
      </c>
      <c r="B374" s="112" t="s">
        <v>1097</v>
      </c>
      <c r="C374" s="113">
        <v>2021</v>
      </c>
      <c r="D374" s="114">
        <v>3.04002080888491</v>
      </c>
    </row>
    <row r="375" ht="15.75" customHeight="1" spans="1:4">
      <c r="A375" s="4" t="s">
        <v>1078</v>
      </c>
      <c r="B375" s="112" t="s">
        <v>1097</v>
      </c>
      <c r="C375" s="113">
        <v>2021</v>
      </c>
      <c r="D375" s="114">
        <v>3.27860703008794</v>
      </c>
    </row>
    <row r="376" ht="15.75" customHeight="1" spans="1:4">
      <c r="A376" s="4" t="s">
        <v>1079</v>
      </c>
      <c r="B376" s="112" t="s">
        <v>1097</v>
      </c>
      <c r="C376" s="113">
        <v>2021</v>
      </c>
      <c r="D376" s="114">
        <v>2.75383300272886</v>
      </c>
    </row>
    <row r="377" ht="15.75" customHeight="1" spans="1:4">
      <c r="A377" s="4" t="s">
        <v>1080</v>
      </c>
      <c r="B377" s="112" t="s">
        <v>1097</v>
      </c>
      <c r="C377" s="113">
        <v>2021</v>
      </c>
      <c r="D377" s="114">
        <v>2.77408065709144</v>
      </c>
    </row>
    <row r="378" ht="15.75" customHeight="1" spans="1:4">
      <c r="A378" s="4" t="s">
        <v>1081</v>
      </c>
      <c r="B378" s="112" t="s">
        <v>1097</v>
      </c>
      <c r="C378" s="113">
        <v>2021</v>
      </c>
      <c r="D378" s="114">
        <v>2.87847094941349</v>
      </c>
    </row>
    <row r="379" ht="15.75" customHeight="1" spans="1:4">
      <c r="A379" s="4" t="s">
        <v>1082</v>
      </c>
      <c r="B379" s="112" t="s">
        <v>1097</v>
      </c>
      <c r="C379" s="113">
        <v>2021</v>
      </c>
      <c r="D379" s="114">
        <v>4.32993296917271</v>
      </c>
    </row>
    <row r="380" ht="15.75" customHeight="1" spans="1:4">
      <c r="A380" s="4" t="s">
        <v>1083</v>
      </c>
      <c r="B380" s="112" t="s">
        <v>1097</v>
      </c>
      <c r="C380" s="113">
        <v>2021</v>
      </c>
      <c r="D380" s="114">
        <v>3.54663373323924</v>
      </c>
    </row>
    <row r="381" ht="15.75" customHeight="1" spans="1:4">
      <c r="A381" s="4" t="s">
        <v>1084</v>
      </c>
      <c r="B381" s="112" t="s">
        <v>1097</v>
      </c>
      <c r="C381" s="113">
        <v>2021</v>
      </c>
      <c r="D381" s="114">
        <v>2.15979337138142</v>
      </c>
    </row>
    <row r="382" ht="15.75" customHeight="1" spans="1:4">
      <c r="A382" s="4" t="s">
        <v>1085</v>
      </c>
      <c r="B382" s="112" t="s">
        <v>1097</v>
      </c>
      <c r="C382" s="113">
        <v>2021</v>
      </c>
      <c r="D382" s="114">
        <v>2.55274038705745</v>
      </c>
    </row>
    <row r="383" ht="15.75" customHeight="1" spans="1:4">
      <c r="A383" s="4" t="s">
        <v>1086</v>
      </c>
      <c r="B383" s="112" t="s">
        <v>1097</v>
      </c>
      <c r="C383" s="113">
        <v>2021</v>
      </c>
      <c r="D383" s="114">
        <v>2.83335588480707</v>
      </c>
    </row>
    <row r="384" ht="15.75" customHeight="1" spans="1:4">
      <c r="A384" s="4" t="s">
        <v>1087</v>
      </c>
      <c r="B384" s="112" t="s">
        <v>1097</v>
      </c>
      <c r="C384" s="113">
        <v>2021</v>
      </c>
      <c r="D384" s="114">
        <v>2.3798289562162</v>
      </c>
    </row>
    <row r="385" ht="15.75" customHeight="1" spans="1:4">
      <c r="A385" s="4" t="s">
        <v>1088</v>
      </c>
      <c r="B385" s="112" t="s">
        <v>1097</v>
      </c>
      <c r="C385" s="113">
        <v>2021</v>
      </c>
      <c r="D385" s="114">
        <v>2.39731150481315</v>
      </c>
    </row>
    <row r="386" ht="15.75" customHeight="1" spans="1:4">
      <c r="A386" s="4" t="s">
        <v>1089</v>
      </c>
      <c r="B386" s="112" t="s">
        <v>1097</v>
      </c>
      <c r="C386" s="113">
        <v>2021</v>
      </c>
      <c r="D386" s="114">
        <v>2.45802519857573</v>
      </c>
    </row>
    <row r="387" ht="15.75" customHeight="1" spans="1:4">
      <c r="A387" s="4" t="s">
        <v>1104</v>
      </c>
      <c r="B387" s="112" t="s">
        <v>1097</v>
      </c>
      <c r="C387" s="113">
        <v>2021</v>
      </c>
      <c r="D387" s="114">
        <v>15.7749703256274</v>
      </c>
    </row>
    <row r="388" ht="15.75" customHeight="1" spans="1:4">
      <c r="A388" s="4" t="s">
        <v>1065</v>
      </c>
      <c r="B388" s="112" t="s">
        <v>1097</v>
      </c>
      <c r="C388" s="113">
        <v>2021</v>
      </c>
      <c r="D388" s="114">
        <v>11.3642212301435</v>
      </c>
    </row>
    <row r="389" ht="15.75" customHeight="1" spans="1:4">
      <c r="A389" s="4" t="s">
        <v>1105</v>
      </c>
      <c r="B389" s="112" t="s">
        <v>1097</v>
      </c>
      <c r="C389" s="113">
        <v>2021</v>
      </c>
      <c r="D389" s="114">
        <v>20.4266545747752</v>
      </c>
    </row>
    <row r="390" ht="15.75" customHeight="1" spans="1:4">
      <c r="A390" s="4" t="s">
        <v>1066</v>
      </c>
      <c r="B390" s="112" t="s">
        <v>1097</v>
      </c>
      <c r="C390" s="113">
        <v>2021</v>
      </c>
      <c r="D390" s="114">
        <v>14.715274690714</v>
      </c>
    </row>
    <row r="391" ht="15.75" customHeight="1" spans="1:4">
      <c r="A391" s="4" t="s">
        <v>1106</v>
      </c>
      <c r="B391" s="6" t="s">
        <v>1107</v>
      </c>
      <c r="C391" s="113">
        <v>2021</v>
      </c>
      <c r="D391" s="114">
        <v>15.2021891152326</v>
      </c>
    </row>
    <row r="392" ht="15.75" customHeight="1" spans="1:4">
      <c r="A392" s="4" t="s">
        <v>1108</v>
      </c>
      <c r="B392" s="6" t="s">
        <v>1107</v>
      </c>
      <c r="C392" s="113">
        <v>2021</v>
      </c>
      <c r="D392" s="114">
        <v>4.75556400989157</v>
      </c>
    </row>
    <row r="393" ht="15.75" customHeight="1" spans="1:4">
      <c r="A393" s="4" t="s">
        <v>1109</v>
      </c>
      <c r="B393" s="6" t="s">
        <v>1107</v>
      </c>
      <c r="C393" s="113">
        <v>2021</v>
      </c>
      <c r="D393" s="114">
        <v>5.291285253188</v>
      </c>
    </row>
    <row r="394" ht="15.75" customHeight="1" spans="1:4">
      <c r="A394" s="4" t="s">
        <v>1110</v>
      </c>
      <c r="B394" s="6" t="s">
        <v>1107</v>
      </c>
      <c r="C394" s="113">
        <v>2021</v>
      </c>
      <c r="D394" s="114">
        <v>3.4299434059338</v>
      </c>
    </row>
    <row r="395" ht="15.75" customHeight="1" spans="1:4">
      <c r="A395" s="4" t="s">
        <v>1111</v>
      </c>
      <c r="B395" s="6" t="s">
        <v>1107</v>
      </c>
      <c r="C395" s="113">
        <v>2021</v>
      </c>
      <c r="D395" s="114">
        <v>2.51939937518895</v>
      </c>
    </row>
    <row r="396" ht="15.75" customHeight="1" spans="1:4">
      <c r="A396" s="4" t="s">
        <v>1112</v>
      </c>
      <c r="B396" s="6" t="s">
        <v>1107</v>
      </c>
      <c r="C396" s="113">
        <v>2021</v>
      </c>
      <c r="D396" s="114">
        <v>2.83446712018141</v>
      </c>
    </row>
    <row r="397" ht="15.75" customHeight="1" spans="1:4">
      <c r="A397" s="4" t="s">
        <v>1113</v>
      </c>
      <c r="B397" s="6" t="s">
        <v>1107</v>
      </c>
      <c r="C397" s="113">
        <v>2021</v>
      </c>
      <c r="D397" s="114">
        <v>12.6103404791929</v>
      </c>
    </row>
    <row r="398" ht="15.75" customHeight="1" spans="1:4">
      <c r="A398" s="4" t="s">
        <v>1096</v>
      </c>
      <c r="B398" s="112" t="s">
        <v>1097</v>
      </c>
      <c r="C398" s="113">
        <v>2022</v>
      </c>
      <c r="D398" s="114">
        <v>9.85475637096774</v>
      </c>
    </row>
    <row r="399" ht="15.75" customHeight="1" spans="1:4">
      <c r="A399" s="4" t="s">
        <v>1059</v>
      </c>
      <c r="B399" s="112" t="s">
        <v>1097</v>
      </c>
      <c r="C399" s="113">
        <v>2022</v>
      </c>
      <c r="D399" s="114"/>
    </row>
    <row r="400" ht="15.75" customHeight="1" spans="1:4">
      <c r="A400" s="4" t="s">
        <v>1098</v>
      </c>
      <c r="B400" s="112" t="s">
        <v>1097</v>
      </c>
      <c r="C400" s="113">
        <v>2022</v>
      </c>
      <c r="D400" s="114">
        <v>15.3833573282529</v>
      </c>
    </row>
    <row r="401" ht="15.75" customHeight="1" spans="1:4">
      <c r="A401" s="4" t="s">
        <v>1061</v>
      </c>
      <c r="B401" s="112" t="s">
        <v>1097</v>
      </c>
      <c r="C401" s="113">
        <v>2022</v>
      </c>
      <c r="D401" s="114">
        <v>10.7706875403723</v>
      </c>
    </row>
    <row r="402" ht="15.75" customHeight="1" spans="1:4">
      <c r="A402" s="4" t="s">
        <v>1091</v>
      </c>
      <c r="B402" s="112" t="s">
        <v>1099</v>
      </c>
      <c r="C402" s="113">
        <v>2022</v>
      </c>
      <c r="D402" s="114">
        <v>12</v>
      </c>
    </row>
    <row r="403" ht="15.75" customHeight="1" spans="1:4">
      <c r="A403" s="4" t="s">
        <v>1068</v>
      </c>
      <c r="B403" s="112" t="s">
        <v>1099</v>
      </c>
      <c r="C403" s="113">
        <v>2022</v>
      </c>
      <c r="D403" s="114">
        <v>12</v>
      </c>
    </row>
    <row r="404" ht="15.75" customHeight="1" spans="1:4">
      <c r="A404" s="4" t="s">
        <v>1100</v>
      </c>
      <c r="B404" s="112" t="s">
        <v>1097</v>
      </c>
      <c r="C404" s="113">
        <v>2022</v>
      </c>
      <c r="D404" s="114">
        <v>57.0926612963667</v>
      </c>
    </row>
    <row r="405" ht="15.75" customHeight="1" spans="1:4">
      <c r="A405" s="4" t="s">
        <v>1101</v>
      </c>
      <c r="B405" s="112" t="s">
        <v>1097</v>
      </c>
      <c r="C405" s="113">
        <v>2022</v>
      </c>
      <c r="D405" s="114">
        <v>57.4780943637224</v>
      </c>
    </row>
    <row r="406" ht="15.75" customHeight="1" spans="1:4">
      <c r="A406" s="4" t="s">
        <v>1062</v>
      </c>
      <c r="B406" s="112" t="s">
        <v>1097</v>
      </c>
      <c r="C406" s="113">
        <v>2022</v>
      </c>
      <c r="D406" s="114">
        <v>38.3743471755212</v>
      </c>
    </row>
    <row r="407" ht="15.75" customHeight="1" spans="1:4">
      <c r="A407" s="4" t="s">
        <v>1102</v>
      </c>
      <c r="B407" s="112" t="s">
        <v>1097</v>
      </c>
      <c r="C407" s="113">
        <v>2022</v>
      </c>
      <c r="D407" s="114">
        <v>15.9909612706763</v>
      </c>
    </row>
    <row r="408" ht="15.75" customHeight="1" spans="1:4">
      <c r="A408" s="4" t="s">
        <v>1063</v>
      </c>
      <c r="B408" s="112" t="s">
        <v>1097</v>
      </c>
      <c r="C408" s="113">
        <v>2022</v>
      </c>
      <c r="D408" s="114"/>
    </row>
    <row r="409" ht="15.75" customHeight="1" spans="1:4">
      <c r="A409" s="4" t="s">
        <v>1103</v>
      </c>
      <c r="B409" s="112" t="s">
        <v>1097</v>
      </c>
      <c r="C409" s="113">
        <v>2022</v>
      </c>
      <c r="D409" s="114">
        <v>12.7903329254753</v>
      </c>
    </row>
    <row r="410" ht="15.75" customHeight="1" spans="1:4">
      <c r="A410" s="4" t="s">
        <v>1064</v>
      </c>
      <c r="B410" s="112" t="s">
        <v>1097</v>
      </c>
      <c r="C410" s="113">
        <v>2022</v>
      </c>
      <c r="D410" s="114">
        <v>9.23100302019715</v>
      </c>
    </row>
    <row r="411" ht="15.75" customHeight="1" spans="1:4">
      <c r="A411" s="4" t="s">
        <v>1070</v>
      </c>
      <c r="B411" s="112" t="s">
        <v>1097</v>
      </c>
      <c r="C411" s="113">
        <v>2022</v>
      </c>
      <c r="D411" s="114">
        <v>11.7103185693848</v>
      </c>
    </row>
    <row r="412" ht="15.75" customHeight="1" spans="1:4">
      <c r="A412" s="4" t="s">
        <v>1071</v>
      </c>
      <c r="B412" s="112" t="s">
        <v>1097</v>
      </c>
      <c r="C412" s="113">
        <v>2022</v>
      </c>
      <c r="D412" s="114">
        <v>3.3</v>
      </c>
    </row>
    <row r="413" ht="15.75" customHeight="1" spans="1:4">
      <c r="A413" s="4" t="s">
        <v>1072</v>
      </c>
      <c r="B413" s="112" t="s">
        <v>1097</v>
      </c>
      <c r="C413" s="113">
        <v>2022</v>
      </c>
      <c r="D413" s="114">
        <v>3.4</v>
      </c>
    </row>
    <row r="414" ht="15.75" customHeight="1" spans="1:4">
      <c r="A414" s="4" t="s">
        <v>1073</v>
      </c>
      <c r="B414" s="112" t="s">
        <v>1097</v>
      </c>
      <c r="C414" s="113">
        <v>2022</v>
      </c>
      <c r="D414" s="114">
        <v>2.1</v>
      </c>
    </row>
    <row r="415" ht="15.75" customHeight="1" spans="1:4">
      <c r="A415" s="4" t="s">
        <v>1074</v>
      </c>
      <c r="B415" s="112" t="s">
        <v>1097</v>
      </c>
      <c r="C415" s="113">
        <v>2022</v>
      </c>
      <c r="D415" s="114">
        <v>5.1743956179729</v>
      </c>
    </row>
    <row r="416" ht="15.75" customHeight="1" spans="1:4">
      <c r="A416" s="4" t="s">
        <v>1075</v>
      </c>
      <c r="B416" s="112" t="s">
        <v>1097</v>
      </c>
      <c r="C416" s="113">
        <v>2022</v>
      </c>
      <c r="D416" s="114">
        <v>4.22353138919237</v>
      </c>
    </row>
    <row r="417" ht="15.75" customHeight="1" spans="1:4">
      <c r="A417" s="4" t="s">
        <v>1076</v>
      </c>
      <c r="B417" s="112" t="s">
        <v>1097</v>
      </c>
      <c r="C417" s="113">
        <v>2022</v>
      </c>
      <c r="D417" s="114">
        <v>2.57199737968024</v>
      </c>
    </row>
    <row r="418" ht="15.75" customHeight="1" spans="1:4">
      <c r="A418" s="4" t="s">
        <v>1077</v>
      </c>
      <c r="B418" s="112" t="s">
        <v>1097</v>
      </c>
      <c r="C418" s="113">
        <v>2022</v>
      </c>
      <c r="D418" s="114">
        <v>3.04002080888491</v>
      </c>
    </row>
    <row r="419" ht="15.75" customHeight="1" spans="1:4">
      <c r="A419" s="4" t="s">
        <v>1078</v>
      </c>
      <c r="B419" s="112" t="s">
        <v>1097</v>
      </c>
      <c r="C419" s="113">
        <v>2022</v>
      </c>
      <c r="D419" s="114">
        <v>3.27860703008794</v>
      </c>
    </row>
    <row r="420" ht="15.75" customHeight="1" spans="1:4">
      <c r="A420" s="4" t="s">
        <v>1079</v>
      </c>
      <c r="B420" s="112" t="s">
        <v>1097</v>
      </c>
      <c r="C420" s="113">
        <v>2022</v>
      </c>
      <c r="D420" s="114">
        <v>2.75383300272886</v>
      </c>
    </row>
    <row r="421" ht="15.75" customHeight="1" spans="1:4">
      <c r="A421" s="4" t="s">
        <v>1080</v>
      </c>
      <c r="B421" s="112" t="s">
        <v>1097</v>
      </c>
      <c r="C421" s="113">
        <v>2022</v>
      </c>
      <c r="D421" s="114">
        <v>2.77408065709144</v>
      </c>
    </row>
    <row r="422" ht="15.75" customHeight="1" spans="1:4">
      <c r="A422" s="4" t="s">
        <v>1081</v>
      </c>
      <c r="B422" s="112" t="s">
        <v>1097</v>
      </c>
      <c r="C422" s="113">
        <v>2022</v>
      </c>
      <c r="D422" s="114">
        <v>2.87847094941349</v>
      </c>
    </row>
    <row r="423" ht="15.75" customHeight="1" spans="1:4">
      <c r="A423" s="4" t="s">
        <v>1082</v>
      </c>
      <c r="B423" s="112" t="s">
        <v>1097</v>
      </c>
      <c r="C423" s="113">
        <v>2022</v>
      </c>
      <c r="D423" s="114">
        <v>4.32993296917271</v>
      </c>
    </row>
    <row r="424" ht="15.75" customHeight="1" spans="1:4">
      <c r="A424" s="4" t="s">
        <v>1083</v>
      </c>
      <c r="B424" s="112" t="s">
        <v>1097</v>
      </c>
      <c r="C424" s="113">
        <v>2022</v>
      </c>
      <c r="D424" s="114">
        <v>3.54663373323924</v>
      </c>
    </row>
    <row r="425" ht="15.75" customHeight="1" spans="1:4">
      <c r="A425" s="4" t="s">
        <v>1084</v>
      </c>
      <c r="B425" s="112" t="s">
        <v>1097</v>
      </c>
      <c r="C425" s="113">
        <v>2022</v>
      </c>
      <c r="D425" s="114">
        <v>2.15979337138142</v>
      </c>
    </row>
    <row r="426" ht="15.75" customHeight="1" spans="1:4">
      <c r="A426" s="4" t="s">
        <v>1085</v>
      </c>
      <c r="B426" s="112" t="s">
        <v>1097</v>
      </c>
      <c r="C426" s="113">
        <v>2022</v>
      </c>
      <c r="D426" s="114">
        <v>2.55274038705745</v>
      </c>
    </row>
    <row r="427" ht="15.75" customHeight="1" spans="1:4">
      <c r="A427" s="4" t="s">
        <v>1086</v>
      </c>
      <c r="B427" s="112" t="s">
        <v>1097</v>
      </c>
      <c r="C427" s="113">
        <v>2022</v>
      </c>
      <c r="D427" s="114">
        <v>2.83335588480707</v>
      </c>
    </row>
    <row r="428" ht="15.75" customHeight="1" spans="1:4">
      <c r="A428" s="4" t="s">
        <v>1087</v>
      </c>
      <c r="B428" s="112" t="s">
        <v>1097</v>
      </c>
      <c r="C428" s="113">
        <v>2022</v>
      </c>
      <c r="D428" s="114">
        <v>2.3798289562162</v>
      </c>
    </row>
    <row r="429" ht="15.75" customHeight="1" spans="1:4">
      <c r="A429" s="4" t="s">
        <v>1088</v>
      </c>
      <c r="B429" s="112" t="s">
        <v>1097</v>
      </c>
      <c r="C429" s="113">
        <v>2022</v>
      </c>
      <c r="D429" s="114">
        <v>2.39731150481315</v>
      </c>
    </row>
    <row r="430" ht="15.75" customHeight="1" spans="1:4">
      <c r="A430" s="4" t="s">
        <v>1089</v>
      </c>
      <c r="B430" s="112" t="s">
        <v>1097</v>
      </c>
      <c r="C430" s="113">
        <v>2022</v>
      </c>
      <c r="D430" s="114">
        <v>2.45802519857573</v>
      </c>
    </row>
    <row r="431" ht="15.75" customHeight="1" spans="1:4">
      <c r="A431" s="4" t="s">
        <v>1104</v>
      </c>
      <c r="B431" s="112" t="s">
        <v>1097</v>
      </c>
      <c r="C431" s="113">
        <v>2022</v>
      </c>
      <c r="D431" s="114">
        <v>15.7749703256274</v>
      </c>
    </row>
    <row r="432" ht="15.75" customHeight="1" spans="1:4">
      <c r="A432" s="4" t="s">
        <v>1065</v>
      </c>
      <c r="B432" s="112" t="s">
        <v>1097</v>
      </c>
      <c r="C432" s="113">
        <v>2022</v>
      </c>
      <c r="D432" s="114">
        <v>11.3642212301435</v>
      </c>
    </row>
    <row r="433" ht="15.75" customHeight="1" spans="1:4">
      <c r="A433" s="4" t="s">
        <v>1105</v>
      </c>
      <c r="B433" s="112" t="s">
        <v>1097</v>
      </c>
      <c r="C433" s="113">
        <v>2022</v>
      </c>
      <c r="D433" s="114">
        <v>20.4266545747752</v>
      </c>
    </row>
    <row r="434" ht="15.75" customHeight="1" spans="1:4">
      <c r="A434" s="4" t="s">
        <v>1066</v>
      </c>
      <c r="B434" s="112" t="s">
        <v>1097</v>
      </c>
      <c r="C434" s="113">
        <v>2022</v>
      </c>
      <c r="D434" s="114">
        <v>14.715274690714</v>
      </c>
    </row>
    <row r="435" ht="15.75" customHeight="1" spans="1:4">
      <c r="A435" s="4" t="s">
        <v>1106</v>
      </c>
      <c r="B435" s="6" t="s">
        <v>1107</v>
      </c>
      <c r="C435" s="113">
        <v>2022</v>
      </c>
      <c r="D435" s="114">
        <v>15.2021891152326</v>
      </c>
    </row>
    <row r="436" ht="15.75" customHeight="1" spans="1:4">
      <c r="A436" s="4" t="s">
        <v>1108</v>
      </c>
      <c r="B436" s="6" t="s">
        <v>1107</v>
      </c>
      <c r="C436" s="113">
        <v>2022</v>
      </c>
      <c r="D436" s="114">
        <v>4.75556400989157</v>
      </c>
    </row>
    <row r="437" ht="15.75" customHeight="1" spans="1:4">
      <c r="A437" s="4" t="s">
        <v>1109</v>
      </c>
      <c r="B437" s="6" t="s">
        <v>1107</v>
      </c>
      <c r="C437" s="113">
        <v>2022</v>
      </c>
      <c r="D437" s="114">
        <v>5.291285253188</v>
      </c>
    </row>
    <row r="438" ht="15.75" customHeight="1" spans="1:4">
      <c r="A438" s="4" t="s">
        <v>1110</v>
      </c>
      <c r="B438" s="6" t="s">
        <v>1107</v>
      </c>
      <c r="C438" s="113">
        <v>2022</v>
      </c>
      <c r="D438" s="114">
        <v>3.4299434059338</v>
      </c>
    </row>
    <row r="439" ht="15.75" customHeight="1" spans="1:4">
      <c r="A439" s="4" t="s">
        <v>1111</v>
      </c>
      <c r="B439" s="6" t="s">
        <v>1107</v>
      </c>
      <c r="C439" s="113">
        <v>2022</v>
      </c>
      <c r="D439" s="114">
        <v>2.51939937518895</v>
      </c>
    </row>
    <row r="440" ht="15.75" customHeight="1" spans="1:4">
      <c r="A440" s="4" t="s">
        <v>1112</v>
      </c>
      <c r="B440" s="6" t="s">
        <v>1107</v>
      </c>
      <c r="C440" s="113">
        <v>2022</v>
      </c>
      <c r="D440" s="114">
        <v>2.83446712018141</v>
      </c>
    </row>
    <row r="441" ht="15.75" customHeight="1" spans="1:4">
      <c r="A441" s="4" t="s">
        <v>1113</v>
      </c>
      <c r="B441" s="6" t="s">
        <v>1107</v>
      </c>
      <c r="C441" s="113">
        <v>2022</v>
      </c>
      <c r="D441" s="114">
        <v>12.6103404791929</v>
      </c>
    </row>
    <row r="442" ht="15.75" customHeight="1" spans="1:4">
      <c r="A442" s="4" t="s">
        <v>1096</v>
      </c>
      <c r="B442" s="112" t="s">
        <v>1097</v>
      </c>
      <c r="C442" s="113">
        <v>2023</v>
      </c>
      <c r="D442" s="114">
        <v>14.9694402343958</v>
      </c>
    </row>
    <row r="443" ht="15.75" customHeight="1" spans="1:4">
      <c r="A443" s="4" t="s">
        <v>1059</v>
      </c>
      <c r="B443" s="112" t="s">
        <v>1097</v>
      </c>
      <c r="C443" s="113">
        <v>2023</v>
      </c>
      <c r="D443" s="114"/>
    </row>
    <row r="444" ht="15.75" customHeight="1" spans="1:4">
      <c r="A444" s="4" t="s">
        <v>1098</v>
      </c>
      <c r="B444" s="112" t="s">
        <v>1097</v>
      </c>
      <c r="C444" s="113">
        <v>2023</v>
      </c>
      <c r="D444" s="114">
        <v>14.7</v>
      </c>
    </row>
    <row r="445" ht="15.75" customHeight="1" spans="1:4">
      <c r="A445" s="4" t="s">
        <v>1061</v>
      </c>
      <c r="B445" s="112" t="s">
        <v>1097</v>
      </c>
      <c r="C445" s="113">
        <v>2023</v>
      </c>
      <c r="D445" s="114">
        <v>10.4</v>
      </c>
    </row>
    <row r="446" ht="15.75" customHeight="1" spans="1:4">
      <c r="A446" s="4" t="s">
        <v>1091</v>
      </c>
      <c r="B446" s="112" t="s">
        <v>1099</v>
      </c>
      <c r="C446" s="113">
        <v>2023</v>
      </c>
      <c r="D446" s="114">
        <v>12</v>
      </c>
    </row>
    <row r="447" ht="15.75" customHeight="1" spans="1:4">
      <c r="A447" s="4" t="s">
        <v>1068</v>
      </c>
      <c r="B447" s="112" t="s">
        <v>1099</v>
      </c>
      <c r="C447" s="113">
        <v>2023</v>
      </c>
      <c r="D447" s="114">
        <v>12</v>
      </c>
    </row>
    <row r="448" ht="15.75" customHeight="1" spans="1:4">
      <c r="A448" s="4" t="s">
        <v>1100</v>
      </c>
      <c r="B448" s="112" t="s">
        <v>1097</v>
      </c>
      <c r="C448" s="113">
        <v>2023</v>
      </c>
      <c r="D448" s="114">
        <v>56.4</v>
      </c>
    </row>
    <row r="449" ht="15.75" customHeight="1" spans="1:4">
      <c r="A449" s="4" t="s">
        <v>1101</v>
      </c>
      <c r="B449" s="112" t="s">
        <v>1097</v>
      </c>
      <c r="C449" s="113">
        <v>2023</v>
      </c>
      <c r="D449" s="114">
        <v>52.3</v>
      </c>
    </row>
    <row r="450" ht="15.75" customHeight="1" spans="1:4">
      <c r="A450" s="4" t="s">
        <v>1062</v>
      </c>
      <c r="B450" s="112" t="s">
        <v>1097</v>
      </c>
      <c r="C450" s="113">
        <v>2023</v>
      </c>
      <c r="D450" s="114">
        <v>35.5</v>
      </c>
    </row>
    <row r="451" ht="15.75" customHeight="1" spans="1:4">
      <c r="A451" s="4" t="s">
        <v>1102</v>
      </c>
      <c r="B451" s="112" t="s">
        <v>1097</v>
      </c>
      <c r="C451" s="113">
        <v>2023</v>
      </c>
      <c r="D451" s="114">
        <v>9.23546699421965</v>
      </c>
    </row>
    <row r="452" ht="15.75" customHeight="1" spans="1:4">
      <c r="A452" s="4" t="s">
        <v>1063</v>
      </c>
      <c r="B452" s="112" t="s">
        <v>1097</v>
      </c>
      <c r="C452" s="113">
        <v>2023</v>
      </c>
      <c r="D452" s="114"/>
    </row>
    <row r="453" ht="15.75" customHeight="1" spans="1:4">
      <c r="A453" s="4" t="s">
        <v>1103</v>
      </c>
      <c r="B453" s="112" t="s">
        <v>1097</v>
      </c>
      <c r="C453" s="113">
        <v>2023</v>
      </c>
      <c r="D453" s="114">
        <v>10.2802603929233</v>
      </c>
    </row>
    <row r="454" ht="15.75" customHeight="1" spans="1:4">
      <c r="A454" s="4" t="s">
        <v>1064</v>
      </c>
      <c r="B454" s="112" t="s">
        <v>1097</v>
      </c>
      <c r="C454" s="113">
        <v>2023</v>
      </c>
      <c r="D454" s="114">
        <v>7.448</v>
      </c>
    </row>
    <row r="455" ht="15.75" customHeight="1" spans="1:4">
      <c r="A455" s="4" t="s">
        <v>1070</v>
      </c>
      <c r="B455" s="112" t="s">
        <v>1097</v>
      </c>
      <c r="C455" s="113">
        <v>2023</v>
      </c>
      <c r="D455" s="114">
        <v>11.3</v>
      </c>
    </row>
    <row r="456" ht="15.75" customHeight="1" spans="1:4">
      <c r="A456" s="4" t="s">
        <v>1071</v>
      </c>
      <c r="B456" s="112" t="s">
        <v>1097</v>
      </c>
      <c r="C456" s="113">
        <v>2023</v>
      </c>
      <c r="D456" s="114">
        <v>3.3</v>
      </c>
    </row>
    <row r="457" ht="15.75" customHeight="1" spans="1:4">
      <c r="A457" s="4" t="s">
        <v>1072</v>
      </c>
      <c r="B457" s="112" t="s">
        <v>1097</v>
      </c>
      <c r="C457" s="113">
        <v>2023</v>
      </c>
      <c r="D457" s="114">
        <v>3.4</v>
      </c>
    </row>
    <row r="458" ht="15.75" customHeight="1" spans="1:4">
      <c r="A458" s="4" t="s">
        <v>1073</v>
      </c>
      <c r="B458" s="112" t="s">
        <v>1097</v>
      </c>
      <c r="C458" s="113">
        <v>2023</v>
      </c>
      <c r="D458" s="114">
        <v>2.1</v>
      </c>
    </row>
    <row r="459" ht="15.75" customHeight="1" spans="1:4">
      <c r="A459" s="4" t="s">
        <v>1074</v>
      </c>
      <c r="B459" s="112" t="s">
        <v>1097</v>
      </c>
      <c r="C459" s="113">
        <v>2023</v>
      </c>
      <c r="D459" s="114">
        <v>5.1743956179729</v>
      </c>
    </row>
    <row r="460" ht="15.75" customHeight="1" spans="1:4">
      <c r="A460" s="4" t="s">
        <v>1075</v>
      </c>
      <c r="B460" s="112" t="s">
        <v>1097</v>
      </c>
      <c r="C460" s="113">
        <v>2023</v>
      </c>
      <c r="D460" s="114">
        <v>4.22353138919237</v>
      </c>
    </row>
    <row r="461" ht="15.75" customHeight="1" spans="1:4">
      <c r="A461" s="4" t="s">
        <v>1076</v>
      </c>
      <c r="B461" s="112" t="s">
        <v>1097</v>
      </c>
      <c r="C461" s="113">
        <v>2023</v>
      </c>
      <c r="D461" s="114">
        <v>2.57199737968024</v>
      </c>
    </row>
    <row r="462" ht="15.75" customHeight="1" spans="1:4">
      <c r="A462" s="4" t="s">
        <v>1077</v>
      </c>
      <c r="B462" s="112" t="s">
        <v>1097</v>
      </c>
      <c r="C462" s="113">
        <v>2023</v>
      </c>
      <c r="D462" s="114">
        <v>3.04002080888491</v>
      </c>
    </row>
    <row r="463" ht="15.75" customHeight="1" spans="1:4">
      <c r="A463" s="4" t="s">
        <v>1078</v>
      </c>
      <c r="B463" s="112" t="s">
        <v>1097</v>
      </c>
      <c r="C463" s="113">
        <v>2023</v>
      </c>
      <c r="D463" s="114">
        <v>3.27860703008794</v>
      </c>
    </row>
    <row r="464" ht="15.75" customHeight="1" spans="1:4">
      <c r="A464" s="4" t="s">
        <v>1079</v>
      </c>
      <c r="B464" s="112" t="s">
        <v>1097</v>
      </c>
      <c r="C464" s="113">
        <v>2023</v>
      </c>
      <c r="D464" s="114">
        <v>2.75383300272886</v>
      </c>
    </row>
    <row r="465" ht="15.75" customHeight="1" spans="1:4">
      <c r="A465" s="4" t="s">
        <v>1080</v>
      </c>
      <c r="B465" s="112" t="s">
        <v>1097</v>
      </c>
      <c r="C465" s="113">
        <v>2023</v>
      </c>
      <c r="D465" s="114">
        <v>2.77408065709144</v>
      </c>
    </row>
    <row r="466" ht="15.75" customHeight="1" spans="1:4">
      <c r="A466" s="4" t="s">
        <v>1081</v>
      </c>
      <c r="B466" s="112" t="s">
        <v>1097</v>
      </c>
      <c r="C466" s="113">
        <v>2023</v>
      </c>
      <c r="D466" s="114">
        <v>2.87847094941349</v>
      </c>
    </row>
    <row r="467" ht="15.75" customHeight="1" spans="1:4">
      <c r="A467" s="4" t="s">
        <v>1082</v>
      </c>
      <c r="B467" s="112" t="s">
        <v>1097</v>
      </c>
      <c r="C467" s="113">
        <v>2023</v>
      </c>
      <c r="D467" s="114">
        <v>4.32993296917271</v>
      </c>
    </row>
    <row r="468" ht="15.75" customHeight="1" spans="1:4">
      <c r="A468" s="4" t="s">
        <v>1083</v>
      </c>
      <c r="B468" s="112" t="s">
        <v>1097</v>
      </c>
      <c r="C468" s="113">
        <v>2023</v>
      </c>
      <c r="D468" s="114">
        <v>3.54663373323924</v>
      </c>
    </row>
    <row r="469" ht="15.75" customHeight="1" spans="1:4">
      <c r="A469" s="4" t="s">
        <v>1084</v>
      </c>
      <c r="B469" s="112" t="s">
        <v>1097</v>
      </c>
      <c r="C469" s="113">
        <v>2023</v>
      </c>
      <c r="D469" s="114">
        <v>2.15979337138142</v>
      </c>
    </row>
    <row r="470" ht="15.75" customHeight="1" spans="1:4">
      <c r="A470" s="4" t="s">
        <v>1085</v>
      </c>
      <c r="B470" s="112" t="s">
        <v>1097</v>
      </c>
      <c r="C470" s="113">
        <v>2023</v>
      </c>
      <c r="D470" s="114">
        <v>2.55274038705745</v>
      </c>
    </row>
    <row r="471" ht="15.75" customHeight="1" spans="1:4">
      <c r="A471" s="4" t="s">
        <v>1086</v>
      </c>
      <c r="B471" s="112" t="s">
        <v>1097</v>
      </c>
      <c r="C471" s="113">
        <v>2023</v>
      </c>
      <c r="D471" s="114">
        <v>2.83335588480707</v>
      </c>
    </row>
    <row r="472" ht="15.75" customHeight="1" spans="1:4">
      <c r="A472" s="4" t="s">
        <v>1087</v>
      </c>
      <c r="B472" s="112" t="s">
        <v>1097</v>
      </c>
      <c r="C472" s="113">
        <v>2023</v>
      </c>
      <c r="D472" s="114">
        <v>2.3798289562162</v>
      </c>
    </row>
    <row r="473" ht="15.75" customHeight="1" spans="1:4">
      <c r="A473" s="4" t="s">
        <v>1088</v>
      </c>
      <c r="B473" s="112" t="s">
        <v>1097</v>
      </c>
      <c r="C473" s="113">
        <v>2023</v>
      </c>
      <c r="D473" s="114">
        <v>2.39731150481315</v>
      </c>
    </row>
    <row r="474" ht="15.75" customHeight="1" spans="1:4">
      <c r="A474" s="4" t="s">
        <v>1089</v>
      </c>
      <c r="B474" s="112" t="s">
        <v>1097</v>
      </c>
      <c r="C474" s="113">
        <v>2023</v>
      </c>
      <c r="D474" s="114">
        <v>2.45802519857573</v>
      </c>
    </row>
    <row r="475" ht="15.75" customHeight="1" spans="1:4">
      <c r="A475" s="4" t="s">
        <v>1104</v>
      </c>
      <c r="B475" s="112" t="s">
        <v>1097</v>
      </c>
      <c r="C475" s="113">
        <v>2023</v>
      </c>
      <c r="D475" s="114">
        <v>15.7749703256274</v>
      </c>
    </row>
    <row r="476" ht="15.75" customHeight="1" spans="1:4">
      <c r="A476" s="4" t="s">
        <v>1065</v>
      </c>
      <c r="B476" s="112" t="s">
        <v>1097</v>
      </c>
      <c r="C476" s="113">
        <v>2023</v>
      </c>
      <c r="D476" s="114">
        <v>11.3642212301435</v>
      </c>
    </row>
    <row r="477" ht="15.75" customHeight="1" spans="1:4">
      <c r="A477" s="4" t="s">
        <v>1105</v>
      </c>
      <c r="B477" s="112" t="s">
        <v>1097</v>
      </c>
      <c r="C477" s="113">
        <v>2023</v>
      </c>
      <c r="D477" s="114">
        <v>20.4266545747752</v>
      </c>
    </row>
    <row r="478" ht="15.75" customHeight="1" spans="1:4">
      <c r="A478" s="4" t="s">
        <v>1066</v>
      </c>
      <c r="B478" s="112" t="s">
        <v>1097</v>
      </c>
      <c r="C478" s="113">
        <v>2023</v>
      </c>
      <c r="D478" s="114">
        <v>14.715274690714</v>
      </c>
    </row>
    <row r="479" ht="15.75" customHeight="1" spans="1:4">
      <c r="A479" s="4" t="s">
        <v>1106</v>
      </c>
      <c r="B479" s="6" t="s">
        <v>1107</v>
      </c>
      <c r="C479" s="113">
        <v>2023</v>
      </c>
      <c r="D479" s="114">
        <v>15.2021891152326</v>
      </c>
    </row>
    <row r="480" ht="15.75" customHeight="1" spans="1:4">
      <c r="A480" s="4" t="s">
        <v>1108</v>
      </c>
      <c r="B480" s="6" t="s">
        <v>1107</v>
      </c>
      <c r="C480" s="113">
        <v>2023</v>
      </c>
      <c r="D480" s="114">
        <v>4.75556400989157</v>
      </c>
    </row>
    <row r="481" ht="15.75" customHeight="1" spans="1:4">
      <c r="A481" s="4" t="s">
        <v>1109</v>
      </c>
      <c r="B481" s="6" t="s">
        <v>1107</v>
      </c>
      <c r="C481" s="113">
        <v>2023</v>
      </c>
      <c r="D481" s="114">
        <v>5.291285253188</v>
      </c>
    </row>
    <row r="482" ht="15.75" customHeight="1" spans="1:4">
      <c r="A482" s="4" t="s">
        <v>1110</v>
      </c>
      <c r="B482" s="6" t="s">
        <v>1107</v>
      </c>
      <c r="C482" s="113">
        <v>2023</v>
      </c>
      <c r="D482" s="114">
        <v>3.4299434059338</v>
      </c>
    </row>
    <row r="483" ht="15.75" customHeight="1" spans="1:4">
      <c r="A483" s="4" t="s">
        <v>1111</v>
      </c>
      <c r="B483" s="6" t="s">
        <v>1107</v>
      </c>
      <c r="C483" s="113">
        <v>2023</v>
      </c>
      <c r="D483" s="114">
        <v>2.51939937518895</v>
      </c>
    </row>
    <row r="484" ht="15.75" customHeight="1" spans="1:4">
      <c r="A484" s="4" t="s">
        <v>1112</v>
      </c>
      <c r="B484" s="6" t="s">
        <v>1107</v>
      </c>
      <c r="C484" s="113">
        <v>2023</v>
      </c>
      <c r="D484" s="114">
        <v>2.83446712018141</v>
      </c>
    </row>
    <row r="485" ht="15.75" customHeight="1" spans="1:4">
      <c r="A485" s="4" t="s">
        <v>1113</v>
      </c>
      <c r="B485" s="6" t="s">
        <v>1107</v>
      </c>
      <c r="C485" s="113">
        <v>2023</v>
      </c>
      <c r="D485" s="114">
        <v>12.6103404791929</v>
      </c>
    </row>
    <row r="486" ht="15.75" customHeight="1" spans="1:4">
      <c r="A486" s="4" t="s">
        <v>1096</v>
      </c>
      <c r="B486" s="112" t="s">
        <v>1097</v>
      </c>
      <c r="C486" s="113">
        <v>2024</v>
      </c>
      <c r="D486" s="114">
        <v>14.9694402343958</v>
      </c>
    </row>
    <row r="487" ht="15.75" customHeight="1" spans="1:4">
      <c r="A487" s="4" t="s">
        <v>1059</v>
      </c>
      <c r="B487" s="112" t="s">
        <v>1097</v>
      </c>
      <c r="C487" s="113">
        <v>2024</v>
      </c>
      <c r="D487" s="114"/>
    </row>
    <row r="488" ht="15.75" customHeight="1" spans="1:4">
      <c r="A488" s="4" t="s">
        <v>1098</v>
      </c>
      <c r="B488" s="112" t="s">
        <v>1097</v>
      </c>
      <c r="C488" s="113">
        <v>2024</v>
      </c>
      <c r="D488" s="114">
        <v>14.7</v>
      </c>
    </row>
    <row r="489" ht="15.75" customHeight="1" spans="1:4">
      <c r="A489" s="4" t="s">
        <v>1061</v>
      </c>
      <c r="B489" s="112" t="s">
        <v>1097</v>
      </c>
      <c r="C489" s="113">
        <v>2024</v>
      </c>
      <c r="D489" s="114">
        <v>10.4</v>
      </c>
    </row>
    <row r="490" ht="15.75" customHeight="1" spans="1:4">
      <c r="A490" s="4" t="s">
        <v>1091</v>
      </c>
      <c r="B490" s="112" t="s">
        <v>1099</v>
      </c>
      <c r="C490" s="113">
        <v>2024</v>
      </c>
      <c r="D490" s="114">
        <v>12</v>
      </c>
    </row>
    <row r="491" ht="15.75" customHeight="1" spans="1:4">
      <c r="A491" s="4" t="s">
        <v>1068</v>
      </c>
      <c r="B491" s="112" t="s">
        <v>1099</v>
      </c>
      <c r="C491" s="113">
        <v>2024</v>
      </c>
      <c r="D491" s="114">
        <v>12</v>
      </c>
    </row>
    <row r="492" ht="15.75" customHeight="1" spans="1:4">
      <c r="A492" s="4" t="s">
        <v>1100</v>
      </c>
      <c r="B492" s="112" t="s">
        <v>1097</v>
      </c>
      <c r="C492" s="113">
        <v>2024</v>
      </c>
      <c r="D492" s="114">
        <v>56.4</v>
      </c>
    </row>
    <row r="493" ht="15.75" customHeight="1" spans="1:4">
      <c r="A493" s="4" t="s">
        <v>1101</v>
      </c>
      <c r="B493" s="112" t="s">
        <v>1097</v>
      </c>
      <c r="C493" s="113">
        <v>2024</v>
      </c>
      <c r="D493" s="114">
        <v>52.3</v>
      </c>
    </row>
    <row r="494" ht="15.75" customHeight="1" spans="1:4">
      <c r="A494" s="4" t="s">
        <v>1062</v>
      </c>
      <c r="B494" s="112" t="s">
        <v>1097</v>
      </c>
      <c r="C494" s="113">
        <v>2024</v>
      </c>
      <c r="D494" s="114">
        <v>35.5</v>
      </c>
    </row>
    <row r="495" ht="15.75" customHeight="1" spans="1:4">
      <c r="A495" s="4" t="s">
        <v>1102</v>
      </c>
      <c r="B495" s="112" t="s">
        <v>1097</v>
      </c>
      <c r="C495" s="113">
        <v>2024</v>
      </c>
      <c r="D495" s="114">
        <v>9.23546699421965</v>
      </c>
    </row>
    <row r="496" ht="15.75" customHeight="1" spans="1:4">
      <c r="A496" s="4" t="s">
        <v>1063</v>
      </c>
      <c r="B496" s="112" t="s">
        <v>1097</v>
      </c>
      <c r="C496" s="113">
        <v>2024</v>
      </c>
      <c r="D496" s="114"/>
    </row>
    <row r="497" ht="15.75" customHeight="1" spans="1:4">
      <c r="A497" s="4" t="s">
        <v>1103</v>
      </c>
      <c r="B497" s="112" t="s">
        <v>1097</v>
      </c>
      <c r="C497" s="113">
        <v>2024</v>
      </c>
      <c r="D497" s="114">
        <v>10.2802603929233</v>
      </c>
    </row>
    <row r="498" ht="15.75" customHeight="1" spans="1:4">
      <c r="A498" s="4" t="s">
        <v>1064</v>
      </c>
      <c r="B498" s="112" t="s">
        <v>1097</v>
      </c>
      <c r="C498" s="113">
        <v>2024</v>
      </c>
      <c r="D498" s="114">
        <v>7.448</v>
      </c>
    </row>
    <row r="499" ht="15.75" customHeight="1" spans="1:4">
      <c r="A499" s="4" t="s">
        <v>1070</v>
      </c>
      <c r="B499" s="112" t="s">
        <v>1097</v>
      </c>
      <c r="C499" s="113">
        <v>2024</v>
      </c>
      <c r="D499" s="114">
        <v>11.3</v>
      </c>
    </row>
    <row r="500" ht="15.75" customHeight="1" spans="1:4">
      <c r="A500" s="4" t="s">
        <v>1071</v>
      </c>
      <c r="B500" s="112" t="s">
        <v>1097</v>
      </c>
      <c r="C500" s="113">
        <v>2024</v>
      </c>
      <c r="D500" s="114">
        <v>3.3</v>
      </c>
    </row>
    <row r="501" ht="15.75" customHeight="1" spans="1:4">
      <c r="A501" s="4" t="s">
        <v>1072</v>
      </c>
      <c r="B501" s="112" t="s">
        <v>1097</v>
      </c>
      <c r="C501" s="113">
        <v>2024</v>
      </c>
      <c r="D501" s="114">
        <v>3.4</v>
      </c>
    </row>
    <row r="502" ht="15.75" customHeight="1" spans="1:4">
      <c r="A502" s="4" t="s">
        <v>1073</v>
      </c>
      <c r="B502" s="112" t="s">
        <v>1097</v>
      </c>
      <c r="C502" s="113">
        <v>2024</v>
      </c>
      <c r="D502" s="114">
        <v>2.1</v>
      </c>
    </row>
    <row r="503" ht="15.75" customHeight="1" spans="1:4">
      <c r="A503" s="4" t="s">
        <v>1074</v>
      </c>
      <c r="B503" s="112" t="s">
        <v>1097</v>
      </c>
      <c r="C503" s="113">
        <v>2024</v>
      </c>
      <c r="D503" s="114">
        <v>5.1743956179729</v>
      </c>
    </row>
    <row r="504" ht="15.75" customHeight="1" spans="1:4">
      <c r="A504" s="4" t="s">
        <v>1075</v>
      </c>
      <c r="B504" s="112" t="s">
        <v>1097</v>
      </c>
      <c r="C504" s="113">
        <v>2024</v>
      </c>
      <c r="D504" s="114">
        <v>4.22353138919237</v>
      </c>
    </row>
    <row r="505" ht="15.75" customHeight="1" spans="1:4">
      <c r="A505" s="4" t="s">
        <v>1076</v>
      </c>
      <c r="B505" s="112" t="s">
        <v>1097</v>
      </c>
      <c r="C505" s="113">
        <v>2024</v>
      </c>
      <c r="D505" s="114">
        <v>2.57199737968024</v>
      </c>
    </row>
    <row r="506" ht="15.75" customHeight="1" spans="1:4">
      <c r="A506" s="4" t="s">
        <v>1077</v>
      </c>
      <c r="B506" s="112" t="s">
        <v>1097</v>
      </c>
      <c r="C506" s="113">
        <v>2024</v>
      </c>
      <c r="D506" s="114">
        <v>3.04002080888491</v>
      </c>
    </row>
    <row r="507" ht="15.75" customHeight="1" spans="1:4">
      <c r="A507" s="4" t="s">
        <v>1078</v>
      </c>
      <c r="B507" s="112" t="s">
        <v>1097</v>
      </c>
      <c r="C507" s="113">
        <v>2024</v>
      </c>
      <c r="D507" s="114">
        <v>3.27860703008794</v>
      </c>
    </row>
    <row r="508" ht="15.75" customHeight="1" spans="1:4">
      <c r="A508" s="4" t="s">
        <v>1079</v>
      </c>
      <c r="B508" s="112" t="s">
        <v>1097</v>
      </c>
      <c r="C508" s="113">
        <v>2024</v>
      </c>
      <c r="D508" s="114">
        <v>2.75383300272886</v>
      </c>
    </row>
    <row r="509" ht="15.75" customHeight="1" spans="1:4">
      <c r="A509" s="4" t="s">
        <v>1080</v>
      </c>
      <c r="B509" s="112" t="s">
        <v>1097</v>
      </c>
      <c r="C509" s="113">
        <v>2024</v>
      </c>
      <c r="D509" s="114">
        <v>2.77408065709144</v>
      </c>
    </row>
    <row r="510" ht="15.75" customHeight="1" spans="1:4">
      <c r="A510" s="4" t="s">
        <v>1081</v>
      </c>
      <c r="B510" s="112" t="s">
        <v>1097</v>
      </c>
      <c r="C510" s="113">
        <v>2024</v>
      </c>
      <c r="D510" s="114">
        <v>2.87847094941349</v>
      </c>
    </row>
    <row r="511" ht="15.75" customHeight="1" spans="1:4">
      <c r="A511" s="4" t="s">
        <v>1082</v>
      </c>
      <c r="B511" s="112" t="s">
        <v>1097</v>
      </c>
      <c r="C511" s="113">
        <v>2024</v>
      </c>
      <c r="D511" s="114">
        <v>4.32993296917271</v>
      </c>
    </row>
    <row r="512" ht="15.75" customHeight="1" spans="1:4">
      <c r="A512" s="4" t="s">
        <v>1083</v>
      </c>
      <c r="B512" s="112" t="s">
        <v>1097</v>
      </c>
      <c r="C512" s="113">
        <v>2024</v>
      </c>
      <c r="D512" s="114">
        <v>3.54663373323924</v>
      </c>
    </row>
    <row r="513" ht="15.75" customHeight="1" spans="1:4">
      <c r="A513" s="4" t="s">
        <v>1084</v>
      </c>
      <c r="B513" s="112" t="s">
        <v>1097</v>
      </c>
      <c r="C513" s="113">
        <v>2024</v>
      </c>
      <c r="D513" s="114">
        <v>2.15979337138142</v>
      </c>
    </row>
    <row r="514" ht="15.75" customHeight="1" spans="1:4">
      <c r="A514" s="4" t="s">
        <v>1085</v>
      </c>
      <c r="B514" s="112" t="s">
        <v>1097</v>
      </c>
      <c r="C514" s="113">
        <v>2024</v>
      </c>
      <c r="D514" s="114">
        <v>2.55274038705745</v>
      </c>
    </row>
    <row r="515" ht="15.75" customHeight="1" spans="1:4">
      <c r="A515" s="4" t="s">
        <v>1086</v>
      </c>
      <c r="B515" s="112" t="s">
        <v>1097</v>
      </c>
      <c r="C515" s="113">
        <v>2024</v>
      </c>
      <c r="D515" s="114">
        <v>2.83335588480707</v>
      </c>
    </row>
    <row r="516" ht="15.75" customHeight="1" spans="1:4">
      <c r="A516" s="4" t="s">
        <v>1087</v>
      </c>
      <c r="B516" s="112" t="s">
        <v>1097</v>
      </c>
      <c r="C516" s="113">
        <v>2024</v>
      </c>
      <c r="D516" s="114">
        <v>2.3798289562162</v>
      </c>
    </row>
    <row r="517" ht="15.75" customHeight="1" spans="1:4">
      <c r="A517" s="4" t="s">
        <v>1088</v>
      </c>
      <c r="B517" s="112" t="s">
        <v>1097</v>
      </c>
      <c r="C517" s="113">
        <v>2024</v>
      </c>
      <c r="D517" s="114">
        <v>2.39731150481315</v>
      </c>
    </row>
    <row r="518" ht="15.75" customHeight="1" spans="1:4">
      <c r="A518" s="4" t="s">
        <v>1089</v>
      </c>
      <c r="B518" s="112" t="s">
        <v>1097</v>
      </c>
      <c r="C518" s="113">
        <v>2024</v>
      </c>
      <c r="D518" s="114">
        <v>2.45802519857573</v>
      </c>
    </row>
    <row r="519" ht="15.75" customHeight="1" spans="1:4">
      <c r="A519" s="4" t="s">
        <v>1104</v>
      </c>
      <c r="B519" s="112" t="s">
        <v>1097</v>
      </c>
      <c r="C519" s="113">
        <v>2024</v>
      </c>
      <c r="D519" s="114">
        <v>15.7749703256274</v>
      </c>
    </row>
    <row r="520" ht="15.75" customHeight="1" spans="1:4">
      <c r="A520" s="4" t="s">
        <v>1065</v>
      </c>
      <c r="B520" s="112" t="s">
        <v>1097</v>
      </c>
      <c r="C520" s="113">
        <v>2024</v>
      </c>
      <c r="D520" s="114">
        <v>11.3642212301435</v>
      </c>
    </row>
    <row r="521" ht="15.75" customHeight="1" spans="1:4">
      <c r="A521" s="4" t="s">
        <v>1105</v>
      </c>
      <c r="B521" s="112" t="s">
        <v>1097</v>
      </c>
      <c r="C521" s="113">
        <v>2024</v>
      </c>
      <c r="D521" s="114">
        <v>20.4266545747752</v>
      </c>
    </row>
    <row r="522" ht="15.75" customHeight="1" spans="1:4">
      <c r="A522" s="4" t="s">
        <v>1066</v>
      </c>
      <c r="B522" s="112" t="s">
        <v>1097</v>
      </c>
      <c r="C522" s="113">
        <v>2024</v>
      </c>
      <c r="D522" s="114">
        <v>14.715274690714</v>
      </c>
    </row>
    <row r="523" ht="15.75" customHeight="1" spans="1:4">
      <c r="A523" s="4" t="s">
        <v>1106</v>
      </c>
      <c r="B523" s="6" t="s">
        <v>1107</v>
      </c>
      <c r="C523" s="113">
        <v>2024</v>
      </c>
      <c r="D523" s="114">
        <v>15.2021891152326</v>
      </c>
    </row>
    <row r="524" ht="15.75" customHeight="1" spans="1:4">
      <c r="A524" s="4" t="s">
        <v>1108</v>
      </c>
      <c r="B524" s="6" t="s">
        <v>1107</v>
      </c>
      <c r="C524" s="113">
        <v>2024</v>
      </c>
      <c r="D524" s="114">
        <v>4.75556400989157</v>
      </c>
    </row>
    <row r="525" ht="15.75" customHeight="1" spans="1:4">
      <c r="A525" s="4" t="s">
        <v>1109</v>
      </c>
      <c r="B525" s="6" t="s">
        <v>1107</v>
      </c>
      <c r="C525" s="113">
        <v>2024</v>
      </c>
      <c r="D525" s="114">
        <v>5.291285253188</v>
      </c>
    </row>
    <row r="526" ht="15.75" customHeight="1" spans="1:4">
      <c r="A526" s="4" t="s">
        <v>1110</v>
      </c>
      <c r="B526" s="6" t="s">
        <v>1107</v>
      </c>
      <c r="C526" s="113">
        <v>2024</v>
      </c>
      <c r="D526" s="114">
        <v>3.4299434059338</v>
      </c>
    </row>
    <row r="527" ht="15.75" customHeight="1" spans="1:4">
      <c r="A527" s="4" t="s">
        <v>1111</v>
      </c>
      <c r="B527" s="6" t="s">
        <v>1107</v>
      </c>
      <c r="C527" s="113">
        <v>2024</v>
      </c>
      <c r="D527" s="114">
        <v>2.51939937518895</v>
      </c>
    </row>
    <row r="528" ht="15.75" customHeight="1" spans="1:4">
      <c r="A528" s="4" t="s">
        <v>1112</v>
      </c>
      <c r="B528" s="6" t="s">
        <v>1107</v>
      </c>
      <c r="C528" s="113">
        <v>2024</v>
      </c>
      <c r="D528" s="114">
        <v>2.83446712018141</v>
      </c>
    </row>
    <row r="529" ht="15.75" customHeight="1" spans="1:4">
      <c r="A529" s="4" t="s">
        <v>1113</v>
      </c>
      <c r="B529" s="6" t="s">
        <v>1107</v>
      </c>
      <c r="C529" s="113">
        <v>2024</v>
      </c>
      <c r="D529" s="114">
        <v>12.6103404791929</v>
      </c>
    </row>
    <row r="530" ht="15.75" customHeight="1" spans="1:4">
      <c r="A530" s="115"/>
      <c r="B530" s="115"/>
      <c r="C530" s="115"/>
      <c r="D530" s="116"/>
    </row>
    <row r="531" ht="15.75" customHeight="1" spans="1:4">
      <c r="A531" s="115"/>
      <c r="B531" s="115"/>
      <c r="C531" s="115"/>
      <c r="D531" s="116"/>
    </row>
    <row r="532" ht="15.75" customHeight="1" spans="1:4">
      <c r="A532" s="115"/>
      <c r="B532" s="115"/>
      <c r="C532" s="115"/>
      <c r="D532" s="116"/>
    </row>
    <row r="533" ht="15.75" customHeight="1" spans="1:4">
      <c r="A533" s="115"/>
      <c r="B533" s="115"/>
      <c r="C533" s="115"/>
      <c r="D533" s="116"/>
    </row>
    <row r="534" ht="15.75" customHeight="1" spans="1:4">
      <c r="A534" s="115"/>
      <c r="B534" s="115"/>
      <c r="C534" s="115"/>
      <c r="D534" s="116"/>
    </row>
    <row r="535" ht="15.75" customHeight="1" spans="1:4">
      <c r="A535" s="115"/>
      <c r="B535" s="115"/>
      <c r="C535" s="115"/>
      <c r="D535" s="116"/>
    </row>
    <row r="536" ht="15.75" customHeight="1" spans="1:4">
      <c r="A536" s="115"/>
      <c r="B536" s="115"/>
      <c r="C536" s="115"/>
      <c r="D536" s="116"/>
    </row>
    <row r="537" ht="15.75" customHeight="1" spans="1:4">
      <c r="A537" s="115"/>
      <c r="B537" s="115"/>
      <c r="C537" s="115"/>
      <c r="D537" s="116"/>
    </row>
    <row r="538" ht="15.75" customHeight="1" spans="1:4">
      <c r="A538" s="115"/>
      <c r="B538" s="115"/>
      <c r="C538" s="115"/>
      <c r="D538" s="116"/>
    </row>
    <row r="539" ht="15.75" customHeight="1" spans="1:4">
      <c r="A539" s="115"/>
      <c r="B539" s="115"/>
      <c r="C539" s="115"/>
      <c r="D539" s="116"/>
    </row>
    <row r="540" ht="15.75" customHeight="1" spans="1:4">
      <c r="A540" s="115"/>
      <c r="B540" s="115"/>
      <c r="C540" s="115"/>
      <c r="D540" s="116"/>
    </row>
    <row r="541" ht="15.75" customHeight="1" spans="1:4">
      <c r="A541" s="115"/>
      <c r="B541" s="115"/>
      <c r="C541" s="115"/>
      <c r="D541" s="116"/>
    </row>
    <row r="542" ht="15.75" customHeight="1" spans="1:4">
      <c r="A542" s="115"/>
      <c r="B542" s="115"/>
      <c r="C542" s="115"/>
      <c r="D542" s="116"/>
    </row>
    <row r="543" ht="15.75" customHeight="1" spans="1:4">
      <c r="A543" s="115"/>
      <c r="B543" s="115"/>
      <c r="C543" s="115"/>
      <c r="D543" s="116"/>
    </row>
    <row r="544" ht="15.75" customHeight="1" spans="1:4">
      <c r="A544" s="115"/>
      <c r="B544" s="115"/>
      <c r="C544" s="115"/>
      <c r="D544" s="116"/>
    </row>
    <row r="545" ht="15.75" customHeight="1" spans="1:4">
      <c r="A545" s="115"/>
      <c r="B545" s="115"/>
      <c r="C545" s="115"/>
      <c r="D545" s="116"/>
    </row>
    <row r="546" ht="15.75" customHeight="1" spans="1:4">
      <c r="A546" s="115"/>
      <c r="B546" s="115"/>
      <c r="C546" s="115"/>
      <c r="D546" s="116"/>
    </row>
    <row r="547" ht="15.75" customHeight="1" spans="1:4">
      <c r="A547" s="115"/>
      <c r="B547" s="115"/>
      <c r="C547" s="115"/>
      <c r="D547" s="116"/>
    </row>
    <row r="548" ht="15.75" customHeight="1" spans="1:4">
      <c r="A548" s="115"/>
      <c r="B548" s="115"/>
      <c r="C548" s="115"/>
      <c r="D548" s="116"/>
    </row>
    <row r="549" ht="15.75" customHeight="1" spans="1:4">
      <c r="A549" s="115"/>
      <c r="B549" s="115"/>
      <c r="C549" s="115"/>
      <c r="D549" s="116"/>
    </row>
    <row r="550" ht="15.75" customHeight="1" spans="1:4">
      <c r="A550" s="115"/>
      <c r="B550" s="115"/>
      <c r="C550" s="115"/>
      <c r="D550" s="116"/>
    </row>
    <row r="551" ht="15.75" customHeight="1" spans="1:4">
      <c r="A551" s="115"/>
      <c r="B551" s="115"/>
      <c r="C551" s="115"/>
      <c r="D551" s="116"/>
    </row>
    <row r="552" ht="15.75" customHeight="1" spans="1:4">
      <c r="A552" s="115"/>
      <c r="B552" s="115"/>
      <c r="C552" s="115"/>
      <c r="D552" s="116"/>
    </row>
    <row r="553" ht="15.75" customHeight="1" spans="1:4">
      <c r="A553" s="115"/>
      <c r="B553" s="115"/>
      <c r="C553" s="115"/>
      <c r="D553" s="116"/>
    </row>
    <row r="554" ht="15.75" customHeight="1" spans="1:4">
      <c r="A554" s="115"/>
      <c r="B554" s="115"/>
      <c r="C554" s="115"/>
      <c r="D554" s="116"/>
    </row>
    <row r="555" ht="15.75" customHeight="1" spans="1:4">
      <c r="A555" s="115"/>
      <c r="B555" s="115"/>
      <c r="C555" s="115"/>
      <c r="D555" s="116"/>
    </row>
    <row r="556" ht="15.75" customHeight="1" spans="1:4">
      <c r="A556" s="115"/>
      <c r="B556" s="115"/>
      <c r="C556" s="115"/>
      <c r="D556" s="116"/>
    </row>
    <row r="557" ht="15.75" customHeight="1" spans="1:4">
      <c r="A557" s="115"/>
      <c r="B557" s="115"/>
      <c r="C557" s="115"/>
      <c r="D557" s="116"/>
    </row>
    <row r="558" ht="15.75" customHeight="1" spans="1:4">
      <c r="A558" s="115"/>
      <c r="B558" s="115"/>
      <c r="C558" s="115"/>
      <c r="D558" s="116"/>
    </row>
    <row r="559" ht="15.75" customHeight="1" spans="1:4">
      <c r="A559" s="115"/>
      <c r="B559" s="115"/>
      <c r="C559" s="115"/>
      <c r="D559" s="116"/>
    </row>
    <row r="560" ht="15.75" customHeight="1" spans="1:4">
      <c r="A560" s="115"/>
      <c r="B560" s="115"/>
      <c r="C560" s="115"/>
      <c r="D560" s="116"/>
    </row>
    <row r="561" ht="15.75" customHeight="1" spans="1:4">
      <c r="A561" s="115"/>
      <c r="B561" s="115"/>
      <c r="C561" s="115"/>
      <c r="D561" s="116"/>
    </row>
    <row r="562" ht="15.75" customHeight="1" spans="1:4">
      <c r="A562" s="115"/>
      <c r="B562" s="115"/>
      <c r="C562" s="115"/>
      <c r="D562" s="116"/>
    </row>
    <row r="563" ht="15.75" customHeight="1" spans="1:4">
      <c r="A563" s="115"/>
      <c r="B563" s="115"/>
      <c r="C563" s="115"/>
      <c r="D563" s="116"/>
    </row>
    <row r="564" ht="15.75" customHeight="1" spans="1:4">
      <c r="A564" s="115"/>
      <c r="B564" s="115"/>
      <c r="C564" s="115"/>
      <c r="D564" s="116"/>
    </row>
    <row r="565" ht="15.75" customHeight="1" spans="1:4">
      <c r="A565" s="115"/>
      <c r="B565" s="115"/>
      <c r="C565" s="115"/>
      <c r="D565" s="116"/>
    </row>
    <row r="566" ht="15.75" customHeight="1" spans="1:4">
      <c r="A566" s="115"/>
      <c r="B566" s="115"/>
      <c r="C566" s="115"/>
      <c r="D566" s="116"/>
    </row>
    <row r="567" ht="15.75" customHeight="1" spans="1:4">
      <c r="A567" s="115"/>
      <c r="B567" s="115"/>
      <c r="C567" s="115"/>
      <c r="D567" s="116"/>
    </row>
    <row r="568" ht="15.75" customHeight="1" spans="1:4">
      <c r="A568" s="115"/>
      <c r="B568" s="115"/>
      <c r="C568" s="115"/>
      <c r="D568" s="116"/>
    </row>
    <row r="569" ht="15.75" customHeight="1" spans="1:4">
      <c r="A569" s="115"/>
      <c r="B569" s="115"/>
      <c r="C569" s="115"/>
      <c r="D569" s="116"/>
    </row>
    <row r="570" ht="15.75" customHeight="1" spans="1:4">
      <c r="A570" s="115"/>
      <c r="B570" s="115"/>
      <c r="C570" s="115"/>
      <c r="D570" s="116"/>
    </row>
    <row r="571" ht="15.75" customHeight="1" spans="1:4">
      <c r="A571" s="115"/>
      <c r="B571" s="115"/>
      <c r="C571" s="115"/>
      <c r="D571" s="116"/>
    </row>
    <row r="572" ht="15.75" customHeight="1" spans="1:4">
      <c r="A572" s="115"/>
      <c r="B572" s="115"/>
      <c r="C572" s="115"/>
      <c r="D572" s="116"/>
    </row>
    <row r="573" ht="15.75" customHeight="1" spans="1:4">
      <c r="A573" s="115"/>
      <c r="B573" s="115"/>
      <c r="C573" s="115"/>
      <c r="D573" s="116"/>
    </row>
    <row r="574" ht="15.75" customHeight="1" spans="1:4">
      <c r="A574" s="115"/>
      <c r="B574" s="115"/>
      <c r="C574" s="115"/>
      <c r="D574" s="116"/>
    </row>
    <row r="575" ht="15.75" customHeight="1" spans="1:4">
      <c r="A575" s="115"/>
      <c r="B575" s="115"/>
      <c r="C575" s="115"/>
      <c r="D575" s="116"/>
    </row>
    <row r="576" ht="15.75" customHeight="1" spans="1:4">
      <c r="A576" s="115"/>
      <c r="B576" s="115"/>
      <c r="C576" s="115"/>
      <c r="D576" s="116"/>
    </row>
    <row r="577" ht="15.75" customHeight="1" spans="1:4">
      <c r="A577" s="115"/>
      <c r="B577" s="115"/>
      <c r="C577" s="115"/>
      <c r="D577" s="116"/>
    </row>
    <row r="578" ht="15.75" customHeight="1" spans="1:4">
      <c r="A578" s="115"/>
      <c r="B578" s="115"/>
      <c r="C578" s="115"/>
      <c r="D578" s="116"/>
    </row>
    <row r="579" ht="15.75" customHeight="1" spans="1:4">
      <c r="A579" s="115"/>
      <c r="B579" s="115"/>
      <c r="C579" s="115"/>
      <c r="D579" s="116"/>
    </row>
    <row r="580" ht="15.75" customHeight="1" spans="1:4">
      <c r="A580" s="115"/>
      <c r="B580" s="115"/>
      <c r="C580" s="115"/>
      <c r="D580" s="116"/>
    </row>
    <row r="581" ht="15.75" customHeight="1" spans="1:4">
      <c r="A581" s="115"/>
      <c r="B581" s="115"/>
      <c r="C581" s="115"/>
      <c r="D581" s="116"/>
    </row>
    <row r="582" ht="15.75" customHeight="1" spans="1:4">
      <c r="A582" s="115"/>
      <c r="B582" s="115"/>
      <c r="C582" s="115"/>
      <c r="D582" s="116"/>
    </row>
    <row r="583" ht="15.75" customHeight="1" spans="1:4">
      <c r="A583" s="115"/>
      <c r="B583" s="115"/>
      <c r="C583" s="115"/>
      <c r="D583" s="116"/>
    </row>
    <row r="584" ht="15.75" customHeight="1" spans="1:4">
      <c r="A584" s="115"/>
      <c r="B584" s="115"/>
      <c r="C584" s="115"/>
      <c r="D584" s="116"/>
    </row>
    <row r="585" ht="15.75" customHeight="1" spans="1:4">
      <c r="A585" s="115"/>
      <c r="B585" s="115"/>
      <c r="C585" s="115"/>
      <c r="D585" s="116"/>
    </row>
    <row r="586" ht="15.75" customHeight="1" spans="1:4">
      <c r="A586" s="115"/>
      <c r="B586" s="115"/>
      <c r="C586" s="115"/>
      <c r="D586" s="116"/>
    </row>
    <row r="587" ht="15.75" customHeight="1" spans="1:4">
      <c r="A587" s="115"/>
      <c r="B587" s="115"/>
      <c r="C587" s="115"/>
      <c r="D587" s="116"/>
    </row>
    <row r="588" ht="15.75" customHeight="1" spans="1:4">
      <c r="A588" s="115"/>
      <c r="B588" s="115"/>
      <c r="C588" s="115"/>
      <c r="D588" s="116"/>
    </row>
    <row r="589" ht="15.75" customHeight="1" spans="1:4">
      <c r="A589" s="115"/>
      <c r="B589" s="115"/>
      <c r="C589" s="115"/>
      <c r="D589" s="116"/>
    </row>
    <row r="590" ht="15.75" customHeight="1" spans="1:4">
      <c r="A590" s="115"/>
      <c r="B590" s="115"/>
      <c r="C590" s="115"/>
      <c r="D590" s="116"/>
    </row>
    <row r="591" ht="15.75" customHeight="1" spans="1:4">
      <c r="A591" s="115"/>
      <c r="B591" s="115"/>
      <c r="C591" s="115"/>
      <c r="D591" s="116"/>
    </row>
    <row r="592" ht="15.75" customHeight="1" spans="1:4">
      <c r="A592" s="115"/>
      <c r="B592" s="115"/>
      <c r="C592" s="115"/>
      <c r="D592" s="116"/>
    </row>
    <row r="593" ht="15.75" customHeight="1" spans="1:4">
      <c r="A593" s="115"/>
      <c r="B593" s="115"/>
      <c r="C593" s="115"/>
      <c r="D593" s="116"/>
    </row>
    <row r="594" ht="15.75" customHeight="1" spans="1:4">
      <c r="A594" s="115"/>
      <c r="B594" s="115"/>
      <c r="C594" s="115"/>
      <c r="D594" s="116"/>
    </row>
    <row r="595" ht="15.75" customHeight="1" spans="1:4">
      <c r="A595" s="115"/>
      <c r="B595" s="115"/>
      <c r="C595" s="115"/>
      <c r="D595" s="116"/>
    </row>
    <row r="596" ht="15.75" customHeight="1" spans="1:4">
      <c r="A596" s="115"/>
      <c r="B596" s="115"/>
      <c r="C596" s="115"/>
      <c r="D596" s="116"/>
    </row>
    <row r="597" ht="15.75" customHeight="1" spans="1:4">
      <c r="A597" s="115"/>
      <c r="B597" s="115"/>
      <c r="C597" s="115"/>
      <c r="D597" s="116"/>
    </row>
    <row r="598" ht="15.75" customHeight="1" spans="1:4">
      <c r="A598" s="115"/>
      <c r="B598" s="115"/>
      <c r="C598" s="115"/>
      <c r="D598" s="116"/>
    </row>
    <row r="599" ht="15.75" customHeight="1" spans="1:4">
      <c r="A599" s="115"/>
      <c r="B599" s="115"/>
      <c r="C599" s="115"/>
      <c r="D599" s="116"/>
    </row>
    <row r="600" ht="15.75" customHeight="1" spans="1:4">
      <c r="A600" s="115"/>
      <c r="B600" s="115"/>
      <c r="C600" s="115"/>
      <c r="D600" s="116"/>
    </row>
    <row r="601" ht="15.75" customHeight="1" spans="1:4">
      <c r="A601" s="115"/>
      <c r="B601" s="115"/>
      <c r="C601" s="115"/>
      <c r="D601" s="116"/>
    </row>
    <row r="602" ht="15.75" customHeight="1" spans="1:4">
      <c r="A602" s="115"/>
      <c r="B602" s="115"/>
      <c r="C602" s="115"/>
      <c r="D602" s="116"/>
    </row>
    <row r="603" ht="15.75" customHeight="1" spans="1:4">
      <c r="A603" s="115"/>
      <c r="B603" s="115"/>
      <c r="C603" s="115"/>
      <c r="D603" s="116"/>
    </row>
    <row r="604" ht="15.75" customHeight="1" spans="1:4">
      <c r="A604" s="115"/>
      <c r="B604" s="115"/>
      <c r="C604" s="115"/>
      <c r="D604" s="116"/>
    </row>
    <row r="605" ht="15.75" customHeight="1" spans="1:4">
      <c r="A605" s="115"/>
      <c r="B605" s="115"/>
      <c r="C605" s="115"/>
      <c r="D605" s="116"/>
    </row>
    <row r="606" ht="15.75" customHeight="1" spans="1:4">
      <c r="A606" s="115"/>
      <c r="B606" s="115"/>
      <c r="C606" s="115"/>
      <c r="D606" s="116"/>
    </row>
    <row r="607" ht="15.75" customHeight="1" spans="1:4">
      <c r="A607" s="115"/>
      <c r="B607" s="115"/>
      <c r="C607" s="115"/>
      <c r="D607" s="116"/>
    </row>
    <row r="608" ht="15.75" customHeight="1" spans="1:4">
      <c r="A608" s="115"/>
      <c r="B608" s="115"/>
      <c r="C608" s="115"/>
      <c r="D608" s="116"/>
    </row>
    <row r="609" ht="15.75" customHeight="1" spans="1:4">
      <c r="A609" s="115"/>
      <c r="B609" s="115"/>
      <c r="C609" s="115"/>
      <c r="D609" s="116"/>
    </row>
    <row r="610" ht="15.75" customHeight="1" spans="1:4">
      <c r="A610" s="115"/>
      <c r="B610" s="115"/>
      <c r="C610" s="115"/>
      <c r="D610" s="116"/>
    </row>
    <row r="611" ht="15.75" customHeight="1" spans="1:4">
      <c r="A611" s="115"/>
      <c r="B611" s="115"/>
      <c r="C611" s="115"/>
      <c r="D611" s="116"/>
    </row>
    <row r="612" ht="15.75" customHeight="1" spans="1:4">
      <c r="A612" s="115"/>
      <c r="B612" s="115"/>
      <c r="C612" s="115"/>
      <c r="D612" s="116"/>
    </row>
    <row r="613" ht="15.75" customHeight="1" spans="1:4">
      <c r="A613" s="115"/>
      <c r="B613" s="115"/>
      <c r="C613" s="115"/>
      <c r="D613" s="116"/>
    </row>
    <row r="614" ht="15.75" customHeight="1" spans="1:4">
      <c r="A614" s="115"/>
      <c r="B614" s="115"/>
      <c r="C614" s="115"/>
      <c r="D614" s="116"/>
    </row>
    <row r="615" ht="15.75" customHeight="1" spans="1:4">
      <c r="A615" s="115"/>
      <c r="B615" s="115"/>
      <c r="C615" s="115"/>
      <c r="D615" s="116"/>
    </row>
    <row r="616" ht="15.75" customHeight="1" spans="1:4">
      <c r="A616" s="115"/>
      <c r="B616" s="115"/>
      <c r="C616" s="115"/>
      <c r="D616" s="116"/>
    </row>
    <row r="617" ht="15.75" customHeight="1" spans="1:4">
      <c r="A617" s="115"/>
      <c r="B617" s="115"/>
      <c r="C617" s="115"/>
      <c r="D617" s="116"/>
    </row>
    <row r="618" ht="15.75" customHeight="1" spans="1:4">
      <c r="A618" s="115"/>
      <c r="B618" s="115"/>
      <c r="C618" s="115"/>
      <c r="D618" s="116"/>
    </row>
    <row r="619" ht="15.75" customHeight="1" spans="1:4">
      <c r="A619" s="115"/>
      <c r="B619" s="115"/>
      <c r="C619" s="115"/>
      <c r="D619" s="116"/>
    </row>
    <row r="620" ht="15.75" customHeight="1" spans="1:4">
      <c r="A620" s="115"/>
      <c r="B620" s="115"/>
      <c r="C620" s="115"/>
      <c r="D620" s="116"/>
    </row>
    <row r="621" ht="15.75" customHeight="1" spans="1:4">
      <c r="A621" s="115"/>
      <c r="B621" s="115"/>
      <c r="C621" s="115"/>
      <c r="D621" s="116"/>
    </row>
    <row r="622" ht="15.75" customHeight="1" spans="1:4">
      <c r="A622" s="115"/>
      <c r="B622" s="115"/>
      <c r="C622" s="115"/>
      <c r="D622" s="116"/>
    </row>
    <row r="623" ht="15.75" customHeight="1" spans="1:4">
      <c r="A623" s="115"/>
      <c r="B623" s="115"/>
      <c r="C623" s="115"/>
      <c r="D623" s="116"/>
    </row>
    <row r="624" ht="15.75" customHeight="1" spans="1:4">
      <c r="A624" s="115"/>
      <c r="B624" s="115"/>
      <c r="C624" s="115"/>
      <c r="D624" s="116"/>
    </row>
    <row r="625" ht="15.75" customHeight="1" spans="1:4">
      <c r="A625" s="115"/>
      <c r="B625" s="115"/>
      <c r="C625" s="115"/>
      <c r="D625" s="116"/>
    </row>
    <row r="626" ht="15.75" customHeight="1" spans="1:4">
      <c r="A626" s="115"/>
      <c r="B626" s="115"/>
      <c r="C626" s="115"/>
      <c r="D626" s="116"/>
    </row>
    <row r="627" ht="15.75" customHeight="1" spans="1:4">
      <c r="A627" s="115"/>
      <c r="B627" s="115"/>
      <c r="C627" s="115"/>
      <c r="D627" s="116"/>
    </row>
    <row r="628" ht="15.75" customHeight="1" spans="1:4">
      <c r="A628" s="115"/>
      <c r="B628" s="115"/>
      <c r="C628" s="115"/>
      <c r="D628" s="116"/>
    </row>
    <row r="629" ht="15.75" customHeight="1" spans="1:4">
      <c r="A629" s="115"/>
      <c r="B629" s="115"/>
      <c r="C629" s="115"/>
      <c r="D629" s="116"/>
    </row>
    <row r="630" ht="15.75" customHeight="1" spans="1:4">
      <c r="A630" s="115"/>
      <c r="B630" s="115"/>
      <c r="C630" s="115"/>
      <c r="D630" s="116"/>
    </row>
    <row r="631" ht="15.75" customHeight="1" spans="1:4">
      <c r="A631" s="115"/>
      <c r="B631" s="115"/>
      <c r="C631" s="115"/>
      <c r="D631" s="116"/>
    </row>
    <row r="632" ht="15.75" customHeight="1" spans="1:4">
      <c r="A632" s="115"/>
      <c r="B632" s="115"/>
      <c r="C632" s="115"/>
      <c r="D632" s="116"/>
    </row>
    <row r="633" ht="15.75" customHeight="1" spans="1:4">
      <c r="A633" s="115"/>
      <c r="B633" s="115"/>
      <c r="C633" s="115"/>
      <c r="D633" s="116"/>
    </row>
    <row r="634" ht="15.75" customHeight="1" spans="1:4">
      <c r="A634" s="115"/>
      <c r="B634" s="115"/>
      <c r="C634" s="115"/>
      <c r="D634" s="116"/>
    </row>
    <row r="635" ht="15.75" customHeight="1" spans="1:4">
      <c r="A635" s="115"/>
      <c r="B635" s="115"/>
      <c r="C635" s="115"/>
      <c r="D635" s="116"/>
    </row>
    <row r="636" ht="15.75" customHeight="1" spans="1:4">
      <c r="A636" s="115"/>
      <c r="B636" s="115"/>
      <c r="C636" s="115"/>
      <c r="D636" s="116"/>
    </row>
    <row r="637" ht="15.75" customHeight="1" spans="1:4">
      <c r="A637" s="115"/>
      <c r="B637" s="115"/>
      <c r="C637" s="115"/>
      <c r="D637" s="116"/>
    </row>
    <row r="638" ht="15.75" customHeight="1" spans="1:4">
      <c r="A638" s="115"/>
      <c r="B638" s="115"/>
      <c r="C638" s="115"/>
      <c r="D638" s="116"/>
    </row>
    <row r="639" ht="15.75" customHeight="1" spans="1:4">
      <c r="A639" s="115"/>
      <c r="B639" s="115"/>
      <c r="C639" s="115"/>
      <c r="D639" s="116"/>
    </row>
    <row r="640" ht="15.75" customHeight="1" spans="1:4">
      <c r="A640" s="115"/>
      <c r="B640" s="115"/>
      <c r="C640" s="115"/>
      <c r="D640" s="116"/>
    </row>
    <row r="641" ht="15.75" customHeight="1" spans="1:4">
      <c r="A641" s="115"/>
      <c r="B641" s="115"/>
      <c r="C641" s="115"/>
      <c r="D641" s="116"/>
    </row>
    <row r="642" ht="15.75" customHeight="1" spans="1:4">
      <c r="A642" s="115"/>
      <c r="B642" s="115"/>
      <c r="C642" s="115"/>
      <c r="D642" s="116"/>
    </row>
    <row r="643" ht="15.75" customHeight="1" spans="1:4">
      <c r="A643" s="115"/>
      <c r="B643" s="115"/>
      <c r="C643" s="115"/>
      <c r="D643" s="116"/>
    </row>
    <row r="644" ht="15.75" customHeight="1" spans="1:4">
      <c r="A644" s="115"/>
      <c r="B644" s="115"/>
      <c r="C644" s="115"/>
      <c r="D644" s="116"/>
    </row>
    <row r="645" ht="15.75" customHeight="1" spans="1:4">
      <c r="A645" s="115"/>
      <c r="B645" s="115"/>
      <c r="C645" s="115"/>
      <c r="D645" s="116"/>
    </row>
    <row r="646" ht="15.75" customHeight="1" spans="1:4">
      <c r="A646" s="115"/>
      <c r="B646" s="115"/>
      <c r="C646" s="115"/>
      <c r="D646" s="116"/>
    </row>
    <row r="647" ht="15.75" customHeight="1" spans="1:4">
      <c r="A647" s="115"/>
      <c r="B647" s="115"/>
      <c r="C647" s="115"/>
      <c r="D647" s="116"/>
    </row>
    <row r="648" ht="15.75" customHeight="1" spans="1:4">
      <c r="A648" s="115"/>
      <c r="B648" s="115"/>
      <c r="C648" s="115"/>
      <c r="D648" s="116"/>
    </row>
    <row r="649" ht="15.75" customHeight="1" spans="1:4">
      <c r="A649" s="115"/>
      <c r="B649" s="115"/>
      <c r="C649" s="115"/>
      <c r="D649" s="116"/>
    </row>
    <row r="650" ht="15.75" customHeight="1" spans="1:4">
      <c r="A650" s="115"/>
      <c r="B650" s="115"/>
      <c r="C650" s="115"/>
      <c r="D650" s="116"/>
    </row>
    <row r="651" ht="15.75" customHeight="1" spans="1:4">
      <c r="A651" s="115"/>
      <c r="B651" s="115"/>
      <c r="C651" s="115"/>
      <c r="D651" s="116"/>
    </row>
    <row r="652" ht="15.75" customHeight="1" spans="1:4">
      <c r="A652" s="115"/>
      <c r="B652" s="115"/>
      <c r="C652" s="115"/>
      <c r="D652" s="116"/>
    </row>
    <row r="653" ht="15.75" customHeight="1" spans="1:4">
      <c r="A653" s="115"/>
      <c r="B653" s="115"/>
      <c r="C653" s="115"/>
      <c r="D653" s="116"/>
    </row>
    <row r="654" ht="15.75" customHeight="1" spans="1:4">
      <c r="A654" s="115"/>
      <c r="B654" s="115"/>
      <c r="C654" s="115"/>
      <c r="D654" s="116"/>
    </row>
    <row r="655" ht="15.75" customHeight="1" spans="1:4">
      <c r="A655" s="115"/>
      <c r="B655" s="115"/>
      <c r="C655" s="115"/>
      <c r="D655" s="116"/>
    </row>
    <row r="656" ht="15.75" customHeight="1" spans="1:4">
      <c r="A656" s="115"/>
      <c r="B656" s="115"/>
      <c r="C656" s="115"/>
      <c r="D656" s="116"/>
    </row>
    <row r="657" ht="15.75" customHeight="1" spans="1:4">
      <c r="A657" s="115"/>
      <c r="B657" s="115"/>
      <c r="C657" s="115"/>
      <c r="D657" s="116"/>
    </row>
    <row r="658" ht="15.75" customHeight="1" spans="1:4">
      <c r="A658" s="115"/>
      <c r="B658" s="115"/>
      <c r="C658" s="115"/>
      <c r="D658" s="116"/>
    </row>
    <row r="659" ht="15.75" customHeight="1" spans="1:4">
      <c r="A659" s="115"/>
      <c r="B659" s="115"/>
      <c r="C659" s="115"/>
      <c r="D659" s="116"/>
    </row>
    <row r="660" ht="15.75" customHeight="1" spans="1:4">
      <c r="A660" s="115"/>
      <c r="B660" s="115"/>
      <c r="C660" s="115"/>
      <c r="D660" s="116"/>
    </row>
    <row r="661" ht="15.75" customHeight="1" spans="1:4">
      <c r="A661" s="115"/>
      <c r="B661" s="115"/>
      <c r="C661" s="115"/>
      <c r="D661" s="116"/>
    </row>
    <row r="662" ht="15.75" customHeight="1" spans="1:4">
      <c r="A662" s="115"/>
      <c r="B662" s="115"/>
      <c r="C662" s="115"/>
      <c r="D662" s="116"/>
    </row>
    <row r="663" ht="15.75" customHeight="1" spans="1:4">
      <c r="A663" s="115"/>
      <c r="B663" s="115"/>
      <c r="C663" s="115"/>
      <c r="D663" s="116"/>
    </row>
    <row r="664" ht="15.75" customHeight="1" spans="1:4">
      <c r="A664" s="115"/>
      <c r="B664" s="115"/>
      <c r="C664" s="115"/>
      <c r="D664" s="116"/>
    </row>
    <row r="665" ht="15.75" customHeight="1" spans="1:4">
      <c r="A665" s="115"/>
      <c r="B665" s="115"/>
      <c r="C665" s="115"/>
      <c r="D665" s="116"/>
    </row>
    <row r="666" ht="15.75" customHeight="1" spans="1:4">
      <c r="A666" s="115"/>
      <c r="B666" s="115"/>
      <c r="C666" s="115"/>
      <c r="D666" s="116"/>
    </row>
    <row r="667" ht="15.75" customHeight="1" spans="1:4">
      <c r="A667" s="115"/>
      <c r="B667" s="115"/>
      <c r="C667" s="115"/>
      <c r="D667" s="116"/>
    </row>
    <row r="668" ht="15.75" customHeight="1" spans="1:4">
      <c r="A668" s="115"/>
      <c r="B668" s="115"/>
      <c r="C668" s="115"/>
      <c r="D668" s="116"/>
    </row>
    <row r="669" ht="15.75" customHeight="1" spans="1:4">
      <c r="A669" s="115"/>
      <c r="B669" s="115"/>
      <c r="C669" s="115"/>
      <c r="D669" s="116"/>
    </row>
    <row r="670" ht="15.75" customHeight="1" spans="1:4">
      <c r="A670" s="115"/>
      <c r="B670" s="115"/>
      <c r="C670" s="115"/>
      <c r="D670" s="116"/>
    </row>
    <row r="671" ht="15.75" customHeight="1" spans="1:4">
      <c r="A671" s="115"/>
      <c r="B671" s="115"/>
      <c r="C671" s="115"/>
      <c r="D671" s="116"/>
    </row>
    <row r="672" ht="15.75" customHeight="1" spans="1:4">
      <c r="A672" s="115"/>
      <c r="B672" s="115"/>
      <c r="C672" s="115"/>
      <c r="D672" s="116"/>
    </row>
    <row r="673" ht="15.75" customHeight="1" spans="1:4">
      <c r="A673" s="115"/>
      <c r="B673" s="115"/>
      <c r="C673" s="115"/>
      <c r="D673" s="116"/>
    </row>
    <row r="674" ht="15.75" customHeight="1" spans="1:4">
      <c r="A674" s="115"/>
      <c r="B674" s="115"/>
      <c r="C674" s="115"/>
      <c r="D674" s="116"/>
    </row>
    <row r="675" ht="15.75" customHeight="1" spans="1:4">
      <c r="A675" s="115"/>
      <c r="B675" s="115"/>
      <c r="C675" s="115"/>
      <c r="D675" s="116"/>
    </row>
    <row r="676" ht="15.75" customHeight="1" spans="1:4">
      <c r="A676" s="115"/>
      <c r="B676" s="115"/>
      <c r="C676" s="115"/>
      <c r="D676" s="116"/>
    </row>
    <row r="677" ht="15.75" customHeight="1" spans="1:4">
      <c r="A677" s="115"/>
      <c r="B677" s="115"/>
      <c r="C677" s="115"/>
      <c r="D677" s="116"/>
    </row>
    <row r="678" ht="15.75" customHeight="1" spans="1:4">
      <c r="A678" s="115"/>
      <c r="B678" s="115"/>
      <c r="C678" s="115"/>
      <c r="D678" s="116"/>
    </row>
    <row r="679" ht="15.75" customHeight="1" spans="1:4">
      <c r="A679" s="115"/>
      <c r="B679" s="115"/>
      <c r="C679" s="115"/>
      <c r="D679" s="116"/>
    </row>
    <row r="680" ht="15.75" customHeight="1" spans="1:4">
      <c r="A680" s="115"/>
      <c r="B680" s="115"/>
      <c r="C680" s="115"/>
      <c r="D680" s="116"/>
    </row>
    <row r="681" ht="15.75" customHeight="1" spans="1:4">
      <c r="A681" s="115"/>
      <c r="B681" s="115"/>
      <c r="C681" s="115"/>
      <c r="D681" s="116"/>
    </row>
    <row r="682" ht="15.75" customHeight="1" spans="1:4">
      <c r="A682" s="115"/>
      <c r="B682" s="115"/>
      <c r="C682" s="115"/>
      <c r="D682" s="116"/>
    </row>
    <row r="683" ht="15.75" customHeight="1" spans="1:4">
      <c r="A683" s="115"/>
      <c r="B683" s="115"/>
      <c r="C683" s="115"/>
      <c r="D683" s="116"/>
    </row>
    <row r="684" ht="15.75" customHeight="1" spans="1:4">
      <c r="A684" s="115"/>
      <c r="B684" s="115"/>
      <c r="C684" s="115"/>
      <c r="D684" s="116"/>
    </row>
    <row r="685" ht="15.75" customHeight="1" spans="1:4">
      <c r="A685" s="115"/>
      <c r="B685" s="115"/>
      <c r="C685" s="115"/>
      <c r="D685" s="116"/>
    </row>
    <row r="686" ht="15.75" customHeight="1" spans="1:4">
      <c r="A686" s="115"/>
      <c r="B686" s="115"/>
      <c r="C686" s="115"/>
      <c r="D686" s="116"/>
    </row>
    <row r="687" ht="15.75" customHeight="1" spans="1:4">
      <c r="A687" s="115"/>
      <c r="B687" s="115"/>
      <c r="C687" s="115"/>
      <c r="D687" s="116"/>
    </row>
    <row r="688" ht="15.75" customHeight="1" spans="1:4">
      <c r="A688" s="115"/>
      <c r="B688" s="115"/>
      <c r="C688" s="115"/>
      <c r="D688" s="116"/>
    </row>
    <row r="689" ht="15.75" customHeight="1" spans="1:4">
      <c r="A689" s="115"/>
      <c r="B689" s="115"/>
      <c r="C689" s="115"/>
      <c r="D689" s="116"/>
    </row>
    <row r="690" ht="15.75" customHeight="1" spans="1:4">
      <c r="A690" s="115"/>
      <c r="B690" s="115"/>
      <c r="C690" s="115"/>
      <c r="D690" s="116"/>
    </row>
    <row r="691" ht="15.75" customHeight="1" spans="1:4">
      <c r="A691" s="115"/>
      <c r="B691" s="115"/>
      <c r="C691" s="115"/>
      <c r="D691" s="116"/>
    </row>
    <row r="692" ht="15.75" customHeight="1" spans="1:4">
      <c r="A692" s="115"/>
      <c r="B692" s="115"/>
      <c r="C692" s="115"/>
      <c r="D692" s="116"/>
    </row>
    <row r="693" ht="15.75" customHeight="1" spans="1:4">
      <c r="A693" s="115"/>
      <c r="B693" s="115"/>
      <c r="C693" s="115"/>
      <c r="D693" s="116"/>
    </row>
    <row r="694" ht="15.75" customHeight="1" spans="1:4">
      <c r="A694" s="115"/>
      <c r="B694" s="115"/>
      <c r="C694" s="115"/>
      <c r="D694" s="116"/>
    </row>
    <row r="695" ht="15.75" customHeight="1" spans="1:4">
      <c r="A695" s="115"/>
      <c r="B695" s="115"/>
      <c r="C695" s="115"/>
      <c r="D695" s="116"/>
    </row>
    <row r="696" ht="15.75" customHeight="1" spans="1:4">
      <c r="A696" s="115"/>
      <c r="B696" s="115"/>
      <c r="C696" s="115"/>
      <c r="D696" s="116"/>
    </row>
    <row r="697" ht="15.75" customHeight="1" spans="1:4">
      <c r="A697" s="115"/>
      <c r="B697" s="115"/>
      <c r="C697" s="115"/>
      <c r="D697" s="116"/>
    </row>
    <row r="698" ht="15.75" customHeight="1" spans="1:4">
      <c r="A698" s="115"/>
      <c r="B698" s="115"/>
      <c r="C698" s="115"/>
      <c r="D698" s="116"/>
    </row>
    <row r="699" ht="15.75" customHeight="1" spans="1:4">
      <c r="A699" s="115"/>
      <c r="B699" s="115"/>
      <c r="C699" s="115"/>
      <c r="D699" s="116"/>
    </row>
    <row r="700" ht="15.75" customHeight="1" spans="1:4">
      <c r="A700" s="115"/>
      <c r="B700" s="115"/>
      <c r="C700" s="115"/>
      <c r="D700" s="116"/>
    </row>
    <row r="701" ht="15.75" customHeight="1" spans="1:4">
      <c r="A701" s="115"/>
      <c r="B701" s="115"/>
      <c r="C701" s="115"/>
      <c r="D701" s="116"/>
    </row>
    <row r="702" ht="15.75" customHeight="1" spans="1:4">
      <c r="A702" s="115"/>
      <c r="B702" s="115"/>
      <c r="C702" s="115"/>
      <c r="D702" s="116"/>
    </row>
    <row r="703" ht="15.75" customHeight="1" spans="1:4">
      <c r="A703" s="115"/>
      <c r="B703" s="115"/>
      <c r="C703" s="115"/>
      <c r="D703" s="116"/>
    </row>
    <row r="704" ht="15.75" customHeight="1" spans="1:4">
      <c r="A704" s="115"/>
      <c r="B704" s="115"/>
      <c r="C704" s="115"/>
      <c r="D704" s="116"/>
    </row>
    <row r="705" ht="15.75" customHeight="1" spans="1:4">
      <c r="A705" s="115"/>
      <c r="B705" s="115"/>
      <c r="C705" s="115"/>
      <c r="D705" s="116"/>
    </row>
    <row r="706" ht="15.75" customHeight="1" spans="1:4">
      <c r="A706" s="115"/>
      <c r="B706" s="115"/>
      <c r="C706" s="115"/>
      <c r="D706" s="116"/>
    </row>
    <row r="707" ht="15.75" customHeight="1" spans="1:4">
      <c r="A707" s="115"/>
      <c r="B707" s="115"/>
      <c r="C707" s="115"/>
      <c r="D707" s="116"/>
    </row>
    <row r="708" ht="15.75" customHeight="1" spans="1:4">
      <c r="A708" s="115"/>
      <c r="B708" s="115"/>
      <c r="C708" s="115"/>
      <c r="D708" s="116"/>
    </row>
    <row r="709" ht="15.75" customHeight="1" spans="1:4">
      <c r="A709" s="115"/>
      <c r="B709" s="115"/>
      <c r="C709" s="115"/>
      <c r="D709" s="116"/>
    </row>
    <row r="710" ht="15.75" customHeight="1" spans="1:4">
      <c r="A710" s="115"/>
      <c r="B710" s="115"/>
      <c r="C710" s="115"/>
      <c r="D710" s="116"/>
    </row>
    <row r="711" ht="15.75" customHeight="1" spans="1:4">
      <c r="A711" s="115"/>
      <c r="B711" s="115"/>
      <c r="C711" s="115"/>
      <c r="D711" s="116"/>
    </row>
    <row r="712" ht="15.75" customHeight="1" spans="1:4">
      <c r="A712" s="115"/>
      <c r="B712" s="115"/>
      <c r="C712" s="115"/>
      <c r="D712" s="116"/>
    </row>
    <row r="713" ht="15.75" customHeight="1" spans="1:4">
      <c r="A713" s="115"/>
      <c r="B713" s="115"/>
      <c r="C713" s="115"/>
      <c r="D713" s="116"/>
    </row>
    <row r="714" ht="15.75" customHeight="1" spans="1:4">
      <c r="A714" s="115"/>
      <c r="B714" s="115"/>
      <c r="C714" s="115"/>
      <c r="D714" s="116"/>
    </row>
    <row r="715" ht="15.75" customHeight="1" spans="1:4">
      <c r="A715" s="115"/>
      <c r="B715" s="115"/>
      <c r="C715" s="115"/>
      <c r="D715" s="116"/>
    </row>
    <row r="716" ht="15.75" customHeight="1" spans="1:4">
      <c r="A716" s="115"/>
      <c r="B716" s="115"/>
      <c r="C716" s="115"/>
      <c r="D716" s="116"/>
    </row>
    <row r="717" ht="15.75" customHeight="1" spans="1:4">
      <c r="A717" s="115"/>
      <c r="B717" s="115"/>
      <c r="C717" s="115"/>
      <c r="D717" s="116"/>
    </row>
    <row r="718" ht="15.75" customHeight="1" spans="1:4">
      <c r="A718" s="115"/>
      <c r="B718" s="115"/>
      <c r="C718" s="115"/>
      <c r="D718" s="116"/>
    </row>
    <row r="719" ht="15.75" customHeight="1" spans="1:4">
      <c r="A719" s="115"/>
      <c r="B719" s="115"/>
      <c r="C719" s="115"/>
      <c r="D719" s="116"/>
    </row>
    <row r="720" ht="15.75" customHeight="1" spans="1:4">
      <c r="A720" s="115"/>
      <c r="B720" s="115"/>
      <c r="C720" s="115"/>
      <c r="D720" s="116"/>
    </row>
    <row r="721" ht="15.75" customHeight="1" spans="1:4">
      <c r="A721" s="115"/>
      <c r="B721" s="115"/>
      <c r="C721" s="115"/>
      <c r="D721" s="116"/>
    </row>
    <row r="722" ht="15.75" customHeight="1" spans="1:4">
      <c r="A722" s="115"/>
      <c r="B722" s="115"/>
      <c r="C722" s="115"/>
      <c r="D722" s="116"/>
    </row>
    <row r="723" ht="15.75" customHeight="1" spans="1:4">
      <c r="A723" s="115"/>
      <c r="B723" s="115"/>
      <c r="C723" s="115"/>
      <c r="D723" s="116"/>
    </row>
    <row r="724" ht="15.75" customHeight="1" spans="1:4">
      <c r="A724" s="115"/>
      <c r="B724" s="115"/>
      <c r="C724" s="115"/>
      <c r="D724" s="116"/>
    </row>
    <row r="725" ht="15.75" customHeight="1" spans="1:4">
      <c r="A725" s="115"/>
      <c r="B725" s="115"/>
      <c r="C725" s="115"/>
      <c r="D725" s="116"/>
    </row>
    <row r="726" ht="15.75" customHeight="1" spans="1:4">
      <c r="A726" s="115"/>
      <c r="B726" s="115"/>
      <c r="C726" s="115"/>
      <c r="D726" s="116"/>
    </row>
    <row r="727" ht="15.75" customHeight="1" spans="1:4">
      <c r="A727" s="115"/>
      <c r="B727" s="115"/>
      <c r="C727" s="115"/>
      <c r="D727" s="116"/>
    </row>
    <row r="728" ht="15.75" customHeight="1" spans="1:4">
      <c r="A728" s="115"/>
      <c r="B728" s="115"/>
      <c r="C728" s="115"/>
      <c r="D728" s="116"/>
    </row>
    <row r="729" ht="15.75" customHeight="1" spans="1:4">
      <c r="A729" s="115"/>
      <c r="B729" s="115"/>
      <c r="C729" s="115"/>
      <c r="D729" s="116"/>
    </row>
    <row r="730" ht="15.75" customHeight="1" spans="1:4">
      <c r="A730" s="115"/>
      <c r="B730" s="115"/>
      <c r="C730" s="115"/>
      <c r="D730" s="116"/>
    </row>
    <row r="731" ht="15.75" customHeight="1" spans="1:4">
      <c r="A731" s="115"/>
      <c r="B731" s="115"/>
      <c r="C731" s="115"/>
      <c r="D731" s="116"/>
    </row>
    <row r="732" ht="15.75" customHeight="1" spans="1:4">
      <c r="A732" s="115"/>
      <c r="B732" s="115"/>
      <c r="C732" s="115"/>
      <c r="D732" s="116"/>
    </row>
    <row r="733" ht="15.75" customHeight="1" spans="1:4">
      <c r="A733" s="115"/>
      <c r="B733" s="115"/>
      <c r="C733" s="115"/>
      <c r="D733" s="116"/>
    </row>
    <row r="734" ht="15.75" customHeight="1" spans="1:4">
      <c r="A734" s="115"/>
      <c r="B734" s="115"/>
      <c r="C734" s="115"/>
      <c r="D734" s="116"/>
    </row>
    <row r="735" ht="15.75" customHeight="1" spans="1:4">
      <c r="A735" s="115"/>
      <c r="B735" s="115"/>
      <c r="C735" s="115"/>
      <c r="D735" s="116"/>
    </row>
    <row r="736" ht="15.75" customHeight="1" spans="1:4">
      <c r="A736" s="115"/>
      <c r="B736" s="115"/>
      <c r="C736" s="115"/>
      <c r="D736" s="116"/>
    </row>
    <row r="737" ht="15.75" customHeight="1" spans="1:4">
      <c r="A737" s="115"/>
      <c r="B737" s="115"/>
      <c r="C737" s="115"/>
      <c r="D737" s="116"/>
    </row>
    <row r="738" ht="15.75" customHeight="1" spans="1:4">
      <c r="A738" s="115"/>
      <c r="B738" s="115"/>
      <c r="C738" s="115"/>
      <c r="D738" s="116"/>
    </row>
    <row r="739" ht="15.75" customHeight="1" spans="1:4">
      <c r="A739" s="115"/>
      <c r="B739" s="115"/>
      <c r="C739" s="115"/>
      <c r="D739" s="116"/>
    </row>
    <row r="740" ht="15.75" customHeight="1" spans="1:4">
      <c r="A740" s="115"/>
      <c r="B740" s="115"/>
      <c r="C740" s="115"/>
      <c r="D740" s="116"/>
    </row>
    <row r="741" ht="15.75" customHeight="1" spans="1:4">
      <c r="A741" s="115"/>
      <c r="B741" s="115"/>
      <c r="C741" s="115"/>
      <c r="D741" s="116"/>
    </row>
    <row r="742" ht="15.75" customHeight="1" spans="1:4">
      <c r="A742" s="115"/>
      <c r="B742" s="115"/>
      <c r="C742" s="115"/>
      <c r="D742" s="116"/>
    </row>
    <row r="743" ht="15.75" customHeight="1" spans="1:4">
      <c r="A743" s="115"/>
      <c r="B743" s="115"/>
      <c r="C743" s="115"/>
      <c r="D743" s="116"/>
    </row>
    <row r="744" ht="15.75" customHeight="1" spans="1:4">
      <c r="A744" s="115"/>
      <c r="B744" s="115"/>
      <c r="C744" s="115"/>
      <c r="D744" s="116"/>
    </row>
    <row r="745" ht="15.75" customHeight="1" spans="1:4">
      <c r="A745" s="115"/>
      <c r="B745" s="115"/>
      <c r="C745" s="115"/>
      <c r="D745" s="116"/>
    </row>
    <row r="746" ht="15.75" customHeight="1" spans="1:4">
      <c r="A746" s="115"/>
      <c r="B746" s="115"/>
      <c r="C746" s="115"/>
      <c r="D746" s="116"/>
    </row>
    <row r="747" ht="15.75" customHeight="1" spans="1:4">
      <c r="A747" s="115"/>
      <c r="B747" s="115"/>
      <c r="C747" s="115"/>
      <c r="D747" s="116"/>
    </row>
    <row r="748" ht="15.75" customHeight="1" spans="1:4">
      <c r="A748" s="115"/>
      <c r="B748" s="115"/>
      <c r="C748" s="115"/>
      <c r="D748" s="116"/>
    </row>
    <row r="749" ht="15.75" customHeight="1" spans="1:4">
      <c r="A749" s="115"/>
      <c r="B749" s="115"/>
      <c r="C749" s="115"/>
      <c r="D749" s="116"/>
    </row>
    <row r="750" ht="15.75" customHeight="1" spans="1:4">
      <c r="A750" s="115"/>
      <c r="B750" s="115"/>
      <c r="C750" s="115"/>
      <c r="D750" s="116"/>
    </row>
    <row r="751" ht="15.75" customHeight="1" spans="1:4">
      <c r="A751" s="115"/>
      <c r="B751" s="115"/>
      <c r="C751" s="115"/>
      <c r="D751" s="116"/>
    </row>
    <row r="752" ht="15.75" customHeight="1" spans="1:4">
      <c r="A752" s="115"/>
      <c r="B752" s="115"/>
      <c r="C752" s="115"/>
      <c r="D752" s="116"/>
    </row>
    <row r="753" ht="15.75" customHeight="1" spans="1:4">
      <c r="A753" s="115"/>
      <c r="B753" s="115"/>
      <c r="C753" s="115"/>
      <c r="D753" s="116"/>
    </row>
    <row r="754" ht="15.75" customHeight="1" spans="1:4">
      <c r="A754" s="115"/>
      <c r="B754" s="115"/>
      <c r="C754" s="115"/>
      <c r="D754" s="116"/>
    </row>
    <row r="755" ht="15.75" customHeight="1" spans="1:4">
      <c r="A755" s="115"/>
      <c r="B755" s="115"/>
      <c r="C755" s="115"/>
      <c r="D755" s="116"/>
    </row>
    <row r="756" ht="15.75" customHeight="1" spans="1:4">
      <c r="A756" s="115"/>
      <c r="B756" s="115"/>
      <c r="C756" s="115"/>
      <c r="D756" s="116"/>
    </row>
    <row r="757" ht="15.75" customHeight="1" spans="1:4">
      <c r="A757" s="115"/>
      <c r="B757" s="115"/>
      <c r="C757" s="115"/>
      <c r="D757" s="116"/>
    </row>
    <row r="758" ht="15.75" customHeight="1" spans="1:4">
      <c r="A758" s="115"/>
      <c r="B758" s="115"/>
      <c r="C758" s="115"/>
      <c r="D758" s="116"/>
    </row>
    <row r="759" ht="15.75" customHeight="1" spans="1:4">
      <c r="A759" s="115"/>
      <c r="B759" s="115"/>
      <c r="C759" s="115"/>
      <c r="D759" s="116"/>
    </row>
    <row r="760" ht="15.75" customHeight="1" spans="1:4">
      <c r="A760" s="115"/>
      <c r="B760" s="115"/>
      <c r="C760" s="115"/>
      <c r="D760" s="116"/>
    </row>
    <row r="761" ht="15.75" customHeight="1" spans="1:4">
      <c r="A761" s="115"/>
      <c r="B761" s="115"/>
      <c r="C761" s="115"/>
      <c r="D761" s="116"/>
    </row>
    <row r="762" ht="15.75" customHeight="1" spans="1:4">
      <c r="A762" s="115"/>
      <c r="B762" s="115"/>
      <c r="C762" s="115"/>
      <c r="D762" s="116"/>
    </row>
    <row r="763" ht="15.75" customHeight="1" spans="1:4">
      <c r="A763" s="115"/>
      <c r="B763" s="115"/>
      <c r="C763" s="115"/>
      <c r="D763" s="116"/>
    </row>
    <row r="764" ht="15.75" customHeight="1" spans="1:4">
      <c r="A764" s="115"/>
      <c r="B764" s="115"/>
      <c r="C764" s="115"/>
      <c r="D764" s="116"/>
    </row>
    <row r="765" ht="15.75" customHeight="1" spans="1:4">
      <c r="A765" s="115"/>
      <c r="B765" s="115"/>
      <c r="C765" s="115"/>
      <c r="D765" s="116"/>
    </row>
    <row r="766" ht="15.75" customHeight="1" spans="1:4">
      <c r="A766" s="115"/>
      <c r="B766" s="115"/>
      <c r="C766" s="115"/>
      <c r="D766" s="116"/>
    </row>
    <row r="767" ht="15.75" customHeight="1" spans="1:4">
      <c r="A767" s="115"/>
      <c r="B767" s="115"/>
      <c r="C767" s="115"/>
      <c r="D767" s="116"/>
    </row>
    <row r="768" ht="15.75" customHeight="1" spans="1:4">
      <c r="A768" s="115"/>
      <c r="B768" s="115"/>
      <c r="C768" s="115"/>
      <c r="D768" s="116"/>
    </row>
    <row r="769" ht="15.75" customHeight="1" spans="1:4">
      <c r="A769" s="115"/>
      <c r="B769" s="115"/>
      <c r="C769" s="115"/>
      <c r="D769" s="116"/>
    </row>
    <row r="770" ht="15.75" customHeight="1" spans="1:4">
      <c r="A770" s="115"/>
      <c r="B770" s="115"/>
      <c r="C770" s="115"/>
      <c r="D770" s="116"/>
    </row>
    <row r="771" ht="15.75" customHeight="1" spans="1:4">
      <c r="A771" s="115"/>
      <c r="B771" s="115"/>
      <c r="C771" s="115"/>
      <c r="D771" s="116"/>
    </row>
    <row r="772" ht="15.75" customHeight="1" spans="1:4">
      <c r="A772" s="115"/>
      <c r="B772" s="115"/>
      <c r="C772" s="115"/>
      <c r="D772" s="116"/>
    </row>
    <row r="773" ht="15.75" customHeight="1" spans="1:4">
      <c r="A773" s="115"/>
      <c r="B773" s="115"/>
      <c r="C773" s="115"/>
      <c r="D773" s="116"/>
    </row>
    <row r="774" ht="15.75" customHeight="1" spans="1:4">
      <c r="A774" s="115"/>
      <c r="B774" s="115"/>
      <c r="C774" s="115"/>
      <c r="D774" s="116"/>
    </row>
    <row r="775" ht="15.75" customHeight="1" spans="1:4">
      <c r="A775" s="115"/>
      <c r="B775" s="115"/>
      <c r="C775" s="115"/>
      <c r="D775" s="116"/>
    </row>
    <row r="776" ht="15.75" customHeight="1" spans="1:4">
      <c r="A776" s="115"/>
      <c r="B776" s="115"/>
      <c r="C776" s="115"/>
      <c r="D776" s="116"/>
    </row>
    <row r="777" ht="15.75" customHeight="1" spans="1:4">
      <c r="A777" s="115"/>
      <c r="B777" s="115"/>
      <c r="C777" s="115"/>
      <c r="D777" s="116"/>
    </row>
    <row r="778" ht="15.75" customHeight="1" spans="1:4">
      <c r="A778" s="115"/>
      <c r="B778" s="115"/>
      <c r="C778" s="115"/>
      <c r="D778" s="116"/>
    </row>
    <row r="779" ht="15.75" customHeight="1" spans="1:4">
      <c r="A779" s="115"/>
      <c r="B779" s="115"/>
      <c r="C779" s="115"/>
      <c r="D779" s="116"/>
    </row>
    <row r="780" ht="15.75" customHeight="1" spans="1:4">
      <c r="A780" s="115"/>
      <c r="B780" s="115"/>
      <c r="C780" s="115"/>
      <c r="D780" s="116"/>
    </row>
    <row r="781" ht="15.75" customHeight="1" spans="1:4">
      <c r="A781" s="115"/>
      <c r="B781" s="115"/>
      <c r="C781" s="115"/>
      <c r="D781" s="116"/>
    </row>
    <row r="782" ht="15.75" customHeight="1" spans="1:4">
      <c r="A782" s="115"/>
      <c r="B782" s="115"/>
      <c r="C782" s="115"/>
      <c r="D782" s="116"/>
    </row>
    <row r="783" ht="15.75" customHeight="1" spans="1:4">
      <c r="A783" s="115"/>
      <c r="B783" s="115"/>
      <c r="C783" s="115"/>
      <c r="D783" s="116"/>
    </row>
    <row r="784" ht="15.75" customHeight="1" spans="1:4">
      <c r="A784" s="115"/>
      <c r="B784" s="115"/>
      <c r="C784" s="115"/>
      <c r="D784" s="116"/>
    </row>
    <row r="785" ht="15.75" customHeight="1" spans="1:4">
      <c r="A785" s="115"/>
      <c r="B785" s="115"/>
      <c r="C785" s="115"/>
      <c r="D785" s="116"/>
    </row>
    <row r="786" ht="15.75" customHeight="1" spans="1:4">
      <c r="A786" s="115"/>
      <c r="B786" s="115"/>
      <c r="C786" s="115"/>
      <c r="D786" s="116"/>
    </row>
    <row r="787" ht="15.75" customHeight="1" spans="1:4">
      <c r="A787" s="115"/>
      <c r="B787" s="115"/>
      <c r="C787" s="115"/>
      <c r="D787" s="116"/>
    </row>
    <row r="788" ht="15.75" customHeight="1" spans="1:4">
      <c r="A788" s="115"/>
      <c r="B788" s="115"/>
      <c r="C788" s="115"/>
      <c r="D788" s="116"/>
    </row>
    <row r="789" ht="15.75" customHeight="1" spans="1:4">
      <c r="A789" s="115"/>
      <c r="B789" s="115"/>
      <c r="C789" s="115"/>
      <c r="D789" s="116"/>
    </row>
    <row r="790" ht="15.75" customHeight="1" spans="1:4">
      <c r="A790" s="115"/>
      <c r="B790" s="115"/>
      <c r="C790" s="115"/>
      <c r="D790" s="116"/>
    </row>
    <row r="791" ht="15.75" customHeight="1" spans="1:4">
      <c r="A791" s="115"/>
      <c r="B791" s="115"/>
      <c r="C791" s="115"/>
      <c r="D791" s="116"/>
    </row>
    <row r="792" ht="15.75" customHeight="1" spans="1:4">
      <c r="A792" s="115"/>
      <c r="B792" s="115"/>
      <c r="C792" s="115"/>
      <c r="D792" s="116"/>
    </row>
    <row r="793" ht="15.75" customHeight="1" spans="1:4">
      <c r="A793" s="115"/>
      <c r="B793" s="115"/>
      <c r="C793" s="115"/>
      <c r="D793" s="116"/>
    </row>
    <row r="794" ht="15.75" customHeight="1" spans="1:4">
      <c r="A794" s="115"/>
      <c r="B794" s="115"/>
      <c r="C794" s="115"/>
      <c r="D794" s="116"/>
    </row>
    <row r="795" ht="15.75" customHeight="1" spans="1:4">
      <c r="A795" s="115"/>
      <c r="B795" s="115"/>
      <c r="C795" s="115"/>
      <c r="D795" s="116"/>
    </row>
    <row r="796" ht="15.75" customHeight="1" spans="1:4">
      <c r="A796" s="115"/>
      <c r="B796" s="115"/>
      <c r="C796" s="115"/>
      <c r="D796" s="116"/>
    </row>
    <row r="797" ht="15.75" customHeight="1" spans="1:4">
      <c r="A797" s="115"/>
      <c r="B797" s="115"/>
      <c r="C797" s="115"/>
      <c r="D797" s="116"/>
    </row>
    <row r="798" ht="15.75" customHeight="1" spans="1:4">
      <c r="A798" s="115"/>
      <c r="B798" s="115"/>
      <c r="C798" s="115"/>
      <c r="D798" s="116"/>
    </row>
    <row r="799" ht="15.75" customHeight="1" spans="1:4">
      <c r="A799" s="115"/>
      <c r="B799" s="115"/>
      <c r="C799" s="115"/>
      <c r="D799" s="116"/>
    </row>
    <row r="800" ht="15.75" customHeight="1" spans="1:4">
      <c r="A800" s="115"/>
      <c r="B800" s="115"/>
      <c r="C800" s="115"/>
      <c r="D800" s="116"/>
    </row>
    <row r="801" ht="15.75" customHeight="1" spans="1:4">
      <c r="A801" s="115"/>
      <c r="B801" s="115"/>
      <c r="C801" s="115"/>
      <c r="D801" s="116"/>
    </row>
    <row r="802" ht="15.75" customHeight="1" spans="1:4">
      <c r="A802" s="115"/>
      <c r="B802" s="115"/>
      <c r="C802" s="115"/>
      <c r="D802" s="116"/>
    </row>
    <row r="803" ht="15.75" customHeight="1" spans="1:4">
      <c r="A803" s="115"/>
      <c r="B803" s="115"/>
      <c r="C803" s="115"/>
      <c r="D803" s="116"/>
    </row>
    <row r="804" ht="15.75" customHeight="1" spans="1:4">
      <c r="A804" s="115"/>
      <c r="B804" s="115"/>
      <c r="C804" s="115"/>
      <c r="D804" s="116"/>
    </row>
    <row r="805" ht="15.75" customHeight="1" spans="1:4">
      <c r="A805" s="115"/>
      <c r="B805" s="115"/>
      <c r="C805" s="115"/>
      <c r="D805" s="116"/>
    </row>
    <row r="806" ht="15.75" customHeight="1" spans="1:4">
      <c r="A806" s="115"/>
      <c r="B806" s="115"/>
      <c r="C806" s="115"/>
      <c r="D806" s="116"/>
    </row>
    <row r="807" ht="15.75" customHeight="1" spans="1:4">
      <c r="A807" s="115"/>
      <c r="B807" s="115"/>
      <c r="C807" s="115"/>
      <c r="D807" s="116"/>
    </row>
    <row r="808" ht="15.75" customHeight="1" spans="1:4">
      <c r="A808" s="115"/>
      <c r="B808" s="115"/>
      <c r="C808" s="115"/>
      <c r="D808" s="116"/>
    </row>
    <row r="809" ht="15.75" customHeight="1" spans="1:4">
      <c r="A809" s="115"/>
      <c r="B809" s="115"/>
      <c r="C809" s="115"/>
      <c r="D809" s="116"/>
    </row>
    <row r="810" ht="15.75" customHeight="1" spans="1:4">
      <c r="A810" s="115"/>
      <c r="B810" s="115"/>
      <c r="C810" s="115"/>
      <c r="D810" s="116"/>
    </row>
    <row r="811" ht="15.75" customHeight="1" spans="1:4">
      <c r="A811" s="115"/>
      <c r="B811" s="115"/>
      <c r="C811" s="115"/>
      <c r="D811" s="116"/>
    </row>
    <row r="812" ht="15.75" customHeight="1" spans="1:4">
      <c r="A812" s="115"/>
      <c r="B812" s="115"/>
      <c r="C812" s="115"/>
      <c r="D812" s="116"/>
    </row>
    <row r="813" ht="15.75" customHeight="1" spans="1:4">
      <c r="A813" s="115"/>
      <c r="B813" s="115"/>
      <c r="C813" s="115"/>
      <c r="D813" s="116"/>
    </row>
    <row r="814" ht="15.75" customHeight="1" spans="1:4">
      <c r="A814" s="115"/>
      <c r="B814" s="115"/>
      <c r="C814" s="115"/>
      <c r="D814" s="116"/>
    </row>
    <row r="815" ht="15.75" customHeight="1" spans="1:4">
      <c r="A815" s="115"/>
      <c r="B815" s="115"/>
      <c r="C815" s="115"/>
      <c r="D815" s="116"/>
    </row>
    <row r="816" ht="15.75" customHeight="1" spans="1:4">
      <c r="A816" s="115"/>
      <c r="B816" s="115"/>
      <c r="C816" s="115"/>
      <c r="D816" s="116"/>
    </row>
    <row r="817" ht="15.75" customHeight="1" spans="1:4">
      <c r="A817" s="115"/>
      <c r="B817" s="115"/>
      <c r="C817" s="115"/>
      <c r="D817" s="116"/>
    </row>
    <row r="818" ht="15.75" customHeight="1" spans="1:4">
      <c r="A818" s="115"/>
      <c r="B818" s="115"/>
      <c r="C818" s="115"/>
      <c r="D818" s="116"/>
    </row>
    <row r="819" ht="15.75" customHeight="1" spans="1:4">
      <c r="A819" s="115"/>
      <c r="B819" s="115"/>
      <c r="C819" s="115"/>
      <c r="D819" s="116"/>
    </row>
    <row r="820" ht="15.75" customHeight="1" spans="1:4">
      <c r="A820" s="115"/>
      <c r="B820" s="115"/>
      <c r="C820" s="115"/>
      <c r="D820" s="116"/>
    </row>
    <row r="821" ht="15.75" customHeight="1" spans="1:4">
      <c r="A821" s="115"/>
      <c r="B821" s="115"/>
      <c r="C821" s="115"/>
      <c r="D821" s="116"/>
    </row>
    <row r="822" ht="15.75" customHeight="1" spans="1:4">
      <c r="A822" s="115"/>
      <c r="B822" s="115"/>
      <c r="C822" s="115"/>
      <c r="D822" s="116"/>
    </row>
    <row r="823" ht="15.75" customHeight="1" spans="1:4">
      <c r="A823" s="115"/>
      <c r="B823" s="115"/>
      <c r="C823" s="115"/>
      <c r="D823" s="116"/>
    </row>
    <row r="824" ht="15.75" customHeight="1" spans="1:4">
      <c r="A824" s="115"/>
      <c r="B824" s="115"/>
      <c r="C824" s="115"/>
      <c r="D824" s="116"/>
    </row>
    <row r="825" ht="15.75" customHeight="1" spans="1:4">
      <c r="A825" s="115"/>
      <c r="B825" s="115"/>
      <c r="C825" s="115"/>
      <c r="D825" s="116"/>
    </row>
    <row r="826" ht="15.75" customHeight="1" spans="1:4">
      <c r="A826" s="115"/>
      <c r="B826" s="115"/>
      <c r="C826" s="115"/>
      <c r="D826" s="116"/>
    </row>
    <row r="827" ht="15.75" customHeight="1" spans="1:4">
      <c r="A827" s="115"/>
      <c r="B827" s="115"/>
      <c r="C827" s="115"/>
      <c r="D827" s="116"/>
    </row>
    <row r="828" ht="15.75" customHeight="1" spans="1:4">
      <c r="A828" s="115"/>
      <c r="B828" s="115"/>
      <c r="C828" s="115"/>
      <c r="D828" s="116"/>
    </row>
    <row r="829" ht="15.75" customHeight="1" spans="1:4">
      <c r="A829" s="115"/>
      <c r="B829" s="115"/>
      <c r="C829" s="115"/>
      <c r="D829" s="116"/>
    </row>
    <row r="830" ht="15.75" customHeight="1" spans="1:4">
      <c r="A830" s="115"/>
      <c r="B830" s="115"/>
      <c r="C830" s="115"/>
      <c r="D830" s="116"/>
    </row>
    <row r="831" ht="15.75" customHeight="1" spans="1:4">
      <c r="A831" s="115"/>
      <c r="B831" s="115"/>
      <c r="C831" s="115"/>
      <c r="D831" s="116"/>
    </row>
    <row r="832" ht="15.75" customHeight="1" spans="1:4">
      <c r="A832" s="115"/>
      <c r="B832" s="115"/>
      <c r="C832" s="115"/>
      <c r="D832" s="116"/>
    </row>
    <row r="833" ht="15.75" customHeight="1" spans="1:4">
      <c r="A833" s="115"/>
      <c r="B833" s="115"/>
      <c r="C833" s="115"/>
      <c r="D833" s="116"/>
    </row>
    <row r="834" ht="15.75" customHeight="1" spans="1:4">
      <c r="A834" s="115"/>
      <c r="B834" s="115"/>
      <c r="C834" s="115"/>
      <c r="D834" s="116"/>
    </row>
    <row r="835" ht="15.75" customHeight="1" spans="1:4">
      <c r="A835" s="115"/>
      <c r="B835" s="115"/>
      <c r="C835" s="115"/>
      <c r="D835" s="116"/>
    </row>
    <row r="836" ht="15.75" customHeight="1" spans="1:4">
      <c r="A836" s="115"/>
      <c r="B836" s="115"/>
      <c r="C836" s="115"/>
      <c r="D836" s="116"/>
    </row>
    <row r="837" ht="15.75" customHeight="1" spans="1:4">
      <c r="A837" s="115"/>
      <c r="B837" s="115"/>
      <c r="C837" s="115"/>
      <c r="D837" s="116"/>
    </row>
    <row r="838" ht="15.75" customHeight="1" spans="1:4">
      <c r="A838" s="115"/>
      <c r="B838" s="115"/>
      <c r="C838" s="115"/>
      <c r="D838" s="116"/>
    </row>
    <row r="839" ht="15.75" customHeight="1" spans="1:4">
      <c r="A839" s="115"/>
      <c r="B839" s="115"/>
      <c r="C839" s="115"/>
      <c r="D839" s="116"/>
    </row>
    <row r="840" ht="15.75" customHeight="1" spans="1:4">
      <c r="A840" s="115"/>
      <c r="B840" s="115"/>
      <c r="C840" s="115"/>
      <c r="D840" s="116"/>
    </row>
    <row r="841" ht="15.75" customHeight="1" spans="1:4">
      <c r="A841" s="115"/>
      <c r="B841" s="115"/>
      <c r="C841" s="115"/>
      <c r="D841" s="116"/>
    </row>
    <row r="842" ht="15.75" customHeight="1" spans="1:4">
      <c r="A842" s="115"/>
      <c r="B842" s="115"/>
      <c r="C842" s="115"/>
      <c r="D842" s="116"/>
    </row>
    <row r="843" ht="15.75" customHeight="1" spans="1:4">
      <c r="A843" s="115"/>
      <c r="B843" s="115"/>
      <c r="C843" s="115"/>
      <c r="D843" s="116"/>
    </row>
    <row r="844" ht="15.75" customHeight="1" spans="1:4">
      <c r="A844" s="115"/>
      <c r="B844" s="115"/>
      <c r="C844" s="115"/>
      <c r="D844" s="116"/>
    </row>
    <row r="845" ht="15.75" customHeight="1" spans="1:4">
      <c r="A845" s="115"/>
      <c r="B845" s="115"/>
      <c r="C845" s="115"/>
      <c r="D845" s="116"/>
    </row>
    <row r="846" ht="15.75" customHeight="1" spans="1:4">
      <c r="A846" s="115"/>
      <c r="B846" s="115"/>
      <c r="C846" s="115"/>
      <c r="D846" s="116"/>
    </row>
    <row r="847" ht="15.75" customHeight="1" spans="1:4">
      <c r="A847" s="115"/>
      <c r="B847" s="115"/>
      <c r="C847" s="115"/>
      <c r="D847" s="116"/>
    </row>
    <row r="848" ht="15.75" customHeight="1" spans="1:4">
      <c r="A848" s="115"/>
      <c r="B848" s="115"/>
      <c r="C848" s="115"/>
      <c r="D848" s="116"/>
    </row>
    <row r="849" ht="15.75" customHeight="1" spans="1:4">
      <c r="A849" s="115"/>
      <c r="B849" s="115"/>
      <c r="C849" s="115"/>
      <c r="D849" s="116"/>
    </row>
    <row r="850" ht="15.75" customHeight="1" spans="1:4">
      <c r="A850" s="115"/>
      <c r="B850" s="115"/>
      <c r="C850" s="115"/>
      <c r="D850" s="116"/>
    </row>
    <row r="851" ht="15.75" customHeight="1" spans="1:4">
      <c r="A851" s="115"/>
      <c r="B851" s="115"/>
      <c r="C851" s="115"/>
      <c r="D851" s="116"/>
    </row>
    <row r="852" ht="15.75" customHeight="1" spans="1:4">
      <c r="A852" s="115"/>
      <c r="B852" s="115"/>
      <c r="C852" s="115"/>
      <c r="D852" s="116"/>
    </row>
    <row r="853" ht="15.75" customHeight="1" spans="1:4">
      <c r="A853" s="115"/>
      <c r="B853" s="115"/>
      <c r="C853" s="115"/>
      <c r="D853" s="116"/>
    </row>
    <row r="854" ht="15.75" customHeight="1" spans="1:4">
      <c r="A854" s="115"/>
      <c r="B854" s="115"/>
      <c r="C854" s="115"/>
      <c r="D854" s="116"/>
    </row>
    <row r="855" ht="15.75" customHeight="1" spans="1:4">
      <c r="A855" s="115"/>
      <c r="B855" s="115"/>
      <c r="C855" s="115"/>
      <c r="D855" s="116"/>
    </row>
    <row r="856" ht="15.75" customHeight="1" spans="1:4">
      <c r="A856" s="115"/>
      <c r="B856" s="115"/>
      <c r="C856" s="115"/>
      <c r="D856" s="116"/>
    </row>
    <row r="857" ht="15.75" customHeight="1" spans="1:4">
      <c r="A857" s="115"/>
      <c r="B857" s="115"/>
      <c r="C857" s="115"/>
      <c r="D857" s="116"/>
    </row>
    <row r="858" ht="15.75" customHeight="1" spans="1:4">
      <c r="A858" s="115"/>
      <c r="B858" s="115"/>
      <c r="C858" s="115"/>
      <c r="D858" s="116"/>
    </row>
    <row r="859" ht="15.75" customHeight="1" spans="1:4">
      <c r="A859" s="115"/>
      <c r="B859" s="115"/>
      <c r="C859" s="115"/>
      <c r="D859" s="116"/>
    </row>
    <row r="860" ht="15.75" customHeight="1" spans="1:4">
      <c r="A860" s="115"/>
      <c r="B860" s="115"/>
      <c r="C860" s="115"/>
      <c r="D860" s="116"/>
    </row>
    <row r="861" ht="15.75" customHeight="1" spans="1:4">
      <c r="A861" s="115"/>
      <c r="B861" s="115"/>
      <c r="C861" s="115"/>
      <c r="D861" s="116"/>
    </row>
    <row r="862" ht="15.75" customHeight="1" spans="1:4">
      <c r="A862" s="115"/>
      <c r="B862" s="115"/>
      <c r="C862" s="115"/>
      <c r="D862" s="116"/>
    </row>
    <row r="863" ht="15.75" customHeight="1" spans="1:4">
      <c r="A863" s="115"/>
      <c r="B863" s="115"/>
      <c r="C863" s="115"/>
      <c r="D863" s="116"/>
    </row>
    <row r="864" ht="15.75" customHeight="1" spans="1:4">
      <c r="A864" s="115"/>
      <c r="B864" s="115"/>
      <c r="C864" s="115"/>
      <c r="D864" s="116"/>
    </row>
    <row r="865" ht="15.75" customHeight="1" spans="1:4">
      <c r="A865" s="115"/>
      <c r="B865" s="115"/>
      <c r="C865" s="115"/>
      <c r="D865" s="116"/>
    </row>
    <row r="866" ht="15.75" customHeight="1" spans="1:4">
      <c r="A866" s="115"/>
      <c r="B866" s="115"/>
      <c r="C866" s="115"/>
      <c r="D866" s="116"/>
    </row>
    <row r="867" ht="15.75" customHeight="1" spans="1:4">
      <c r="A867" s="115"/>
      <c r="B867" s="115"/>
      <c r="C867" s="115"/>
      <c r="D867" s="116"/>
    </row>
    <row r="868" ht="15.75" customHeight="1" spans="1:4">
      <c r="A868" s="115"/>
      <c r="B868" s="115"/>
      <c r="C868" s="115"/>
      <c r="D868" s="116"/>
    </row>
    <row r="869" ht="15.75" customHeight="1" spans="1:4">
      <c r="A869" s="115"/>
      <c r="B869" s="115"/>
      <c r="C869" s="115"/>
      <c r="D869" s="116"/>
    </row>
    <row r="870" ht="15.75" customHeight="1" spans="1:4">
      <c r="A870" s="115"/>
      <c r="B870" s="115"/>
      <c r="C870" s="115"/>
      <c r="D870" s="116"/>
    </row>
    <row r="871" ht="15.75" customHeight="1" spans="1:4">
      <c r="A871" s="115"/>
      <c r="B871" s="115"/>
      <c r="C871" s="115"/>
      <c r="D871" s="116"/>
    </row>
    <row r="872" ht="15.75" customHeight="1" spans="1:4">
      <c r="A872" s="115"/>
      <c r="B872" s="115"/>
      <c r="C872" s="115"/>
      <c r="D872" s="116"/>
    </row>
    <row r="873" ht="15.75" customHeight="1" spans="1:4">
      <c r="A873" s="115"/>
      <c r="B873" s="115"/>
      <c r="C873" s="115"/>
      <c r="D873" s="116"/>
    </row>
    <row r="874" ht="15.75" customHeight="1" spans="1:4">
      <c r="A874" s="115"/>
      <c r="B874" s="115"/>
      <c r="C874" s="115"/>
      <c r="D874" s="116"/>
    </row>
    <row r="875" ht="15.75" customHeight="1" spans="1:4">
      <c r="A875" s="115"/>
      <c r="B875" s="115"/>
      <c r="C875" s="115"/>
      <c r="D875" s="116"/>
    </row>
    <row r="876" ht="15.75" customHeight="1" spans="1:4">
      <c r="A876" s="115"/>
      <c r="B876" s="115"/>
      <c r="C876" s="115"/>
      <c r="D876" s="116"/>
    </row>
    <row r="877" ht="15.75" customHeight="1" spans="1:4">
      <c r="A877" s="115"/>
      <c r="B877" s="115"/>
      <c r="C877" s="115"/>
      <c r="D877" s="116"/>
    </row>
    <row r="878" ht="15.75" customHeight="1" spans="1:4">
      <c r="A878" s="115"/>
      <c r="B878" s="115"/>
      <c r="C878" s="115"/>
      <c r="D878" s="116"/>
    </row>
    <row r="879" ht="15.75" customHeight="1" spans="1:4">
      <c r="A879" s="115"/>
      <c r="B879" s="115"/>
      <c r="C879" s="115"/>
      <c r="D879" s="116"/>
    </row>
    <row r="880" ht="15.75" customHeight="1" spans="1:4">
      <c r="A880" s="115"/>
      <c r="B880" s="115"/>
      <c r="C880" s="115"/>
      <c r="D880" s="116"/>
    </row>
    <row r="881" ht="15.75" customHeight="1" spans="1:4">
      <c r="A881" s="115"/>
      <c r="B881" s="115"/>
      <c r="C881" s="115"/>
      <c r="D881" s="116"/>
    </row>
    <row r="882" ht="15.75" customHeight="1" spans="1:4">
      <c r="A882" s="115"/>
      <c r="B882" s="115"/>
      <c r="C882" s="115"/>
      <c r="D882" s="116"/>
    </row>
    <row r="883" ht="15.75" customHeight="1" spans="1:4">
      <c r="A883" s="115"/>
      <c r="B883" s="115"/>
      <c r="C883" s="115"/>
      <c r="D883" s="116"/>
    </row>
    <row r="884" ht="15.75" customHeight="1" spans="1:4">
      <c r="A884" s="115"/>
      <c r="B884" s="115"/>
      <c r="C884" s="115"/>
      <c r="D884" s="116"/>
    </row>
    <row r="885" ht="15.75" customHeight="1" spans="1:4">
      <c r="A885" s="115"/>
      <c r="B885" s="115"/>
      <c r="C885" s="115"/>
      <c r="D885" s="116"/>
    </row>
    <row r="886" ht="15.75" customHeight="1" spans="1:4">
      <c r="A886" s="115"/>
      <c r="B886" s="115"/>
      <c r="C886" s="115"/>
      <c r="D886" s="116"/>
    </row>
    <row r="887" ht="15.75" customHeight="1" spans="1:4">
      <c r="A887" s="115"/>
      <c r="B887" s="115"/>
      <c r="C887" s="115"/>
      <c r="D887" s="116"/>
    </row>
    <row r="888" ht="15.75" customHeight="1" spans="1:4">
      <c r="A888" s="115"/>
      <c r="B888" s="115"/>
      <c r="C888" s="115"/>
      <c r="D888" s="116"/>
    </row>
    <row r="889" ht="15.75" customHeight="1" spans="1:4">
      <c r="A889" s="115"/>
      <c r="B889" s="115"/>
      <c r="C889" s="115"/>
      <c r="D889" s="116"/>
    </row>
    <row r="890" ht="15.75" customHeight="1" spans="1:4">
      <c r="A890" s="115"/>
      <c r="B890" s="115"/>
      <c r="C890" s="115"/>
      <c r="D890" s="116"/>
    </row>
    <row r="891" ht="15.75" customHeight="1" spans="1:4">
      <c r="A891" s="115"/>
      <c r="B891" s="115"/>
      <c r="C891" s="115"/>
      <c r="D891" s="116"/>
    </row>
    <row r="892" ht="15.75" customHeight="1" spans="1:4">
      <c r="A892" s="115"/>
      <c r="B892" s="115"/>
      <c r="C892" s="115"/>
      <c r="D892" s="116"/>
    </row>
    <row r="893" ht="15.75" customHeight="1" spans="1:4">
      <c r="A893" s="115"/>
      <c r="B893" s="115"/>
      <c r="C893" s="115"/>
      <c r="D893" s="116"/>
    </row>
    <row r="894" ht="15.75" customHeight="1" spans="1:4">
      <c r="A894" s="115"/>
      <c r="B894" s="115"/>
      <c r="C894" s="115"/>
      <c r="D894" s="116"/>
    </row>
    <row r="895" ht="15.75" customHeight="1" spans="1:4">
      <c r="A895" s="115"/>
      <c r="B895" s="115"/>
      <c r="C895" s="115"/>
      <c r="D895" s="116"/>
    </row>
    <row r="896" ht="15.75" customHeight="1" spans="1:4">
      <c r="A896" s="115"/>
      <c r="B896" s="115"/>
      <c r="C896" s="115"/>
      <c r="D896" s="116"/>
    </row>
    <row r="897" ht="15.75" customHeight="1" spans="1:4">
      <c r="A897" s="115"/>
      <c r="B897" s="115"/>
      <c r="C897" s="115"/>
      <c r="D897" s="116"/>
    </row>
    <row r="898" ht="15.75" customHeight="1" spans="1:4">
      <c r="A898" s="115"/>
      <c r="B898" s="115"/>
      <c r="C898" s="115"/>
      <c r="D898" s="116"/>
    </row>
    <row r="899" ht="15.75" customHeight="1" spans="1:4">
      <c r="A899" s="115"/>
      <c r="B899" s="115"/>
      <c r="C899" s="115"/>
      <c r="D899" s="116"/>
    </row>
    <row r="900" ht="15.75" customHeight="1" spans="1:4">
      <c r="A900" s="115"/>
      <c r="B900" s="115"/>
      <c r="C900" s="115"/>
      <c r="D900" s="116"/>
    </row>
    <row r="901" ht="15.75" customHeight="1" spans="1:4">
      <c r="A901" s="115"/>
      <c r="B901" s="115"/>
      <c r="C901" s="115"/>
      <c r="D901" s="116"/>
    </row>
    <row r="902" ht="15.75" customHeight="1" spans="1:4">
      <c r="A902" s="115"/>
      <c r="B902" s="115"/>
      <c r="C902" s="115"/>
      <c r="D902" s="116"/>
    </row>
    <row r="903" ht="15.75" customHeight="1" spans="1:4">
      <c r="A903" s="115"/>
      <c r="B903" s="115"/>
      <c r="C903" s="115"/>
      <c r="D903" s="116"/>
    </row>
    <row r="904" ht="15.75" customHeight="1" spans="1:4">
      <c r="A904" s="115"/>
      <c r="B904" s="115"/>
      <c r="C904" s="115"/>
      <c r="D904" s="116"/>
    </row>
    <row r="905" ht="15.75" customHeight="1" spans="1:4">
      <c r="A905" s="115"/>
      <c r="B905" s="115"/>
      <c r="C905" s="115"/>
      <c r="D905" s="116"/>
    </row>
    <row r="906" ht="15.75" customHeight="1" spans="1:4">
      <c r="A906" s="115"/>
      <c r="B906" s="115"/>
      <c r="C906" s="115"/>
      <c r="D906" s="116"/>
    </row>
    <row r="907" ht="15.75" customHeight="1" spans="1:4">
      <c r="A907" s="115"/>
      <c r="B907" s="115"/>
      <c r="C907" s="115"/>
      <c r="D907" s="116"/>
    </row>
    <row r="908" ht="15.75" customHeight="1" spans="1:4">
      <c r="A908" s="115"/>
      <c r="B908" s="115"/>
      <c r="C908" s="115"/>
      <c r="D908" s="116"/>
    </row>
    <row r="909" ht="15.75" customHeight="1" spans="1:4">
      <c r="A909" s="115"/>
      <c r="B909" s="115"/>
      <c r="C909" s="115"/>
      <c r="D909" s="116"/>
    </row>
    <row r="910" ht="15.75" customHeight="1" spans="1:4">
      <c r="A910" s="115"/>
      <c r="B910" s="115"/>
      <c r="C910" s="115"/>
      <c r="D910" s="116"/>
    </row>
    <row r="911" ht="15.75" customHeight="1" spans="1:4">
      <c r="A911" s="115"/>
      <c r="B911" s="115"/>
      <c r="C911" s="115"/>
      <c r="D911" s="116"/>
    </row>
    <row r="912" ht="15.75" customHeight="1" spans="1:4">
      <c r="A912" s="115"/>
      <c r="B912" s="115"/>
      <c r="C912" s="115"/>
      <c r="D912" s="116"/>
    </row>
    <row r="913" ht="15.75" customHeight="1" spans="1:4">
      <c r="A913" s="115"/>
      <c r="B913" s="115"/>
      <c r="C913" s="115"/>
      <c r="D913" s="116"/>
    </row>
    <row r="914" ht="15.75" customHeight="1" spans="1:4">
      <c r="A914" s="115"/>
      <c r="B914" s="115"/>
      <c r="C914" s="115"/>
      <c r="D914" s="116"/>
    </row>
    <row r="915" ht="15.75" customHeight="1" spans="1:4">
      <c r="A915" s="115"/>
      <c r="B915" s="115"/>
      <c r="C915" s="115"/>
      <c r="D915" s="116"/>
    </row>
    <row r="916" ht="15.75" customHeight="1" spans="1:4">
      <c r="A916" s="115"/>
      <c r="B916" s="115"/>
      <c r="C916" s="115"/>
      <c r="D916" s="116"/>
    </row>
    <row r="917" ht="15.75" customHeight="1" spans="1:4">
      <c r="A917" s="115"/>
      <c r="B917" s="115"/>
      <c r="C917" s="115"/>
      <c r="D917" s="116"/>
    </row>
    <row r="918" ht="15.75" customHeight="1" spans="1:4">
      <c r="A918" s="115"/>
      <c r="B918" s="115"/>
      <c r="C918" s="115"/>
      <c r="D918" s="116"/>
    </row>
    <row r="919" ht="15.75" customHeight="1" spans="1:4">
      <c r="A919" s="115"/>
      <c r="B919" s="115"/>
      <c r="C919" s="115"/>
      <c r="D919" s="116"/>
    </row>
    <row r="920" ht="15.75" customHeight="1" spans="1:4">
      <c r="A920" s="115"/>
      <c r="B920" s="115"/>
      <c r="C920" s="115"/>
      <c r="D920" s="116"/>
    </row>
    <row r="921" ht="15.75" customHeight="1" spans="1:4">
      <c r="A921" s="115"/>
      <c r="B921" s="115"/>
      <c r="C921" s="115"/>
      <c r="D921" s="116"/>
    </row>
    <row r="922" ht="15.75" customHeight="1" spans="1:4">
      <c r="A922" s="115"/>
      <c r="B922" s="115"/>
      <c r="C922" s="115"/>
      <c r="D922" s="116"/>
    </row>
    <row r="923" ht="15.75" customHeight="1" spans="1:4">
      <c r="A923" s="115"/>
      <c r="B923" s="115"/>
      <c r="C923" s="115"/>
      <c r="D923" s="116"/>
    </row>
    <row r="924" ht="15.75" customHeight="1" spans="1:4">
      <c r="A924" s="115"/>
      <c r="B924" s="115"/>
      <c r="C924" s="115"/>
      <c r="D924" s="116"/>
    </row>
    <row r="925" ht="15.75" customHeight="1" spans="1:4">
      <c r="A925" s="115"/>
      <c r="B925" s="115"/>
      <c r="C925" s="115"/>
      <c r="D925" s="116"/>
    </row>
    <row r="926" ht="15.75" customHeight="1" spans="1:4">
      <c r="A926" s="115"/>
      <c r="B926" s="115"/>
      <c r="C926" s="115"/>
      <c r="D926" s="116"/>
    </row>
    <row r="927" ht="15.75" customHeight="1" spans="1:4">
      <c r="A927" s="115"/>
      <c r="B927" s="115"/>
      <c r="C927" s="115"/>
      <c r="D927" s="116"/>
    </row>
    <row r="928" ht="15.75" customHeight="1" spans="1:4">
      <c r="A928" s="115"/>
      <c r="B928" s="115"/>
      <c r="C928" s="115"/>
      <c r="D928" s="116"/>
    </row>
    <row r="929" ht="15.75" customHeight="1" spans="1:4">
      <c r="A929" s="115"/>
      <c r="B929" s="115"/>
      <c r="C929" s="115"/>
      <c r="D929" s="116"/>
    </row>
    <row r="930" ht="15.75" customHeight="1" spans="1:4">
      <c r="A930" s="115"/>
      <c r="B930" s="115"/>
      <c r="C930" s="115"/>
      <c r="D930" s="116"/>
    </row>
    <row r="931" ht="15.75" customHeight="1" spans="1:4">
      <c r="A931" s="115"/>
      <c r="B931" s="115"/>
      <c r="C931" s="115"/>
      <c r="D931" s="116"/>
    </row>
    <row r="932" ht="15.75" customHeight="1" spans="1:4">
      <c r="A932" s="115"/>
      <c r="B932" s="115"/>
      <c r="C932" s="115"/>
      <c r="D932" s="116"/>
    </row>
    <row r="933" ht="15.75" customHeight="1" spans="1:4">
      <c r="A933" s="115"/>
      <c r="B933" s="115"/>
      <c r="C933" s="115"/>
      <c r="D933" s="116"/>
    </row>
    <row r="934" ht="15.75" customHeight="1" spans="1:4">
      <c r="A934" s="115"/>
      <c r="B934" s="115"/>
      <c r="C934" s="115"/>
      <c r="D934" s="116"/>
    </row>
    <row r="935" ht="15.75" customHeight="1" spans="1:4">
      <c r="A935" s="115"/>
      <c r="B935" s="115"/>
      <c r="C935" s="115"/>
      <c r="D935" s="116"/>
    </row>
    <row r="936" ht="15.75" customHeight="1" spans="1:4">
      <c r="A936" s="115"/>
      <c r="B936" s="115"/>
      <c r="C936" s="115"/>
      <c r="D936" s="116"/>
    </row>
    <row r="937" ht="15.75" customHeight="1" spans="1:4">
      <c r="A937" s="115"/>
      <c r="B937" s="115"/>
      <c r="C937" s="115"/>
      <c r="D937" s="116"/>
    </row>
    <row r="938" ht="15.75" customHeight="1" spans="1:4">
      <c r="A938" s="115"/>
      <c r="B938" s="115"/>
      <c r="C938" s="115"/>
      <c r="D938" s="116"/>
    </row>
    <row r="939" ht="15.75" customHeight="1" spans="1:4">
      <c r="A939" s="115"/>
      <c r="B939" s="115"/>
      <c r="C939" s="115"/>
      <c r="D939" s="116"/>
    </row>
    <row r="940" ht="15.75" customHeight="1" spans="1:4">
      <c r="A940" s="115"/>
      <c r="B940" s="115"/>
      <c r="C940" s="115"/>
      <c r="D940" s="116"/>
    </row>
    <row r="941" ht="15.75" customHeight="1" spans="1:4">
      <c r="A941" s="115"/>
      <c r="B941" s="115"/>
      <c r="C941" s="115"/>
      <c r="D941" s="116"/>
    </row>
    <row r="942" ht="15.75" customHeight="1" spans="1:4">
      <c r="A942" s="115"/>
      <c r="B942" s="115"/>
      <c r="C942" s="115"/>
      <c r="D942" s="116"/>
    </row>
    <row r="943" ht="15.75" customHeight="1" spans="1:4">
      <c r="A943" s="115"/>
      <c r="B943" s="115"/>
      <c r="C943" s="115"/>
      <c r="D943" s="116"/>
    </row>
    <row r="944" ht="15.75" customHeight="1" spans="1:4">
      <c r="A944" s="115"/>
      <c r="B944" s="115"/>
      <c r="C944" s="115"/>
      <c r="D944" s="116"/>
    </row>
    <row r="945" ht="15.75" customHeight="1" spans="1:4">
      <c r="A945" s="115"/>
      <c r="B945" s="115"/>
      <c r="C945" s="115"/>
      <c r="D945" s="116"/>
    </row>
    <row r="946" ht="15.75" customHeight="1" spans="1:4">
      <c r="A946" s="115"/>
      <c r="B946" s="115"/>
      <c r="C946" s="115"/>
      <c r="D946" s="116"/>
    </row>
    <row r="947" ht="15.75" customHeight="1" spans="1:4">
      <c r="A947" s="115"/>
      <c r="B947" s="115"/>
      <c r="C947" s="115"/>
      <c r="D947" s="116"/>
    </row>
    <row r="948" ht="15.75" customHeight="1" spans="1:4">
      <c r="A948" s="115"/>
      <c r="B948" s="115"/>
      <c r="C948" s="115"/>
      <c r="D948" s="116"/>
    </row>
    <row r="949" ht="15.75" customHeight="1" spans="1:4">
      <c r="A949" s="115"/>
      <c r="B949" s="115"/>
      <c r="C949" s="115"/>
      <c r="D949" s="116"/>
    </row>
    <row r="950" ht="15.75" customHeight="1" spans="1:4">
      <c r="A950" s="115"/>
      <c r="B950" s="115"/>
      <c r="C950" s="115"/>
      <c r="D950" s="116"/>
    </row>
    <row r="951" ht="15.75" customHeight="1" spans="1:4">
      <c r="A951" s="115"/>
      <c r="B951" s="115"/>
      <c r="C951" s="115"/>
      <c r="D951" s="116"/>
    </row>
    <row r="952" ht="15.75" customHeight="1" spans="1:4">
      <c r="A952" s="115"/>
      <c r="B952" s="115"/>
      <c r="C952" s="115"/>
      <c r="D952" s="116"/>
    </row>
    <row r="953" ht="15.75" customHeight="1" spans="1:4">
      <c r="A953" s="115"/>
      <c r="B953" s="115"/>
      <c r="C953" s="115"/>
      <c r="D953" s="116"/>
    </row>
    <row r="954" ht="15.75" customHeight="1" spans="1:4">
      <c r="A954" s="115"/>
      <c r="B954" s="115"/>
      <c r="C954" s="115"/>
      <c r="D954" s="116"/>
    </row>
    <row r="955" ht="15.75" customHeight="1" spans="1:4">
      <c r="A955" s="115"/>
      <c r="B955" s="115"/>
      <c r="C955" s="115"/>
      <c r="D955" s="116"/>
    </row>
    <row r="956" ht="15.75" customHeight="1" spans="1:4">
      <c r="A956" s="115"/>
      <c r="B956" s="115"/>
      <c r="C956" s="115"/>
      <c r="D956" s="116"/>
    </row>
    <row r="957" ht="15.75" customHeight="1" spans="1:4">
      <c r="A957" s="115"/>
      <c r="B957" s="115"/>
      <c r="C957" s="115"/>
      <c r="D957" s="116"/>
    </row>
    <row r="958" ht="15.75" customHeight="1" spans="1:4">
      <c r="A958" s="115"/>
      <c r="B958" s="115"/>
      <c r="C958" s="115"/>
      <c r="D958" s="116"/>
    </row>
    <row r="959" ht="15.75" customHeight="1" spans="1:4">
      <c r="A959" s="115"/>
      <c r="B959" s="115"/>
      <c r="C959" s="115"/>
      <c r="D959" s="116"/>
    </row>
    <row r="960" ht="15.75" customHeight="1" spans="1:4">
      <c r="A960" s="115"/>
      <c r="B960" s="115"/>
      <c r="C960" s="115"/>
      <c r="D960" s="116"/>
    </row>
    <row r="961" ht="15.75" customHeight="1" spans="1:4">
      <c r="A961" s="115"/>
      <c r="B961" s="115"/>
      <c r="C961" s="115"/>
      <c r="D961" s="116"/>
    </row>
    <row r="962" ht="15.75" customHeight="1" spans="1:4">
      <c r="A962" s="115"/>
      <c r="B962" s="115"/>
      <c r="C962" s="115"/>
      <c r="D962" s="116"/>
    </row>
    <row r="963" ht="15.75" customHeight="1" spans="1:4">
      <c r="A963" s="115"/>
      <c r="B963" s="115"/>
      <c r="C963" s="115"/>
      <c r="D963" s="116"/>
    </row>
    <row r="964" ht="15.75" customHeight="1" spans="1:4">
      <c r="A964" s="115"/>
      <c r="B964" s="115"/>
      <c r="C964" s="115"/>
      <c r="D964" s="116"/>
    </row>
    <row r="965" ht="15.75" customHeight="1" spans="1:4">
      <c r="A965" s="115"/>
      <c r="B965" s="115"/>
      <c r="C965" s="115"/>
      <c r="D965" s="116"/>
    </row>
    <row r="966" ht="15.75" customHeight="1" spans="1:4">
      <c r="A966" s="115"/>
      <c r="B966" s="115"/>
      <c r="C966" s="115"/>
      <c r="D966" s="116"/>
    </row>
    <row r="967" ht="15.75" customHeight="1" spans="1:4">
      <c r="A967" s="115"/>
      <c r="B967" s="115"/>
      <c r="C967" s="115"/>
      <c r="D967" s="116"/>
    </row>
    <row r="968" ht="15.75" customHeight="1" spans="1:4">
      <c r="A968" s="115"/>
      <c r="B968" s="115"/>
      <c r="C968" s="115"/>
      <c r="D968" s="116"/>
    </row>
    <row r="969" ht="15.75" customHeight="1" spans="1:4">
      <c r="A969" s="115"/>
      <c r="B969" s="115"/>
      <c r="C969" s="115"/>
      <c r="D969" s="116"/>
    </row>
    <row r="970" ht="15.75" customHeight="1" spans="1:4">
      <c r="A970" s="115"/>
      <c r="B970" s="115"/>
      <c r="C970" s="115"/>
      <c r="D970" s="116"/>
    </row>
    <row r="971" ht="15.75" customHeight="1" spans="1:4">
      <c r="A971" s="115"/>
      <c r="B971" s="115"/>
      <c r="C971" s="115"/>
      <c r="D971" s="116"/>
    </row>
    <row r="972" ht="15.75" customHeight="1" spans="1:4">
      <c r="A972" s="115"/>
      <c r="B972" s="115"/>
      <c r="C972" s="115"/>
      <c r="D972" s="116"/>
    </row>
    <row r="973" ht="15.75" customHeight="1" spans="1:4">
      <c r="A973" s="115"/>
      <c r="B973" s="115"/>
      <c r="C973" s="115"/>
      <c r="D973" s="116"/>
    </row>
    <row r="974" ht="15.75" customHeight="1" spans="1:4">
      <c r="A974" s="115"/>
      <c r="B974" s="115"/>
      <c r="C974" s="115"/>
      <c r="D974" s="116"/>
    </row>
    <row r="975" ht="15.75" customHeight="1" spans="1:4">
      <c r="A975" s="115"/>
      <c r="B975" s="115"/>
      <c r="C975" s="115"/>
      <c r="D975" s="116"/>
    </row>
    <row r="976" ht="15.75" customHeight="1" spans="1:4">
      <c r="A976" s="115"/>
      <c r="B976" s="115"/>
      <c r="C976" s="115"/>
      <c r="D976" s="116"/>
    </row>
    <row r="977" ht="15.75" customHeight="1" spans="1:4">
      <c r="A977" s="115"/>
      <c r="B977" s="115"/>
      <c r="C977" s="115"/>
      <c r="D977" s="116"/>
    </row>
    <row r="978" ht="15.75" customHeight="1" spans="1:4">
      <c r="A978" s="115"/>
      <c r="B978" s="115"/>
      <c r="C978" s="115"/>
      <c r="D978" s="116"/>
    </row>
    <row r="979" ht="15.75" customHeight="1" spans="1:4">
      <c r="A979" s="115"/>
      <c r="B979" s="115"/>
      <c r="C979" s="115"/>
      <c r="D979" s="116"/>
    </row>
    <row r="980" ht="15.75" customHeight="1" spans="1:4">
      <c r="A980" s="115"/>
      <c r="B980" s="115"/>
      <c r="C980" s="115"/>
      <c r="D980" s="116"/>
    </row>
    <row r="981" ht="15.75" customHeight="1" spans="1:4">
      <c r="A981" s="115"/>
      <c r="B981" s="115"/>
      <c r="C981" s="115"/>
      <c r="D981" s="116"/>
    </row>
    <row r="982" ht="15.75" customHeight="1" spans="1:4">
      <c r="A982" s="115"/>
      <c r="B982" s="115"/>
      <c r="C982" s="115"/>
      <c r="D982" s="116"/>
    </row>
    <row r="983" ht="15.75" customHeight="1" spans="1:4">
      <c r="A983" s="115"/>
      <c r="B983" s="115"/>
      <c r="C983" s="115"/>
      <c r="D983" s="116"/>
    </row>
    <row r="984" ht="15.75" customHeight="1" spans="1:4">
      <c r="A984" s="115"/>
      <c r="B984" s="115"/>
      <c r="C984" s="115"/>
      <c r="D984" s="116"/>
    </row>
    <row r="985" ht="15.75" customHeight="1" spans="1:4">
      <c r="A985" s="115"/>
      <c r="B985" s="115"/>
      <c r="C985" s="115"/>
      <c r="D985" s="116"/>
    </row>
    <row r="986" ht="15.75" customHeight="1" spans="1:4">
      <c r="A986" s="115"/>
      <c r="B986" s="115"/>
      <c r="C986" s="115"/>
      <c r="D986" s="116"/>
    </row>
    <row r="987" ht="15.75" customHeight="1" spans="1:4">
      <c r="A987" s="115"/>
      <c r="B987" s="115"/>
      <c r="C987" s="115"/>
      <c r="D987" s="116"/>
    </row>
    <row r="988" ht="15.75" customHeight="1" spans="1:4">
      <c r="A988" s="115"/>
      <c r="B988" s="115"/>
      <c r="C988" s="115"/>
      <c r="D988" s="116"/>
    </row>
    <row r="989" ht="15.75" customHeight="1" spans="1:4">
      <c r="A989" s="115"/>
      <c r="B989" s="115"/>
      <c r="C989" s="115"/>
      <c r="D989" s="116"/>
    </row>
    <row r="990" ht="15.75" customHeight="1" spans="1:4">
      <c r="A990" s="115"/>
      <c r="B990" s="115"/>
      <c r="C990" s="115"/>
      <c r="D990" s="116"/>
    </row>
    <row r="991" ht="15.75" customHeight="1" spans="1:4">
      <c r="A991" s="115"/>
      <c r="B991" s="115"/>
      <c r="C991" s="115"/>
      <c r="D991" s="116"/>
    </row>
    <row r="992" ht="15.75" customHeight="1" spans="1:4">
      <c r="A992" s="115"/>
      <c r="B992" s="115"/>
      <c r="C992" s="115"/>
      <c r="D992" s="116"/>
    </row>
    <row r="993" ht="15.75" customHeight="1" spans="1:4">
      <c r="A993" s="115"/>
      <c r="B993" s="115"/>
      <c r="C993" s="115"/>
      <c r="D993" s="116"/>
    </row>
    <row r="994" ht="15.75" customHeight="1" spans="1:4">
      <c r="A994" s="115"/>
      <c r="B994" s="115"/>
      <c r="C994" s="115"/>
      <c r="D994" s="116"/>
    </row>
    <row r="995" ht="15.75" customHeight="1" spans="1:4">
      <c r="A995" s="115"/>
      <c r="B995" s="115"/>
      <c r="C995" s="115"/>
      <c r="D995" s="116"/>
    </row>
    <row r="996" ht="15.75" customHeight="1" spans="1:4">
      <c r="A996" s="115"/>
      <c r="B996" s="115"/>
      <c r="C996" s="115"/>
      <c r="D996" s="116"/>
    </row>
    <row r="997" ht="15.75" customHeight="1" spans="1:4">
      <c r="A997" s="115"/>
      <c r="B997" s="115"/>
      <c r="C997" s="115"/>
      <c r="D997" s="116"/>
    </row>
    <row r="998" ht="15.75" customHeight="1" spans="1:4">
      <c r="A998" s="115"/>
      <c r="B998" s="115"/>
      <c r="C998" s="115"/>
      <c r="D998" s="116"/>
    </row>
    <row r="999" ht="15.75" customHeight="1" spans="1:4">
      <c r="A999" s="115"/>
      <c r="B999" s="115"/>
      <c r="C999" s="115"/>
      <c r="D999" s="116"/>
    </row>
    <row r="1000" ht="15.75" customHeight="1" spans="1:4">
      <c r="A1000" s="115"/>
      <c r="B1000" s="115"/>
      <c r="C1000" s="115"/>
      <c r="D1000" s="116"/>
    </row>
  </sheetData>
  <autoFilter xmlns:etc="http://www.wps.cn/officeDocument/2017/etCustomData" ref="A1:D529" etc:filterBottomFollowUsedRange="0">
    <filterColumn colId="3">
      <filters blank="1"/>
    </filterColumn>
    <extLst/>
  </autoFilter>
  <pageMargins left="0.511811024" right="0.511811024" top="0.787401575" bottom="0.787401575" header="0" footer="0"/>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 customWidth="1"/>
    <col min="2" max="2" width="22.4285714285714" customWidth="1"/>
    <col min="3" max="3" width="52.5714285714286" customWidth="1"/>
    <col min="4" max="4" width="15.8571428571429" customWidth="1"/>
    <col min="5" max="5" width="13.8571428571429" customWidth="1"/>
    <col min="6" max="6" width="65.4285714285714" customWidth="1"/>
    <col min="7" max="7" width="65.8571428571429" customWidth="1"/>
    <col min="8" max="26" width="8.71428571428571" customWidth="1"/>
  </cols>
  <sheetData>
    <row r="1" ht="33" customHeight="1" spans="1:26">
      <c r="A1" s="10" t="s">
        <v>1053</v>
      </c>
      <c r="B1" s="10" t="s">
        <v>1114</v>
      </c>
      <c r="C1" s="10" t="s">
        <v>1115</v>
      </c>
      <c r="D1" s="9" t="s">
        <v>1116</v>
      </c>
      <c r="E1" s="94" t="s">
        <v>1117</v>
      </c>
      <c r="F1" s="95" t="s">
        <v>1118</v>
      </c>
      <c r="G1" s="96" t="s">
        <v>1119</v>
      </c>
      <c r="H1" s="82"/>
      <c r="I1" s="82"/>
      <c r="J1" s="82"/>
      <c r="K1" s="82"/>
      <c r="L1" s="82"/>
      <c r="M1" s="82"/>
      <c r="N1" s="82"/>
      <c r="O1" s="82"/>
      <c r="P1" s="82"/>
      <c r="Q1" s="82"/>
      <c r="R1" s="82"/>
      <c r="S1" s="82"/>
      <c r="T1" s="82"/>
      <c r="U1" s="82"/>
      <c r="V1" s="82"/>
      <c r="W1" s="82"/>
      <c r="X1" s="82"/>
      <c r="Y1" s="82"/>
      <c r="Z1" s="82"/>
    </row>
    <row r="2" spans="1:26">
      <c r="A2" s="3">
        <v>2024</v>
      </c>
      <c r="B2" s="3" t="s">
        <v>1120</v>
      </c>
      <c r="C2" s="3" t="s">
        <v>1060</v>
      </c>
      <c r="D2" s="3" t="s">
        <v>1121</v>
      </c>
      <c r="E2" s="97">
        <v>3.38461538461538</v>
      </c>
      <c r="F2" s="98" t="s">
        <v>1060</v>
      </c>
      <c r="G2" s="99" t="s">
        <v>1060</v>
      </c>
      <c r="H2" s="82"/>
      <c r="I2" s="82"/>
      <c r="J2" s="82"/>
      <c r="K2" s="82"/>
      <c r="L2" s="82"/>
      <c r="M2" s="82"/>
      <c r="N2" s="82"/>
      <c r="O2" s="82"/>
      <c r="P2" s="82"/>
      <c r="Q2" s="82"/>
      <c r="R2" s="82"/>
      <c r="S2" s="82"/>
      <c r="T2" s="82"/>
      <c r="U2" s="82"/>
      <c r="V2" s="82"/>
      <c r="W2" s="82"/>
      <c r="X2" s="82"/>
      <c r="Y2" s="82"/>
      <c r="Z2" s="82"/>
    </row>
    <row r="3" spans="1:26">
      <c r="A3" s="3">
        <v>2024</v>
      </c>
      <c r="B3" s="3" t="s">
        <v>1122</v>
      </c>
      <c r="C3" s="3" t="s">
        <v>1123</v>
      </c>
      <c r="D3" s="3" t="s">
        <v>1124</v>
      </c>
      <c r="E3" s="97">
        <v>2887.63596</v>
      </c>
      <c r="F3" s="100">
        <v>0.3579714</v>
      </c>
      <c r="G3" s="101">
        <v>0.05369571</v>
      </c>
      <c r="H3" s="82"/>
      <c r="I3" s="82"/>
      <c r="J3" s="82"/>
      <c r="K3" s="82"/>
      <c r="L3" s="82"/>
      <c r="M3" s="82"/>
      <c r="N3" s="82"/>
      <c r="O3" s="82"/>
      <c r="P3" s="82"/>
      <c r="Q3" s="82"/>
      <c r="R3" s="82"/>
      <c r="S3" s="82"/>
      <c r="T3" s="82"/>
      <c r="U3" s="82"/>
      <c r="V3" s="82"/>
      <c r="W3" s="82"/>
      <c r="X3" s="82"/>
      <c r="Y3" s="82"/>
      <c r="Z3" s="82"/>
    </row>
    <row r="4" spans="1:26">
      <c r="A4" s="3">
        <v>2024</v>
      </c>
      <c r="B4" s="3" t="s">
        <v>1125</v>
      </c>
      <c r="C4" s="3" t="s">
        <v>1126</v>
      </c>
      <c r="D4" s="3" t="s">
        <v>1124</v>
      </c>
      <c r="E4" s="97">
        <v>3389.0882982</v>
      </c>
      <c r="F4" s="100">
        <v>0.420134913</v>
      </c>
      <c r="G4" s="101">
        <v>0.02520809478</v>
      </c>
      <c r="H4" s="82"/>
      <c r="I4" s="82"/>
      <c r="J4" s="82"/>
      <c r="K4" s="82"/>
      <c r="L4" s="82"/>
      <c r="M4" s="82"/>
      <c r="N4" s="82"/>
      <c r="O4" s="82"/>
      <c r="P4" s="82"/>
      <c r="Q4" s="82"/>
      <c r="R4" s="82"/>
      <c r="S4" s="82"/>
      <c r="T4" s="82"/>
      <c r="U4" s="82"/>
      <c r="V4" s="82"/>
      <c r="W4" s="82"/>
      <c r="X4" s="82"/>
      <c r="Y4" s="82"/>
      <c r="Z4" s="82"/>
    </row>
    <row r="5" spans="1:26">
      <c r="A5" s="3">
        <v>2024</v>
      </c>
      <c r="B5" s="3" t="s">
        <v>1127</v>
      </c>
      <c r="C5" s="3" t="s">
        <v>1128</v>
      </c>
      <c r="D5" s="3" t="s">
        <v>1129</v>
      </c>
      <c r="E5" s="97">
        <v>2930.927472</v>
      </c>
      <c r="F5" s="100">
        <v>0.3098232</v>
      </c>
      <c r="G5" s="101">
        <v>0.04647348</v>
      </c>
      <c r="H5" s="82"/>
      <c r="I5" s="82"/>
      <c r="J5" s="82"/>
      <c r="K5" s="82"/>
      <c r="L5" s="82"/>
      <c r="M5" s="82"/>
      <c r="N5" s="82"/>
      <c r="O5" s="82"/>
      <c r="P5" s="82"/>
      <c r="Q5" s="82"/>
      <c r="R5" s="82"/>
      <c r="S5" s="82"/>
      <c r="T5" s="82"/>
      <c r="U5" s="82"/>
      <c r="V5" s="82"/>
      <c r="W5" s="82"/>
      <c r="X5" s="82"/>
      <c r="Y5" s="82"/>
      <c r="Z5" s="82"/>
    </row>
    <row r="6" spans="1:26">
      <c r="A6" s="3">
        <v>2024</v>
      </c>
      <c r="B6" s="3" t="s">
        <v>1130</v>
      </c>
      <c r="C6" s="3" t="s">
        <v>1128</v>
      </c>
      <c r="D6" s="3" t="s">
        <v>1129</v>
      </c>
      <c r="E6" s="97">
        <v>2542.7776176</v>
      </c>
      <c r="F6" s="100">
        <v>0.26879256</v>
      </c>
      <c r="G6" s="101">
        <v>0.040318884</v>
      </c>
      <c r="H6" s="82"/>
      <c r="I6" s="82"/>
      <c r="J6" s="82"/>
      <c r="K6" s="82"/>
      <c r="L6" s="82"/>
      <c r="M6" s="82"/>
      <c r="N6" s="82"/>
      <c r="O6" s="82"/>
      <c r="P6" s="82"/>
      <c r="Q6" s="82"/>
      <c r="R6" s="82"/>
      <c r="S6" s="82"/>
      <c r="T6" s="82"/>
      <c r="U6" s="82"/>
      <c r="V6" s="82"/>
      <c r="W6" s="82"/>
      <c r="X6" s="82"/>
      <c r="Y6" s="82"/>
      <c r="Z6" s="82"/>
    </row>
    <row r="7" spans="1:26">
      <c r="A7" s="3">
        <v>2024</v>
      </c>
      <c r="B7" s="3" t="s">
        <v>1131</v>
      </c>
      <c r="C7" s="3" t="s">
        <v>1132</v>
      </c>
      <c r="D7" s="3" t="s">
        <v>1129</v>
      </c>
      <c r="E7" s="97">
        <v>1249.927272</v>
      </c>
      <c r="F7" s="100">
        <v>0.1235106</v>
      </c>
      <c r="G7" s="101">
        <v>0.01852659</v>
      </c>
      <c r="H7" s="82"/>
      <c r="I7" s="82"/>
      <c r="J7" s="82"/>
      <c r="K7" s="82"/>
      <c r="L7" s="82"/>
      <c r="M7" s="82"/>
      <c r="N7" s="82"/>
      <c r="O7" s="82"/>
      <c r="P7" s="82"/>
      <c r="Q7" s="82"/>
      <c r="R7" s="82"/>
      <c r="S7" s="82"/>
      <c r="T7" s="82"/>
      <c r="U7" s="82"/>
      <c r="V7" s="82"/>
      <c r="W7" s="82"/>
      <c r="X7" s="82"/>
      <c r="Y7" s="82"/>
      <c r="Z7" s="82"/>
    </row>
    <row r="8" spans="1:26">
      <c r="A8" s="3">
        <v>2024</v>
      </c>
      <c r="B8" s="3" t="s">
        <v>1133</v>
      </c>
      <c r="C8" s="3" t="s">
        <v>1132</v>
      </c>
      <c r="D8" s="3" t="s">
        <v>1129</v>
      </c>
      <c r="E8" s="97">
        <v>1313.482896</v>
      </c>
      <c r="F8" s="100">
        <v>0.1297908</v>
      </c>
      <c r="G8" s="101">
        <v>0.01946862</v>
      </c>
      <c r="H8" s="82"/>
      <c r="I8" s="82"/>
      <c r="J8" s="82"/>
      <c r="K8" s="82"/>
      <c r="L8" s="82"/>
      <c r="M8" s="82"/>
      <c r="N8" s="82"/>
      <c r="O8" s="82"/>
      <c r="P8" s="82"/>
      <c r="Q8" s="82"/>
      <c r="R8" s="82"/>
      <c r="S8" s="82"/>
      <c r="T8" s="82"/>
      <c r="U8" s="82"/>
      <c r="V8" s="82"/>
      <c r="W8" s="82"/>
      <c r="X8" s="82"/>
      <c r="Y8" s="82"/>
      <c r="Z8" s="82"/>
    </row>
    <row r="9" spans="1:26">
      <c r="A9" s="3">
        <v>2024</v>
      </c>
      <c r="B9" s="3" t="s">
        <v>1134</v>
      </c>
      <c r="C9" s="3" t="s">
        <v>1132</v>
      </c>
      <c r="D9" s="3" t="s">
        <v>1129</v>
      </c>
      <c r="E9" s="97">
        <v>1482.96456</v>
      </c>
      <c r="F9" s="100">
        <v>0.146538</v>
      </c>
      <c r="G9" s="101">
        <v>0.0219807</v>
      </c>
      <c r="H9" s="82"/>
      <c r="I9" s="82"/>
      <c r="J9" s="82"/>
      <c r="K9" s="82"/>
      <c r="L9" s="82"/>
      <c r="M9" s="82"/>
      <c r="N9" s="82"/>
      <c r="O9" s="82"/>
      <c r="P9" s="82"/>
      <c r="Q9" s="82"/>
      <c r="R9" s="82"/>
      <c r="S9" s="82"/>
      <c r="T9" s="82"/>
      <c r="U9" s="82"/>
      <c r="V9" s="82"/>
      <c r="W9" s="82"/>
      <c r="X9" s="82"/>
      <c r="Y9" s="82"/>
      <c r="Z9" s="82"/>
    </row>
    <row r="10" spans="1:26">
      <c r="A10" s="3">
        <v>2024</v>
      </c>
      <c r="B10" s="3" t="s">
        <v>1135</v>
      </c>
      <c r="C10" s="3" t="s">
        <v>1132</v>
      </c>
      <c r="D10" s="3" t="s">
        <v>1129</v>
      </c>
      <c r="E10" s="97">
        <v>1608.84768</v>
      </c>
      <c r="F10" s="100">
        <v>0.167472</v>
      </c>
      <c r="G10" s="101">
        <v>0.0251208</v>
      </c>
      <c r="H10" s="82"/>
      <c r="I10" s="82"/>
      <c r="J10" s="82"/>
      <c r="K10" s="82"/>
      <c r="L10" s="82"/>
      <c r="M10" s="82"/>
      <c r="N10" s="82"/>
      <c r="O10" s="82"/>
      <c r="P10" s="82"/>
      <c r="Q10" s="82"/>
      <c r="R10" s="82"/>
      <c r="S10" s="82"/>
      <c r="T10" s="82"/>
      <c r="U10" s="82"/>
      <c r="V10" s="82"/>
      <c r="W10" s="82"/>
      <c r="X10" s="82"/>
      <c r="Y10" s="82"/>
      <c r="Z10" s="82"/>
    </row>
    <row r="11" spans="1:26">
      <c r="A11" s="3">
        <v>2024</v>
      </c>
      <c r="B11" s="3" t="s">
        <v>1136</v>
      </c>
      <c r="C11" s="3" t="s">
        <v>1132</v>
      </c>
      <c r="D11" s="3" t="s">
        <v>1129</v>
      </c>
      <c r="E11" s="97">
        <v>1709.40066</v>
      </c>
      <c r="F11" s="100">
        <v>0.177939</v>
      </c>
      <c r="G11" s="101">
        <v>0.02669085</v>
      </c>
      <c r="H11" s="82"/>
      <c r="I11" s="82"/>
      <c r="J11" s="82"/>
      <c r="K11" s="82"/>
      <c r="L11" s="82"/>
      <c r="M11" s="82"/>
      <c r="N11" s="82"/>
      <c r="O11" s="82"/>
      <c r="P11" s="82"/>
      <c r="Q11" s="82"/>
      <c r="R11" s="82"/>
      <c r="S11" s="82"/>
      <c r="T11" s="82"/>
      <c r="U11" s="82"/>
      <c r="V11" s="82"/>
      <c r="W11" s="82"/>
      <c r="X11" s="82"/>
      <c r="Y11" s="82"/>
      <c r="Z11" s="82"/>
    </row>
    <row r="12" spans="1:26">
      <c r="A12" s="3">
        <v>2024</v>
      </c>
      <c r="B12" s="3" t="s">
        <v>1137</v>
      </c>
      <c r="C12" s="3" t="s">
        <v>1132</v>
      </c>
      <c r="D12" s="3" t="s">
        <v>1129</v>
      </c>
      <c r="E12" s="97">
        <v>1762.517196</v>
      </c>
      <c r="F12" s="100">
        <v>0.1863126</v>
      </c>
      <c r="G12" s="101">
        <v>0.02794689</v>
      </c>
      <c r="H12" s="82"/>
      <c r="I12" s="82"/>
      <c r="J12" s="82"/>
      <c r="K12" s="82"/>
      <c r="L12" s="82"/>
      <c r="M12" s="82"/>
      <c r="N12" s="82"/>
      <c r="O12" s="82"/>
      <c r="P12" s="82"/>
      <c r="Q12" s="82"/>
      <c r="R12" s="82"/>
      <c r="S12" s="82"/>
      <c r="T12" s="82"/>
      <c r="U12" s="82"/>
      <c r="V12" s="82"/>
      <c r="W12" s="82"/>
      <c r="X12" s="82"/>
      <c r="Y12" s="82"/>
      <c r="Z12" s="82"/>
    </row>
    <row r="13" spans="1:26">
      <c r="A13" s="3">
        <v>2024</v>
      </c>
      <c r="B13" s="3" t="s">
        <v>1138</v>
      </c>
      <c r="C13" s="3" t="s">
        <v>1132</v>
      </c>
      <c r="D13" s="3" t="s">
        <v>1129</v>
      </c>
      <c r="E13" s="97">
        <v>1970.838408</v>
      </c>
      <c r="F13" s="100">
        <v>0.2051532</v>
      </c>
      <c r="G13" s="101">
        <v>0.03077298</v>
      </c>
      <c r="H13" s="82"/>
      <c r="I13" s="82"/>
      <c r="J13" s="82"/>
      <c r="K13" s="82"/>
      <c r="L13" s="82"/>
      <c r="M13" s="82"/>
      <c r="N13" s="82"/>
      <c r="O13" s="82"/>
      <c r="P13" s="82"/>
      <c r="Q13" s="82"/>
      <c r="R13" s="82"/>
      <c r="S13" s="82"/>
      <c r="T13" s="82"/>
      <c r="U13" s="82"/>
      <c r="V13" s="82"/>
      <c r="W13" s="82"/>
      <c r="X13" s="82"/>
      <c r="Y13" s="82"/>
      <c r="Z13" s="82"/>
    </row>
    <row r="14" spans="1:26">
      <c r="A14" s="3">
        <v>2024</v>
      </c>
      <c r="B14" s="3" t="s">
        <v>1139</v>
      </c>
      <c r="C14" s="3" t="s">
        <v>1132</v>
      </c>
      <c r="D14" s="3" t="s">
        <v>1129</v>
      </c>
      <c r="E14" s="97">
        <v>2217.999168</v>
      </c>
      <c r="F14" s="100">
        <v>0.2344608</v>
      </c>
      <c r="G14" s="101">
        <v>0.03516912</v>
      </c>
      <c r="H14" s="82"/>
      <c r="I14" s="82"/>
      <c r="J14" s="82"/>
      <c r="K14" s="82"/>
      <c r="L14" s="82"/>
      <c r="M14" s="82"/>
      <c r="N14" s="82"/>
      <c r="O14" s="82"/>
      <c r="P14" s="82"/>
      <c r="Q14" s="82"/>
      <c r="R14" s="82"/>
      <c r="S14" s="82"/>
      <c r="T14" s="82"/>
      <c r="U14" s="82"/>
      <c r="V14" s="82"/>
      <c r="W14" s="82"/>
      <c r="X14" s="82"/>
      <c r="Y14" s="82"/>
      <c r="Z14" s="82"/>
    </row>
    <row r="15" spans="1:26">
      <c r="A15" s="3">
        <v>2024</v>
      </c>
      <c r="B15" s="3" t="s">
        <v>1140</v>
      </c>
      <c r="C15" s="3" t="s">
        <v>1132</v>
      </c>
      <c r="D15" s="3" t="s">
        <v>1129</v>
      </c>
      <c r="E15" s="97">
        <v>2257.606296</v>
      </c>
      <c r="F15" s="100">
        <v>0.2386476</v>
      </c>
      <c r="G15" s="101">
        <v>0.03579714</v>
      </c>
      <c r="H15" s="82"/>
      <c r="I15" s="82"/>
      <c r="J15" s="82"/>
      <c r="K15" s="82"/>
      <c r="L15" s="82"/>
      <c r="M15" s="82"/>
      <c r="N15" s="82"/>
      <c r="O15" s="82"/>
      <c r="P15" s="82"/>
      <c r="Q15" s="82"/>
      <c r="R15" s="82"/>
      <c r="S15" s="82"/>
      <c r="T15" s="82"/>
      <c r="U15" s="82"/>
      <c r="V15" s="82"/>
      <c r="W15" s="82"/>
      <c r="X15" s="82"/>
      <c r="Y15" s="82"/>
      <c r="Z15" s="82"/>
    </row>
    <row r="16" spans="1:26">
      <c r="A16" s="3">
        <v>2024</v>
      </c>
      <c r="B16" s="3" t="s">
        <v>1141</v>
      </c>
      <c r="C16" s="3" t="s">
        <v>1132</v>
      </c>
      <c r="D16" s="3" t="s">
        <v>1129</v>
      </c>
      <c r="E16" s="97">
        <v>1207.556856</v>
      </c>
      <c r="F16" s="100">
        <v>0.1193238</v>
      </c>
      <c r="G16" s="101">
        <v>0.01789857</v>
      </c>
      <c r="H16" s="82"/>
      <c r="I16" s="82"/>
      <c r="J16" s="82"/>
      <c r="K16" s="82"/>
      <c r="L16" s="82"/>
      <c r="M16" s="82"/>
      <c r="N16" s="82"/>
      <c r="O16" s="82"/>
      <c r="P16" s="82"/>
      <c r="Q16" s="82"/>
      <c r="R16" s="82"/>
      <c r="S16" s="82"/>
      <c r="T16" s="82"/>
      <c r="U16" s="82"/>
      <c r="V16" s="82"/>
      <c r="W16" s="82"/>
      <c r="X16" s="82"/>
      <c r="Y16" s="82"/>
      <c r="Z16" s="82"/>
    </row>
    <row r="17" spans="1:26">
      <c r="A17" s="3">
        <v>2024</v>
      </c>
      <c r="B17" s="3" t="s">
        <v>1142</v>
      </c>
      <c r="C17" s="3" t="s">
        <v>1143</v>
      </c>
      <c r="D17" s="3" t="s">
        <v>1129</v>
      </c>
      <c r="E17" s="97">
        <v>3093.040368</v>
      </c>
      <c r="F17" s="100">
        <v>0.2888892</v>
      </c>
      <c r="G17" s="101">
        <v>0.04333338</v>
      </c>
      <c r="H17" s="82"/>
      <c r="I17" s="82"/>
      <c r="J17" s="82"/>
      <c r="K17" s="82"/>
      <c r="L17" s="82"/>
      <c r="M17" s="82"/>
      <c r="N17" s="82"/>
      <c r="O17" s="82"/>
      <c r="P17" s="82"/>
      <c r="Q17" s="82"/>
      <c r="R17" s="82"/>
      <c r="S17" s="82"/>
      <c r="T17" s="82"/>
      <c r="U17" s="82"/>
      <c r="V17" s="82"/>
      <c r="W17" s="82"/>
      <c r="X17" s="82"/>
      <c r="Y17" s="82"/>
      <c r="Z17" s="82"/>
    </row>
    <row r="18" spans="1:26">
      <c r="A18" s="3">
        <v>2024</v>
      </c>
      <c r="B18" s="3" t="s">
        <v>1144</v>
      </c>
      <c r="C18" s="3" t="s">
        <v>1145</v>
      </c>
      <c r="D18" s="3" t="s">
        <v>1124</v>
      </c>
      <c r="E18" s="97">
        <v>3563.121097536</v>
      </c>
      <c r="F18" s="100">
        <v>0.3653234208</v>
      </c>
      <c r="G18" s="101">
        <v>0.021919405248</v>
      </c>
      <c r="H18" s="82"/>
      <c r="I18" s="82"/>
      <c r="J18" s="82"/>
      <c r="K18" s="82"/>
      <c r="L18" s="82"/>
      <c r="M18" s="82"/>
      <c r="N18" s="82"/>
      <c r="O18" s="82"/>
      <c r="P18" s="82"/>
      <c r="Q18" s="82"/>
      <c r="R18" s="82"/>
      <c r="S18" s="82"/>
      <c r="T18" s="82"/>
      <c r="U18" s="82"/>
      <c r="V18" s="82"/>
      <c r="W18" s="82"/>
      <c r="X18" s="82"/>
      <c r="Y18" s="82"/>
      <c r="Z18" s="82"/>
    </row>
    <row r="19" spans="1:26">
      <c r="A19" s="3">
        <v>2024</v>
      </c>
      <c r="B19" s="3" t="s">
        <v>1146</v>
      </c>
      <c r="C19" s="3" t="s">
        <v>1147</v>
      </c>
      <c r="D19" s="3" t="s">
        <v>1129</v>
      </c>
      <c r="E19" s="97">
        <v>2858.24</v>
      </c>
      <c r="F19" s="100">
        <v>0.232</v>
      </c>
      <c r="G19" s="101">
        <v>0.00464</v>
      </c>
      <c r="H19" s="82"/>
      <c r="I19" s="82"/>
      <c r="J19" s="82"/>
      <c r="K19" s="82"/>
      <c r="L19" s="82"/>
      <c r="M19" s="82"/>
      <c r="N19" s="82"/>
      <c r="O19" s="82"/>
      <c r="P19" s="82"/>
      <c r="Q19" s="82"/>
      <c r="R19" s="82"/>
      <c r="S19" s="82"/>
      <c r="T19" s="82"/>
      <c r="U19" s="82"/>
      <c r="V19" s="82"/>
      <c r="W19" s="82"/>
      <c r="X19" s="82"/>
      <c r="Y19" s="82"/>
      <c r="Z19" s="82"/>
    </row>
    <row r="20" spans="1:26">
      <c r="A20" s="3">
        <v>2024</v>
      </c>
      <c r="B20" s="3" t="s">
        <v>1148</v>
      </c>
      <c r="C20" s="3" t="s">
        <v>1149</v>
      </c>
      <c r="D20" s="3" t="s">
        <v>1129</v>
      </c>
      <c r="E20" s="97">
        <v>1716.99</v>
      </c>
      <c r="F20" s="100">
        <v>0.1935</v>
      </c>
      <c r="G20" s="101">
        <v>0.00387</v>
      </c>
      <c r="H20" s="82"/>
      <c r="I20" s="82"/>
      <c r="J20" s="82"/>
      <c r="K20" s="82"/>
      <c r="L20" s="82"/>
      <c r="M20" s="82"/>
      <c r="N20" s="82"/>
      <c r="O20" s="82"/>
      <c r="P20" s="82"/>
      <c r="Q20" s="82"/>
      <c r="R20" s="82"/>
      <c r="S20" s="82"/>
      <c r="T20" s="82"/>
      <c r="U20" s="82"/>
      <c r="V20" s="82"/>
      <c r="W20" s="82"/>
      <c r="X20" s="82"/>
      <c r="Y20" s="82"/>
      <c r="Z20" s="82"/>
    </row>
    <row r="21" ht="15.75" customHeight="1" spans="1:26">
      <c r="A21" s="3">
        <v>2024</v>
      </c>
      <c r="B21" s="3" t="s">
        <v>1150</v>
      </c>
      <c r="C21" s="3" t="s">
        <v>1151</v>
      </c>
      <c r="D21" s="3" t="s">
        <v>1129</v>
      </c>
      <c r="E21" s="97">
        <v>2849.55</v>
      </c>
      <c r="F21" s="100">
        <v>0.2475</v>
      </c>
      <c r="G21" s="101">
        <v>0.00495</v>
      </c>
      <c r="H21" s="82"/>
      <c r="I21" s="82"/>
      <c r="J21" s="82"/>
      <c r="K21" s="82"/>
      <c r="L21" s="82"/>
      <c r="M21" s="82"/>
      <c r="N21" s="82"/>
      <c r="O21" s="82"/>
      <c r="P21" s="82"/>
      <c r="Q21" s="82"/>
      <c r="R21" s="82"/>
      <c r="S21" s="82"/>
      <c r="T21" s="82"/>
      <c r="U21" s="82"/>
      <c r="V21" s="82"/>
      <c r="W21" s="82"/>
      <c r="X21" s="82"/>
      <c r="Y21" s="82"/>
      <c r="Z21" s="82"/>
    </row>
    <row r="22" ht="15.75" customHeight="1" spans="1:26">
      <c r="A22" s="3">
        <v>2024</v>
      </c>
      <c r="B22" s="3" t="s">
        <v>1152</v>
      </c>
      <c r="C22" s="3" t="s">
        <v>1153</v>
      </c>
      <c r="D22" s="3" t="s">
        <v>1129</v>
      </c>
      <c r="E22" s="97">
        <v>2930.927472</v>
      </c>
      <c r="F22" s="100">
        <v>0.2323674</v>
      </c>
      <c r="G22" s="101">
        <v>0.004647348</v>
      </c>
      <c r="H22" s="82"/>
      <c r="I22" s="82"/>
      <c r="J22" s="82"/>
      <c r="K22" s="82"/>
      <c r="L22" s="82"/>
      <c r="M22" s="82"/>
      <c r="N22" s="82"/>
      <c r="O22" s="82"/>
      <c r="P22" s="82"/>
      <c r="Q22" s="82"/>
      <c r="R22" s="82"/>
      <c r="S22" s="82"/>
      <c r="T22" s="82"/>
      <c r="U22" s="82"/>
      <c r="V22" s="82"/>
      <c r="W22" s="82"/>
      <c r="X22" s="82"/>
      <c r="Y22" s="82"/>
      <c r="Z22" s="82"/>
    </row>
    <row r="23" ht="15.75" customHeight="1" spans="1:26">
      <c r="A23" s="3">
        <v>2024</v>
      </c>
      <c r="B23" s="3" t="s">
        <v>1154</v>
      </c>
      <c r="C23" s="3" t="s">
        <v>1155</v>
      </c>
      <c r="D23" s="3" t="s">
        <v>1124</v>
      </c>
      <c r="E23" s="102">
        <v>2.066939424</v>
      </c>
      <c r="F23" s="100">
        <v>0.0001842192</v>
      </c>
      <c r="G23" s="101">
        <v>3.684384e-6</v>
      </c>
      <c r="H23" s="82"/>
      <c r="I23" s="82"/>
      <c r="J23" s="82"/>
      <c r="K23" s="82"/>
      <c r="L23" s="82"/>
      <c r="M23" s="82"/>
      <c r="N23" s="82"/>
      <c r="O23" s="82"/>
      <c r="P23" s="82"/>
      <c r="Q23" s="82"/>
      <c r="R23" s="82"/>
      <c r="S23" s="82"/>
      <c r="T23" s="82"/>
      <c r="U23" s="82"/>
      <c r="V23" s="82"/>
      <c r="W23" s="82"/>
      <c r="X23" s="82"/>
      <c r="Y23" s="82"/>
      <c r="Z23" s="82"/>
    </row>
    <row r="24" ht="15.75" customHeight="1" spans="1:26">
      <c r="A24" s="3">
        <v>2024</v>
      </c>
      <c r="B24" s="3" t="s">
        <v>1156</v>
      </c>
      <c r="C24" s="3" t="s">
        <v>1155</v>
      </c>
      <c r="D24" s="3" t="s">
        <v>1124</v>
      </c>
      <c r="E24" s="102">
        <v>2.3323532364</v>
      </c>
      <c r="F24" s="100">
        <v>0.00020787462</v>
      </c>
      <c r="G24" s="101">
        <v>4.1574924e-6</v>
      </c>
      <c r="H24" s="82"/>
      <c r="I24" s="82"/>
      <c r="J24" s="82"/>
      <c r="K24" s="82"/>
      <c r="L24" s="82"/>
      <c r="M24" s="82"/>
      <c r="N24" s="82"/>
      <c r="O24" s="82"/>
      <c r="P24" s="82"/>
      <c r="Q24" s="82"/>
      <c r="R24" s="82"/>
      <c r="S24" s="82"/>
      <c r="T24" s="82"/>
      <c r="U24" s="82"/>
      <c r="V24" s="82"/>
      <c r="W24" s="82"/>
      <c r="X24" s="82"/>
      <c r="Y24" s="82"/>
      <c r="Z24" s="82"/>
    </row>
    <row r="25" ht="15.75" customHeight="1" spans="1:26">
      <c r="A25" s="3">
        <v>2024</v>
      </c>
      <c r="B25" s="3" t="s">
        <v>1157</v>
      </c>
      <c r="C25" s="3" t="s">
        <v>1158</v>
      </c>
      <c r="D25" s="3" t="s">
        <v>1159</v>
      </c>
      <c r="E25" s="102">
        <v>2.238992788032</v>
      </c>
      <c r="F25" s="100">
        <v>0.0003230869824</v>
      </c>
      <c r="G25" s="101">
        <v>1.9385218944e-5</v>
      </c>
      <c r="H25" s="82"/>
      <c r="I25" s="82"/>
      <c r="J25" s="82"/>
      <c r="K25" s="82"/>
      <c r="L25" s="82"/>
      <c r="M25" s="82"/>
      <c r="N25" s="82"/>
      <c r="O25" s="82"/>
      <c r="P25" s="82"/>
      <c r="Q25" s="82"/>
      <c r="R25" s="82"/>
      <c r="S25" s="82"/>
      <c r="T25" s="82"/>
      <c r="U25" s="82"/>
      <c r="V25" s="82"/>
      <c r="W25" s="82"/>
      <c r="X25" s="82"/>
      <c r="Y25" s="82"/>
      <c r="Z25" s="82"/>
    </row>
    <row r="26" ht="15.75" customHeight="1" spans="1:26">
      <c r="A26" s="3">
        <v>2024</v>
      </c>
      <c r="B26" s="3" t="s">
        <v>1160</v>
      </c>
      <c r="C26" s="3" t="s">
        <v>1161</v>
      </c>
      <c r="D26" s="3" t="s">
        <v>1159</v>
      </c>
      <c r="E26" s="102">
        <v>2.256469663536</v>
      </c>
      <c r="F26" s="100">
        <v>0.0003221993808</v>
      </c>
      <c r="G26" s="101">
        <v>1.9331962848e-5</v>
      </c>
      <c r="H26" s="82"/>
      <c r="I26" s="82"/>
      <c r="J26" s="82"/>
      <c r="K26" s="82"/>
      <c r="L26" s="82"/>
      <c r="M26" s="82"/>
      <c r="N26" s="82"/>
      <c r="O26" s="82"/>
      <c r="P26" s="82"/>
      <c r="Q26" s="82"/>
      <c r="R26" s="82"/>
      <c r="S26" s="82"/>
      <c r="T26" s="82"/>
      <c r="U26" s="82"/>
      <c r="V26" s="82"/>
      <c r="W26" s="82"/>
      <c r="X26" s="82"/>
      <c r="Y26" s="82"/>
      <c r="Z26" s="82"/>
    </row>
    <row r="27" ht="15.75" customHeight="1" spans="1:26">
      <c r="A27" s="3">
        <v>2024</v>
      </c>
      <c r="B27" s="3" t="s">
        <v>1162</v>
      </c>
      <c r="C27" s="3" t="s">
        <v>1163</v>
      </c>
      <c r="D27" s="3" t="s">
        <v>1129</v>
      </c>
      <c r="E27" s="97">
        <v>2836.16666666667</v>
      </c>
      <c r="F27" s="100">
        <v>0.442</v>
      </c>
      <c r="G27" s="101">
        <v>0.02652</v>
      </c>
      <c r="H27" s="82"/>
      <c r="I27" s="82"/>
      <c r="J27" s="82"/>
      <c r="K27" s="82"/>
      <c r="L27" s="82"/>
      <c r="M27" s="82"/>
      <c r="N27" s="82"/>
      <c r="O27" s="82"/>
      <c r="P27" s="82"/>
      <c r="Q27" s="82"/>
      <c r="R27" s="82"/>
      <c r="S27" s="82"/>
      <c r="T27" s="82"/>
      <c r="U27" s="82"/>
      <c r="V27" s="82"/>
      <c r="W27" s="82"/>
      <c r="X27" s="82"/>
      <c r="Y27" s="82"/>
      <c r="Z27" s="82"/>
    </row>
    <row r="28" ht="15.75" customHeight="1" spans="1:26">
      <c r="A28" s="3">
        <v>2024</v>
      </c>
      <c r="B28" s="3" t="s">
        <v>1164</v>
      </c>
      <c r="C28" s="3" t="s">
        <v>1165</v>
      </c>
      <c r="D28" s="3" t="s">
        <v>1159</v>
      </c>
      <c r="E28" s="102">
        <v>2.71876836</v>
      </c>
      <c r="F28" s="100">
        <v>0.00037074114</v>
      </c>
      <c r="G28" s="101">
        <v>2.22444684e-5</v>
      </c>
      <c r="H28" s="82"/>
      <c r="I28" s="82"/>
      <c r="J28" s="82"/>
      <c r="K28" s="82"/>
      <c r="L28" s="82"/>
      <c r="M28" s="82"/>
      <c r="N28" s="82"/>
      <c r="O28" s="82"/>
      <c r="P28" s="82"/>
      <c r="Q28" s="82"/>
      <c r="R28" s="82"/>
      <c r="S28" s="82"/>
      <c r="T28" s="82"/>
      <c r="U28" s="82"/>
      <c r="V28" s="82"/>
      <c r="W28" s="82"/>
      <c r="X28" s="82"/>
      <c r="Y28" s="82"/>
      <c r="Z28" s="82"/>
    </row>
    <row r="29" ht="15.75" customHeight="1" spans="1:26">
      <c r="A29" s="3">
        <v>2024</v>
      </c>
      <c r="B29" s="3" t="s">
        <v>1166</v>
      </c>
      <c r="C29" s="3" t="s">
        <v>1167</v>
      </c>
      <c r="D29" s="3" t="s">
        <v>1124</v>
      </c>
      <c r="E29" s="97">
        <v>2291.15261232</v>
      </c>
      <c r="F29" s="100">
        <v>0.31242990168</v>
      </c>
      <c r="G29" s="101">
        <v>0.0187457941008</v>
      </c>
      <c r="H29" s="82"/>
      <c r="I29" s="82"/>
      <c r="J29" s="82"/>
      <c r="K29" s="82"/>
      <c r="L29" s="82"/>
      <c r="M29" s="82"/>
      <c r="N29" s="82"/>
      <c r="O29" s="82"/>
      <c r="P29" s="82"/>
      <c r="Q29" s="82"/>
      <c r="R29" s="82"/>
      <c r="S29" s="82"/>
      <c r="T29" s="82"/>
      <c r="U29" s="82"/>
      <c r="V29" s="82"/>
      <c r="W29" s="82"/>
      <c r="X29" s="82"/>
      <c r="Y29" s="82"/>
      <c r="Z29" s="82"/>
    </row>
    <row r="30" ht="15.75" customHeight="1" spans="1:26">
      <c r="A30" s="3">
        <v>2024</v>
      </c>
      <c r="B30" s="3" t="s">
        <v>1168</v>
      </c>
      <c r="C30" s="3" t="s">
        <v>1169</v>
      </c>
      <c r="D30" s="3" t="s">
        <v>1159</v>
      </c>
      <c r="E30" s="102">
        <v>3.1063809084</v>
      </c>
      <c r="F30" s="100">
        <v>0.00040151412</v>
      </c>
      <c r="G30" s="101">
        <v>2.40908472e-5</v>
      </c>
      <c r="H30" s="82"/>
      <c r="I30" s="82"/>
      <c r="J30" s="82"/>
      <c r="K30" s="82"/>
      <c r="L30" s="82"/>
      <c r="M30" s="82"/>
      <c r="N30" s="82"/>
      <c r="O30" s="82"/>
      <c r="P30" s="82"/>
      <c r="Q30" s="82"/>
      <c r="R30" s="82"/>
      <c r="S30" s="82"/>
      <c r="T30" s="82"/>
      <c r="U30" s="82"/>
      <c r="V30" s="82"/>
      <c r="W30" s="82"/>
      <c r="X30" s="82"/>
      <c r="Y30" s="82"/>
      <c r="Z30" s="82"/>
    </row>
    <row r="31" ht="15.75" customHeight="1" spans="1:26">
      <c r="A31" s="3">
        <v>2024</v>
      </c>
      <c r="B31" s="3" t="s">
        <v>1170</v>
      </c>
      <c r="C31" s="3" t="s">
        <v>1171</v>
      </c>
      <c r="D31" s="3" t="s">
        <v>1129</v>
      </c>
      <c r="E31" s="97">
        <v>2792.73</v>
      </c>
      <c r="F31" s="100">
        <v>0.381</v>
      </c>
      <c r="G31" s="101">
        <v>0.02286</v>
      </c>
      <c r="H31" s="82"/>
      <c r="I31" s="82"/>
      <c r="J31" s="82"/>
      <c r="K31" s="82"/>
      <c r="L31" s="82"/>
      <c r="M31" s="82"/>
      <c r="N31" s="82"/>
      <c r="O31" s="82"/>
      <c r="P31" s="82"/>
      <c r="Q31" s="82"/>
      <c r="R31" s="82"/>
      <c r="S31" s="82"/>
      <c r="T31" s="82"/>
      <c r="U31" s="82"/>
      <c r="V31" s="82"/>
      <c r="W31" s="82"/>
      <c r="X31" s="82"/>
      <c r="Y31" s="82"/>
      <c r="Z31" s="82"/>
    </row>
    <row r="32" ht="15.75" customHeight="1" spans="1:26">
      <c r="A32" s="3">
        <v>2024</v>
      </c>
      <c r="B32" s="3" t="s">
        <v>1172</v>
      </c>
      <c r="C32" s="3" t="s">
        <v>1173</v>
      </c>
      <c r="D32" s="3" t="s">
        <v>1159</v>
      </c>
      <c r="E32" s="103">
        <v>2.63090808288</v>
      </c>
      <c r="F32" s="100">
        <v>0.000355208112</v>
      </c>
      <c r="G32" s="101">
        <v>2.131248672e-5</v>
      </c>
      <c r="H32" s="82"/>
      <c r="I32" s="82"/>
      <c r="J32" s="82"/>
      <c r="K32" s="82"/>
      <c r="L32" s="82"/>
      <c r="M32" s="82"/>
      <c r="N32" s="82"/>
      <c r="O32" s="82"/>
      <c r="P32" s="82"/>
      <c r="Q32" s="82"/>
      <c r="R32" s="82"/>
      <c r="S32" s="82"/>
      <c r="T32" s="82"/>
      <c r="U32" s="82"/>
      <c r="V32" s="82"/>
      <c r="W32" s="82"/>
      <c r="X32" s="82"/>
      <c r="Y32" s="82"/>
      <c r="Z32" s="82"/>
    </row>
    <row r="33" ht="15.75" customHeight="1" spans="1:26">
      <c r="A33" s="3">
        <v>2024</v>
      </c>
      <c r="B33" s="3" t="s">
        <v>1174</v>
      </c>
      <c r="C33" s="3" t="s">
        <v>1175</v>
      </c>
      <c r="D33" s="3" t="s">
        <v>1129</v>
      </c>
      <c r="E33" s="97">
        <v>2946.66</v>
      </c>
      <c r="F33" s="100">
        <v>12.06</v>
      </c>
      <c r="G33" s="101">
        <v>0.1608</v>
      </c>
      <c r="H33" s="82"/>
      <c r="I33" s="82"/>
      <c r="J33" s="82"/>
      <c r="K33" s="82"/>
      <c r="L33" s="82"/>
      <c r="M33" s="82"/>
      <c r="N33" s="82"/>
      <c r="O33" s="82"/>
      <c r="P33" s="82"/>
      <c r="Q33" s="82"/>
      <c r="R33" s="82"/>
      <c r="S33" s="82"/>
      <c r="T33" s="82"/>
      <c r="U33" s="82"/>
      <c r="V33" s="82"/>
      <c r="W33" s="82"/>
      <c r="X33" s="82"/>
      <c r="Y33" s="82"/>
      <c r="Z33" s="82"/>
    </row>
    <row r="34" ht="15.75" customHeight="1" spans="1:26">
      <c r="A34" s="3">
        <v>2024</v>
      </c>
      <c r="B34" s="3" t="s">
        <v>1176</v>
      </c>
      <c r="C34" s="3" t="s">
        <v>1177</v>
      </c>
      <c r="D34" s="3" t="s">
        <v>1129</v>
      </c>
      <c r="E34" s="97">
        <v>3131.7264</v>
      </c>
      <c r="F34" s="100">
        <v>0.4270536</v>
      </c>
      <c r="G34" s="101">
        <v>0.025623216</v>
      </c>
      <c r="H34" s="82"/>
      <c r="I34" s="82"/>
      <c r="J34" s="82"/>
      <c r="K34" s="82"/>
      <c r="L34" s="82"/>
      <c r="M34" s="82"/>
      <c r="N34" s="82"/>
      <c r="O34" s="82"/>
      <c r="P34" s="82"/>
      <c r="Q34" s="82"/>
      <c r="R34" s="82"/>
      <c r="S34" s="82"/>
      <c r="T34" s="82"/>
      <c r="U34" s="82"/>
      <c r="V34" s="82"/>
      <c r="W34" s="82"/>
      <c r="X34" s="82"/>
      <c r="Y34" s="82"/>
      <c r="Z34" s="82"/>
    </row>
    <row r="35" ht="15.75" customHeight="1" spans="1:26">
      <c r="A35" s="3">
        <v>2024</v>
      </c>
      <c r="B35" s="3" t="s">
        <v>1178</v>
      </c>
      <c r="C35" s="3" t="s">
        <v>1179</v>
      </c>
      <c r="D35" s="3" t="s">
        <v>1129</v>
      </c>
      <c r="E35" s="97">
        <v>2946.66</v>
      </c>
      <c r="F35" s="100">
        <v>0.402</v>
      </c>
      <c r="G35" s="101">
        <v>0.02412</v>
      </c>
      <c r="H35" s="82"/>
      <c r="I35" s="82"/>
      <c r="J35" s="82"/>
      <c r="K35" s="82"/>
      <c r="L35" s="82"/>
      <c r="M35" s="82"/>
      <c r="N35" s="82"/>
      <c r="O35" s="82"/>
      <c r="P35" s="82"/>
      <c r="Q35" s="82"/>
      <c r="R35" s="82"/>
      <c r="S35" s="82"/>
      <c r="T35" s="82"/>
      <c r="U35" s="82"/>
      <c r="V35" s="82"/>
      <c r="W35" s="82"/>
      <c r="X35" s="82"/>
      <c r="Y35" s="82"/>
      <c r="Z35" s="82"/>
    </row>
    <row r="36" ht="15.75" customHeight="1" spans="1:26">
      <c r="A36" s="3">
        <v>2024</v>
      </c>
      <c r="B36" s="3" t="s">
        <v>1180</v>
      </c>
      <c r="C36" s="3" t="s">
        <v>1181</v>
      </c>
      <c r="D36" s="3" t="s">
        <v>1124</v>
      </c>
      <c r="E36" s="97">
        <v>2931.2959104</v>
      </c>
      <c r="F36" s="100">
        <v>0.3997221696</v>
      </c>
      <c r="G36" s="101">
        <v>0.023983330176</v>
      </c>
      <c r="H36" s="82"/>
      <c r="I36" s="82"/>
      <c r="J36" s="82"/>
      <c r="K36" s="82"/>
      <c r="L36" s="82"/>
      <c r="M36" s="82"/>
      <c r="N36" s="82"/>
      <c r="O36" s="82"/>
      <c r="P36" s="82"/>
      <c r="Q36" s="82"/>
      <c r="R36" s="82"/>
      <c r="S36" s="82"/>
      <c r="T36" s="82"/>
      <c r="U36" s="82"/>
      <c r="V36" s="82"/>
      <c r="W36" s="82"/>
      <c r="X36" s="82"/>
      <c r="Y36" s="82"/>
      <c r="Z36" s="82"/>
    </row>
    <row r="37" ht="15.75" customHeight="1" spans="1:26">
      <c r="A37" s="3">
        <v>2024</v>
      </c>
      <c r="B37" s="3" t="s">
        <v>1182</v>
      </c>
      <c r="C37" s="3" t="s">
        <v>1183</v>
      </c>
      <c r="D37" s="3" t="s">
        <v>1129</v>
      </c>
      <c r="E37" s="97">
        <v>3113.30448</v>
      </c>
      <c r="F37" s="100">
        <v>0.4354272</v>
      </c>
      <c r="G37" s="101">
        <v>0.026125632</v>
      </c>
      <c r="H37" s="82"/>
      <c r="I37" s="82"/>
      <c r="J37" s="82"/>
      <c r="K37" s="82"/>
      <c r="L37" s="82"/>
      <c r="M37" s="82"/>
      <c r="N37" s="82"/>
      <c r="O37" s="82"/>
      <c r="P37" s="82"/>
      <c r="Q37" s="82"/>
      <c r="R37" s="82"/>
      <c r="S37" s="82"/>
      <c r="T37" s="82"/>
      <c r="U37" s="82"/>
      <c r="V37" s="82"/>
      <c r="W37" s="82"/>
      <c r="X37" s="82"/>
      <c r="Y37" s="82"/>
      <c r="Z37" s="82"/>
    </row>
    <row r="38" ht="15.75" customHeight="1" spans="1:26">
      <c r="A38" s="3">
        <v>2024</v>
      </c>
      <c r="B38" s="3" t="s">
        <v>1184</v>
      </c>
      <c r="C38" s="3" t="s">
        <v>1185</v>
      </c>
      <c r="D38" s="3" t="s">
        <v>1129</v>
      </c>
      <c r="E38" s="97">
        <v>3129.270144</v>
      </c>
      <c r="F38" s="100">
        <v>0.4354272</v>
      </c>
      <c r="G38" s="101">
        <v>0.026125632</v>
      </c>
      <c r="H38" s="82"/>
      <c r="I38" s="82"/>
      <c r="J38" s="82"/>
      <c r="K38" s="82"/>
      <c r="L38" s="82"/>
      <c r="M38" s="82"/>
      <c r="N38" s="82"/>
      <c r="O38" s="82"/>
      <c r="P38" s="82"/>
      <c r="Q38" s="82"/>
      <c r="R38" s="82"/>
      <c r="S38" s="82"/>
      <c r="T38" s="82"/>
      <c r="U38" s="82"/>
      <c r="V38" s="82"/>
      <c r="W38" s="82"/>
      <c r="X38" s="82"/>
      <c r="Y38" s="82"/>
      <c r="Z38" s="82"/>
    </row>
    <row r="39" ht="15.75" customHeight="1" spans="1:26">
      <c r="A39" s="3">
        <v>2024</v>
      </c>
      <c r="B39" s="3" t="s">
        <v>1186</v>
      </c>
      <c r="C39" s="3" t="s">
        <v>1187</v>
      </c>
      <c r="D39" s="3" t="s">
        <v>1188</v>
      </c>
      <c r="E39" s="97">
        <v>143000</v>
      </c>
      <c r="F39" s="104">
        <v>300</v>
      </c>
      <c r="G39" s="105">
        <v>4</v>
      </c>
      <c r="H39" s="82"/>
      <c r="I39" s="82"/>
      <c r="J39" s="82"/>
      <c r="K39" s="82"/>
      <c r="L39" s="82"/>
      <c r="M39" s="82"/>
      <c r="N39" s="82"/>
      <c r="O39" s="82"/>
      <c r="P39" s="82"/>
      <c r="Q39" s="82"/>
      <c r="R39" s="82"/>
      <c r="S39" s="82"/>
      <c r="T39" s="82"/>
      <c r="U39" s="82"/>
      <c r="V39" s="82"/>
      <c r="W39" s="82"/>
      <c r="X39" s="82"/>
      <c r="Y39" s="82"/>
      <c r="Z39" s="82"/>
    </row>
    <row r="40" ht="15.75" customHeight="1" spans="1:26">
      <c r="A40" s="3">
        <v>2024</v>
      </c>
      <c r="B40" s="3" t="s">
        <v>1189</v>
      </c>
      <c r="C40" s="3" t="s">
        <v>1190</v>
      </c>
      <c r="D40" s="3" t="s">
        <v>1129</v>
      </c>
      <c r="E40" s="97">
        <v>917</v>
      </c>
      <c r="F40" s="100">
        <v>3</v>
      </c>
      <c r="G40" s="101">
        <v>0.04</v>
      </c>
      <c r="H40" s="82"/>
      <c r="I40" s="82"/>
      <c r="J40" s="82"/>
      <c r="K40" s="82"/>
      <c r="L40" s="82"/>
      <c r="M40" s="82"/>
      <c r="N40" s="82"/>
      <c r="O40" s="82"/>
      <c r="P40" s="82"/>
      <c r="Q40" s="82"/>
      <c r="R40" s="82"/>
      <c r="S40" s="82"/>
      <c r="T40" s="82"/>
      <c r="U40" s="82"/>
      <c r="V40" s="82"/>
      <c r="W40" s="82"/>
      <c r="X40" s="82"/>
      <c r="Y40" s="82"/>
      <c r="Z40" s="82"/>
    </row>
    <row r="41" ht="15.75" customHeight="1" spans="1:26">
      <c r="A41" s="3">
        <v>2024</v>
      </c>
      <c r="B41" s="3" t="s">
        <v>1191</v>
      </c>
      <c r="C41" s="3" t="s">
        <v>1177</v>
      </c>
      <c r="D41" s="3" t="s">
        <v>1159</v>
      </c>
      <c r="E41" s="102">
        <v>2.4002380116</v>
      </c>
      <c r="F41" s="100">
        <v>0.0003273051834</v>
      </c>
      <c r="G41" s="101">
        <v>1.9638311004e-5</v>
      </c>
      <c r="H41" s="82"/>
      <c r="I41" s="82"/>
      <c r="J41" s="82"/>
      <c r="K41" s="82"/>
      <c r="L41" s="82"/>
      <c r="M41" s="82"/>
      <c r="N41" s="82"/>
      <c r="O41" s="82"/>
      <c r="P41" s="82"/>
      <c r="Q41" s="82"/>
      <c r="R41" s="82"/>
      <c r="S41" s="82"/>
      <c r="T41" s="82"/>
      <c r="U41" s="82"/>
      <c r="V41" s="82"/>
      <c r="W41" s="82"/>
      <c r="X41" s="82"/>
      <c r="Y41" s="82"/>
      <c r="Z41" s="82"/>
    </row>
    <row r="42" ht="15.75" customHeight="1" spans="1:26">
      <c r="A42" s="3">
        <v>2024</v>
      </c>
      <c r="B42" s="3" t="s">
        <v>1192</v>
      </c>
      <c r="C42" s="3" t="s">
        <v>1193</v>
      </c>
      <c r="D42" s="3" t="s">
        <v>1129</v>
      </c>
      <c r="E42" s="97">
        <v>1034.56</v>
      </c>
      <c r="F42" s="100">
        <v>0.0976</v>
      </c>
      <c r="G42" s="101">
        <v>0.013664</v>
      </c>
      <c r="H42" s="82"/>
      <c r="I42" s="82"/>
      <c r="J42" s="82"/>
      <c r="K42" s="82"/>
      <c r="L42" s="82"/>
      <c r="M42" s="82"/>
      <c r="N42" s="82"/>
      <c r="O42" s="82"/>
      <c r="P42" s="82"/>
      <c r="Q42" s="82"/>
      <c r="R42" s="82"/>
      <c r="S42" s="82"/>
      <c r="T42" s="82"/>
      <c r="U42" s="82"/>
      <c r="V42" s="82"/>
      <c r="W42" s="82"/>
      <c r="X42" s="82"/>
      <c r="Y42" s="82"/>
      <c r="Z42" s="82"/>
    </row>
    <row r="43" ht="15.75" customHeight="1" spans="1:26">
      <c r="A43" s="3">
        <v>2024</v>
      </c>
      <c r="B43" s="3" t="s">
        <v>1194</v>
      </c>
      <c r="C43" s="3" t="s">
        <v>1195</v>
      </c>
      <c r="D43" s="3" t="s">
        <v>1129</v>
      </c>
      <c r="E43" s="97">
        <v>952.3</v>
      </c>
      <c r="F43" s="106">
        <v>0.089</v>
      </c>
      <c r="G43" s="101">
        <v>0.01335</v>
      </c>
      <c r="H43" s="82"/>
      <c r="I43" s="82"/>
      <c r="J43" s="82"/>
      <c r="K43" s="82"/>
      <c r="L43" s="82"/>
      <c r="M43" s="82"/>
      <c r="N43" s="82"/>
      <c r="O43" s="82"/>
      <c r="P43" s="82"/>
      <c r="Q43" s="82"/>
      <c r="R43" s="82"/>
      <c r="S43" s="82"/>
      <c r="T43" s="82"/>
      <c r="U43" s="82"/>
      <c r="V43" s="82"/>
      <c r="W43" s="82"/>
      <c r="X43" s="82"/>
      <c r="Y43" s="82"/>
      <c r="Z43" s="82"/>
    </row>
    <row r="44" ht="15.75" customHeight="1" spans="1:26">
      <c r="A44" s="3">
        <v>2024</v>
      </c>
      <c r="B44" s="3" t="s">
        <v>1196</v>
      </c>
      <c r="C44" s="107" t="s">
        <v>1197</v>
      </c>
      <c r="D44" s="62" t="s">
        <v>1159</v>
      </c>
      <c r="E44" s="3">
        <v>1.58194438479</v>
      </c>
      <c r="F44" s="3">
        <v>0.000223543719</v>
      </c>
      <c r="G44" s="3">
        <v>1.341262314e-5</v>
      </c>
      <c r="H44" s="82"/>
      <c r="I44" s="82"/>
      <c r="J44" s="82"/>
      <c r="K44" s="82"/>
      <c r="L44" s="82"/>
      <c r="M44" s="82"/>
      <c r="N44" s="82"/>
      <c r="O44" s="82"/>
      <c r="P44" s="82"/>
      <c r="Q44" s="82"/>
      <c r="R44" s="82"/>
      <c r="S44" s="82"/>
      <c r="T44" s="82"/>
      <c r="U44" s="82"/>
      <c r="V44" s="82"/>
      <c r="W44" s="82"/>
      <c r="X44" s="82"/>
      <c r="Y44" s="82"/>
      <c r="Z44" s="82"/>
    </row>
    <row r="45" ht="15.75" customHeight="1" spans="1:26">
      <c r="A45" s="3">
        <v>2024</v>
      </c>
      <c r="B45" s="3" t="s">
        <v>1058</v>
      </c>
      <c r="C45" s="107" t="s">
        <v>1197</v>
      </c>
      <c r="D45" s="62" t="s">
        <v>1159</v>
      </c>
      <c r="E45" s="3">
        <v>1.510080244596</v>
      </c>
      <c r="F45" s="3">
        <v>0.0002133886356</v>
      </c>
      <c r="G45" s="3">
        <v>1.2803318136e-5</v>
      </c>
      <c r="H45" s="82"/>
      <c r="I45" s="82"/>
      <c r="J45" s="82"/>
      <c r="K45" s="82"/>
      <c r="L45" s="82"/>
      <c r="M45" s="82"/>
      <c r="N45" s="82"/>
      <c r="O45" s="82"/>
      <c r="P45" s="82"/>
      <c r="Q45" s="82"/>
      <c r="R45" s="82"/>
      <c r="S45" s="82"/>
      <c r="T45" s="82"/>
      <c r="U45" s="82"/>
      <c r="V45" s="82"/>
      <c r="W45" s="82"/>
      <c r="X45" s="82"/>
      <c r="Y45" s="82"/>
      <c r="Z45" s="82"/>
    </row>
    <row r="46" ht="15.75" customHeight="1" spans="1:26">
      <c r="A46" s="3">
        <v>2024</v>
      </c>
      <c r="B46" s="3" t="s">
        <v>1198</v>
      </c>
      <c r="C46" s="107" t="s">
        <v>1199</v>
      </c>
      <c r="D46" s="62" t="s">
        <v>1129</v>
      </c>
      <c r="E46" s="3">
        <v>892.6801884</v>
      </c>
      <c r="F46" s="3">
        <v>2.6753652</v>
      </c>
      <c r="G46" s="3">
        <v>0.035671536</v>
      </c>
      <c r="H46" s="82"/>
      <c r="I46" s="82"/>
      <c r="J46" s="82"/>
      <c r="K46" s="82"/>
      <c r="L46" s="82"/>
      <c r="M46" s="82"/>
      <c r="N46" s="82"/>
      <c r="O46" s="82"/>
      <c r="P46" s="82"/>
      <c r="Q46" s="82"/>
      <c r="R46" s="82"/>
      <c r="S46" s="82"/>
      <c r="T46" s="82"/>
      <c r="U46" s="82"/>
      <c r="V46" s="82"/>
      <c r="W46" s="82"/>
      <c r="X46" s="82"/>
      <c r="Y46" s="82"/>
      <c r="Z46" s="82"/>
    </row>
    <row r="47" ht="15.75" customHeight="1" spans="1:26">
      <c r="A47" s="3">
        <v>2024</v>
      </c>
      <c r="B47" s="3" t="s">
        <v>1200</v>
      </c>
      <c r="C47" s="107" t="s">
        <v>1201</v>
      </c>
      <c r="D47" s="62" t="s">
        <v>1159</v>
      </c>
      <c r="E47" s="3">
        <v>2.4560103744</v>
      </c>
      <c r="F47" s="3">
        <v>0.00033159456</v>
      </c>
      <c r="G47" s="3">
        <v>1.98956736e-5</v>
      </c>
      <c r="H47" s="82"/>
      <c r="I47" s="82"/>
      <c r="J47" s="82"/>
      <c r="K47" s="82"/>
      <c r="L47" s="82"/>
      <c r="M47" s="82"/>
      <c r="N47" s="82"/>
      <c r="O47" s="82"/>
      <c r="P47" s="82"/>
      <c r="Q47" s="82"/>
      <c r="R47" s="82"/>
      <c r="S47" s="82"/>
      <c r="T47" s="82"/>
      <c r="U47" s="82"/>
      <c r="V47" s="82"/>
      <c r="W47" s="82"/>
      <c r="X47" s="82"/>
      <c r="Y47" s="82"/>
      <c r="Z47" s="82"/>
    </row>
    <row r="48" ht="15.75" customHeight="1" spans="1:26">
      <c r="A48" s="3">
        <v>2024</v>
      </c>
      <c r="B48" s="3" t="s">
        <v>1202</v>
      </c>
      <c r="C48" s="107" t="s">
        <v>1203</v>
      </c>
      <c r="D48" s="108" t="s">
        <v>1129</v>
      </c>
      <c r="E48" s="3">
        <v>1705.42635658915</v>
      </c>
      <c r="F48" s="3">
        <v>0.1</v>
      </c>
      <c r="G48" s="3">
        <v>0.002</v>
      </c>
      <c r="H48" s="82"/>
      <c r="I48" s="82"/>
      <c r="J48" s="82"/>
      <c r="K48" s="82"/>
      <c r="L48" s="82"/>
      <c r="M48" s="82"/>
      <c r="N48" s="82"/>
      <c r="O48" s="82"/>
      <c r="P48" s="82"/>
      <c r="Q48" s="82"/>
      <c r="R48" s="82"/>
      <c r="S48" s="82"/>
      <c r="T48" s="82"/>
      <c r="U48" s="82"/>
      <c r="V48" s="82"/>
      <c r="W48" s="82"/>
      <c r="X48" s="82"/>
      <c r="Y48" s="82"/>
      <c r="Z48" s="82"/>
    </row>
    <row r="49" ht="15.75" customHeight="1" spans="1:26">
      <c r="A49" s="3">
        <v>2024</v>
      </c>
      <c r="B49" s="3" t="s">
        <v>1204</v>
      </c>
      <c r="C49" s="107" t="s">
        <v>1205</v>
      </c>
      <c r="D49" s="108" t="s">
        <v>1129</v>
      </c>
      <c r="E49" s="3">
        <v>1466.66666666667</v>
      </c>
      <c r="F49" s="3">
        <v>0.0615</v>
      </c>
      <c r="G49" s="3">
        <v>0.00123</v>
      </c>
      <c r="H49" s="82"/>
      <c r="I49" s="82"/>
      <c r="J49" s="82"/>
      <c r="K49" s="82"/>
      <c r="L49" s="82"/>
      <c r="M49" s="82"/>
      <c r="N49" s="82"/>
      <c r="O49" s="82"/>
      <c r="P49" s="82"/>
      <c r="Q49" s="82"/>
      <c r="R49" s="82"/>
      <c r="S49" s="82"/>
      <c r="T49" s="82"/>
      <c r="U49" s="82"/>
      <c r="V49" s="82"/>
      <c r="W49" s="82"/>
      <c r="X49" s="82"/>
      <c r="Y49" s="82"/>
      <c r="Z49" s="82"/>
    </row>
    <row r="50" ht="15.75" customHeight="1" spans="1:26">
      <c r="A50" s="3">
        <v>2024</v>
      </c>
      <c r="B50" s="3" t="s">
        <v>1067</v>
      </c>
      <c r="C50" s="107" t="s">
        <v>1203</v>
      </c>
      <c r="D50" s="108" t="s">
        <v>1129</v>
      </c>
      <c r="E50" s="3">
        <v>2748.9</v>
      </c>
      <c r="F50" s="3">
        <v>0.245</v>
      </c>
      <c r="G50" s="3">
        <v>0.0049</v>
      </c>
      <c r="H50" s="82"/>
      <c r="I50" s="82"/>
      <c r="J50" s="82"/>
      <c r="K50" s="82"/>
      <c r="L50" s="82"/>
      <c r="M50" s="82"/>
      <c r="N50" s="82"/>
      <c r="O50" s="82"/>
      <c r="P50" s="82"/>
      <c r="Q50" s="82"/>
      <c r="R50" s="82"/>
      <c r="S50" s="82"/>
      <c r="T50" s="82"/>
      <c r="U50" s="82"/>
      <c r="V50" s="82"/>
      <c r="W50" s="82"/>
      <c r="X50" s="82"/>
      <c r="Y50" s="82"/>
      <c r="Z50" s="82"/>
    </row>
    <row r="51" ht="15.75" customHeight="1" spans="1:26">
      <c r="A51" s="3">
        <v>2024</v>
      </c>
      <c r="B51" s="3" t="s">
        <v>1206</v>
      </c>
      <c r="C51" s="107" t="s">
        <v>1197</v>
      </c>
      <c r="D51" s="62" t="s">
        <v>1129</v>
      </c>
      <c r="E51" s="3">
        <v>206.5404264</v>
      </c>
      <c r="F51" s="3">
        <v>0.02595816</v>
      </c>
      <c r="G51" s="3">
        <v>0.0015574896</v>
      </c>
      <c r="H51" s="82"/>
      <c r="I51" s="82"/>
      <c r="J51" s="82"/>
      <c r="K51" s="82"/>
      <c r="L51" s="82"/>
      <c r="M51" s="82"/>
      <c r="N51" s="82"/>
      <c r="O51" s="82"/>
      <c r="P51" s="82"/>
      <c r="Q51" s="82"/>
      <c r="R51" s="82"/>
      <c r="S51" s="82"/>
      <c r="T51" s="82"/>
      <c r="U51" s="82"/>
      <c r="V51" s="82"/>
      <c r="W51" s="82"/>
      <c r="X51" s="82"/>
      <c r="Y51" s="82"/>
      <c r="Z51" s="82"/>
    </row>
    <row r="52" ht="15.75" customHeight="1" spans="1:26">
      <c r="A52" s="3">
        <v>2024</v>
      </c>
      <c r="B52" s="3" t="s">
        <v>1207</v>
      </c>
      <c r="C52" s="107" t="s">
        <v>1208</v>
      </c>
      <c r="D52" s="62" t="s">
        <v>1129</v>
      </c>
      <c r="E52" s="3">
        <v>2885.8858776</v>
      </c>
      <c r="F52" s="3">
        <v>5.4093456</v>
      </c>
      <c r="G52" s="3">
        <v>0.027046728</v>
      </c>
      <c r="H52" s="82"/>
      <c r="I52" s="82"/>
      <c r="J52" s="82"/>
      <c r="K52" s="82"/>
      <c r="L52" s="82"/>
      <c r="M52" s="82"/>
      <c r="N52" s="82"/>
      <c r="O52" s="82"/>
      <c r="P52" s="82"/>
      <c r="Q52" s="82"/>
      <c r="R52" s="82"/>
      <c r="S52" s="82"/>
      <c r="T52" s="82"/>
      <c r="U52" s="82"/>
      <c r="V52" s="82"/>
      <c r="W52" s="82"/>
      <c r="X52" s="82"/>
      <c r="Y52" s="82"/>
      <c r="Z52" s="82"/>
    </row>
    <row r="53" ht="15.75" customHeight="1" spans="1:26">
      <c r="A53" s="3">
        <v>2024</v>
      </c>
      <c r="B53" s="3" t="s">
        <v>1209</v>
      </c>
      <c r="C53" s="107" t="s">
        <v>1210</v>
      </c>
      <c r="D53" s="108" t="s">
        <v>1129</v>
      </c>
      <c r="E53" s="3">
        <v>1451.49378</v>
      </c>
      <c r="F53" s="3">
        <v>3.893724</v>
      </c>
      <c r="G53" s="3">
        <v>0.05191632</v>
      </c>
      <c r="H53" s="82"/>
      <c r="I53" s="82"/>
      <c r="J53" s="82"/>
      <c r="K53" s="82"/>
      <c r="L53" s="82"/>
      <c r="M53" s="82"/>
      <c r="N53" s="82"/>
      <c r="O53" s="82"/>
      <c r="P53" s="82"/>
      <c r="Q53" s="82"/>
      <c r="R53" s="82"/>
      <c r="S53" s="82"/>
      <c r="T53" s="82"/>
      <c r="U53" s="82"/>
      <c r="V53" s="82"/>
      <c r="W53" s="82"/>
      <c r="X53" s="82"/>
      <c r="Y53" s="82"/>
      <c r="Z53" s="82"/>
    </row>
    <row r="54" ht="15.75" customHeight="1" spans="1:26">
      <c r="A54" s="3">
        <v>2024</v>
      </c>
      <c r="B54" s="3" t="s">
        <v>1211</v>
      </c>
      <c r="C54" s="107" t="s">
        <v>1212</v>
      </c>
      <c r="D54" s="62" t="s">
        <v>1129</v>
      </c>
      <c r="E54" s="3">
        <v>1141.544976</v>
      </c>
      <c r="F54" s="3">
        <v>0.035922744</v>
      </c>
      <c r="G54" s="3">
        <v>0.023948496</v>
      </c>
      <c r="H54" s="82"/>
      <c r="I54" s="82"/>
      <c r="J54" s="82"/>
      <c r="K54" s="82"/>
      <c r="L54" s="82"/>
      <c r="M54" s="82"/>
      <c r="N54" s="82"/>
      <c r="O54" s="82"/>
      <c r="P54" s="82"/>
      <c r="Q54" s="82"/>
      <c r="R54" s="82"/>
      <c r="S54" s="82"/>
      <c r="T54" s="82"/>
      <c r="U54" s="82"/>
      <c r="V54" s="82"/>
      <c r="W54" s="82"/>
      <c r="X54" s="82"/>
      <c r="Y54" s="82"/>
      <c r="Z54" s="82"/>
    </row>
    <row r="55" ht="15.75" customHeight="1" spans="1:26">
      <c r="A55" s="3">
        <v>2024</v>
      </c>
      <c r="B55" s="3" t="s">
        <v>1213</v>
      </c>
      <c r="C55" s="107" t="s">
        <v>1197</v>
      </c>
      <c r="D55" s="62" t="s">
        <v>1129</v>
      </c>
      <c r="E55" s="3">
        <v>616.289982</v>
      </c>
      <c r="F55" s="3">
        <v>0.0774558</v>
      </c>
      <c r="G55" s="3">
        <v>0.004647348</v>
      </c>
      <c r="H55" s="82"/>
      <c r="I55" s="82"/>
      <c r="J55" s="82"/>
      <c r="K55" s="82"/>
      <c r="L55" s="82"/>
      <c r="M55" s="82"/>
      <c r="N55" s="82"/>
      <c r="O55" s="82"/>
      <c r="P55" s="82"/>
      <c r="Q55" s="82"/>
      <c r="R55" s="82"/>
      <c r="S55" s="82"/>
      <c r="T55" s="82"/>
      <c r="U55" s="82"/>
      <c r="V55" s="82"/>
      <c r="W55" s="82"/>
      <c r="X55" s="82"/>
      <c r="Y55" s="82"/>
      <c r="Z55" s="82"/>
    </row>
    <row r="56" ht="15.75" customHeight="1" spans="1:26">
      <c r="A56" s="3">
        <v>2024</v>
      </c>
      <c r="B56" s="3" t="s">
        <v>1214</v>
      </c>
      <c r="C56" s="107" t="s">
        <v>1215</v>
      </c>
      <c r="D56" s="62" t="s">
        <v>1129</v>
      </c>
      <c r="E56" s="3">
        <v>1160</v>
      </c>
      <c r="F56" s="3">
        <v>3.48</v>
      </c>
      <c r="G56" s="3">
        <v>0.0464</v>
      </c>
      <c r="H56" s="82"/>
      <c r="I56" s="82"/>
      <c r="J56" s="82"/>
      <c r="K56" s="82"/>
      <c r="L56" s="82"/>
      <c r="M56" s="82"/>
      <c r="N56" s="82"/>
      <c r="O56" s="82"/>
      <c r="P56" s="82"/>
      <c r="Q56" s="82"/>
      <c r="R56" s="82"/>
      <c r="S56" s="82"/>
      <c r="T56" s="82"/>
      <c r="U56" s="82"/>
      <c r="V56" s="82"/>
      <c r="W56" s="82"/>
      <c r="X56" s="82"/>
      <c r="Y56" s="82"/>
      <c r="Z56" s="82"/>
    </row>
    <row r="57" ht="15.75" customHeight="1" spans="1:26">
      <c r="A57" s="3">
        <v>2024</v>
      </c>
      <c r="B57" s="3" t="s">
        <v>1216</v>
      </c>
      <c r="C57" s="107" t="s">
        <v>1199</v>
      </c>
      <c r="D57" s="62" t="s">
        <v>1129</v>
      </c>
      <c r="E57" s="3">
        <v>1161.16</v>
      </c>
      <c r="F57" s="3">
        <v>3.48</v>
      </c>
      <c r="G57" s="3">
        <v>0.0464</v>
      </c>
      <c r="H57" s="82"/>
      <c r="I57" s="82"/>
      <c r="J57" s="82"/>
      <c r="K57" s="82"/>
      <c r="L57" s="82"/>
      <c r="M57" s="82"/>
      <c r="N57" s="82"/>
      <c r="O57" s="82"/>
      <c r="P57" s="82"/>
      <c r="Q57" s="82"/>
      <c r="R57" s="82"/>
      <c r="S57" s="82"/>
      <c r="T57" s="82"/>
      <c r="U57" s="82"/>
      <c r="V57" s="82"/>
      <c r="W57" s="82"/>
      <c r="X57" s="82"/>
      <c r="Y57" s="82"/>
      <c r="Z57" s="82"/>
    </row>
    <row r="58" ht="15.75" customHeight="1" spans="1:26">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5.75" customHeight="1" spans="1:26">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5.75" customHeight="1" spans="1:26">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5.75" customHeight="1" spans="1:26">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5.75" customHeight="1" spans="1:26">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5.75" customHeight="1" spans="1:26">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5.75" customHeight="1" spans="1:26">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5.75" customHeight="1" spans="1:26">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5.75" customHeight="1" spans="1:26">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5.75" customHeight="1" spans="1:26">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5.75" customHeight="1" spans="1:26">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5.75" customHeight="1" spans="1:26">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5.75" customHeight="1" spans="1:26">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5.75" customHeight="1" spans="1:26">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5.75" customHeight="1" spans="1:26">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5.75" customHeight="1" spans="1:26">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5.75" customHeight="1" spans="1:26">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5.75" customHeight="1" spans="1:26">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5.75" customHeight="1" spans="1:2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5.75" customHeight="1" spans="1:26">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5.75" customHeight="1" spans="1:26">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5.75" customHeight="1" spans="1:26">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5.75" customHeight="1" spans="1:26">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5.75" customHeight="1" spans="1:26">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5.75" customHeight="1" spans="1:26">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5.75" customHeight="1" spans="1:26">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5.75" customHeight="1" spans="1:26">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5.75" customHeight="1" spans="1:26">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5.75" customHeight="1" spans="1:2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5.75" customHeight="1" spans="1:26">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5.75" customHeight="1" spans="1:26">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5.75" customHeight="1" spans="1:26">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5.75" customHeight="1" spans="1:26">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5.75" customHeight="1" spans="1:26">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5.75" customHeight="1" spans="1:26">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5.75" customHeight="1" spans="1:26">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5.75" customHeight="1" spans="1:26">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5.75" customHeight="1" spans="1:26">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5.75" customHeight="1" spans="1:2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5.75" customHeight="1" spans="1:26">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5.75" customHeight="1" spans="1:26">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5.75" customHeight="1" spans="1:26">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5.75" customHeight="1" spans="1:26">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5.75" customHeight="1" spans="1:26">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5.75" customHeight="1" spans="1:26">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5.75" customHeight="1" spans="1:26">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5.75" customHeight="1" spans="1:26">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5.75" customHeight="1" spans="1:26">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5.75" customHeight="1" spans="1:2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5.75" customHeight="1" spans="1:26">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5.75" customHeight="1" spans="1:26">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5.75" customHeight="1" spans="1:26">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5.75" customHeight="1" spans="1:26">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5.75" customHeight="1" spans="1:26">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5.75" customHeight="1" spans="1:26">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5.75" customHeight="1" spans="1:26">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5.75" customHeight="1" spans="1:26">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5.75" customHeight="1" spans="1:26">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5.75" customHeight="1" spans="1:2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5.75" customHeight="1" spans="1:26">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5.75" customHeight="1" spans="1:26">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5.75" customHeight="1" spans="1:26">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5.75" customHeight="1" spans="1:26">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5.75" customHeight="1" spans="1:26">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5.75" customHeight="1" spans="1:26">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5.75" customHeight="1" spans="1:26">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5.75" customHeight="1" spans="1:26">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5.75" customHeight="1" spans="1:26">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5.75" customHeight="1" spans="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5.75" customHeight="1" spans="1:26">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5.75" customHeight="1" spans="1:26">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5.75" customHeight="1" spans="1:26">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5.75" customHeight="1" spans="1:26">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5.75" customHeight="1" spans="1:26">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5.75" customHeight="1" spans="1:26">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5.75" customHeight="1" spans="1:26">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5.75" customHeight="1" spans="1:26">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5.75" customHeight="1" spans="1:26">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5.75" customHeight="1" spans="1:2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5.75" customHeight="1" spans="1:26">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5.75" customHeight="1" spans="1:26">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5.75" customHeight="1" spans="1:26">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5.75" customHeight="1" spans="1:26">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5.75" customHeight="1" spans="1:26">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5.75" customHeight="1" spans="1:26">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5.75" customHeight="1" spans="1:26">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5.75" customHeight="1" spans="1:26">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5.75" customHeight="1" spans="1:26">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5.75" customHeight="1" spans="1:2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5.75" customHeight="1" spans="1:26">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5.75" customHeight="1" spans="1:26">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5.75" customHeight="1" spans="1:26">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5.75" customHeight="1" spans="1:26">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5.75" customHeight="1" spans="1:26">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5.75" customHeight="1" spans="1:26">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5.75" customHeight="1" spans="1:26">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5.75" customHeight="1" spans="1:26">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5.75" customHeight="1" spans="1:26">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5.75" customHeight="1" spans="1:2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5.75" customHeight="1" spans="1:26">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5.75" customHeight="1" spans="1:26">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5.75" customHeight="1" spans="1:26">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5.75" customHeight="1" spans="1:26">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5.75" customHeight="1" spans="1:26">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5.75" customHeight="1" spans="1:26">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5.75" customHeight="1" spans="1:26">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5.75" customHeight="1" spans="1:26">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5.75" customHeight="1" spans="1:26">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5.75" customHeight="1" spans="1:2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5.75" customHeight="1" spans="1:26">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5.75" customHeight="1" spans="1:26">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5.75" customHeight="1" spans="1:26">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5.75" customHeight="1" spans="1:26">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5.75" customHeight="1" spans="1:26">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5.75" customHeight="1" spans="1:26">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5.75" customHeight="1" spans="1:26">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5.75" customHeight="1" spans="1:26">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5.75" customHeight="1" spans="1:26">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5.75" customHeight="1" spans="1:2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5.75" customHeight="1" spans="1:26">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5.75" customHeight="1" spans="1:26">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5.75" customHeight="1" spans="1:26">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5.75" customHeight="1" spans="1:26">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5.75" customHeight="1" spans="1:26">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5.75" customHeight="1" spans="1:26">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5.75" customHeight="1" spans="1:26">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5.75" customHeight="1" spans="1:26">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5.75" customHeight="1" spans="1:26">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5.75" customHeight="1" spans="1:2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5.75" customHeight="1" spans="1:26">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5.75" customHeight="1" spans="1:26">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5.75" customHeight="1" spans="1:26">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5.75" customHeight="1" spans="1:26">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5.75" customHeight="1" spans="1:26">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5.75" customHeight="1" spans="1:26">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5.75" customHeight="1" spans="1:26">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5.75" customHeight="1" spans="1:26">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5.75" customHeight="1" spans="1:26">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5.75" customHeight="1" spans="1:2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5.75" customHeight="1" spans="1:26">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5.75" customHeight="1" spans="1:26">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5.75" customHeight="1" spans="1:26">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5.75" customHeight="1" spans="1:26">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5.75" customHeight="1" spans="1:26">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5.75" customHeight="1" spans="1:26">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5.75" customHeight="1" spans="1:26">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5.75" customHeight="1" spans="1:26">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5.75" customHeight="1" spans="1:26">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5.75" customHeight="1" spans="1:2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5.75" customHeight="1" spans="1:26">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5.75" customHeight="1" spans="1:26">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5.75" customHeight="1" spans="1:26">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5.75" customHeight="1" spans="1:26">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5.75" customHeight="1" spans="1:26">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5.75" customHeight="1" spans="1:26">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5.75" customHeight="1" spans="1:26">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5.75" customHeight="1" spans="1:26">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5.75" customHeight="1" spans="1:26">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5.75" customHeight="1" spans="1:2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5.75" customHeight="1" spans="1:26">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5.75" customHeight="1" spans="1:26">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5.75" customHeight="1" spans="1:26">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5.75" customHeight="1" spans="1:26">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5.75" customHeight="1" spans="1:26">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spans="1:26">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spans="1:26">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spans="1:26">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spans="1:26">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spans="1: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spans="1:26">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spans="1:26">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spans="1:26">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spans="1:26">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spans="1:26">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spans="1:26">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spans="1:26">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spans="1:26">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spans="1:26">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spans="1:2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spans="1:26">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spans="1:26">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spans="1:26">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spans="1:26">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spans="1:26">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spans="1:26">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spans="1:26">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spans="1:26">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spans="1:26">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spans="1:2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spans="1:26">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spans="1:26">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spans="1:26">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spans="1:26">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spans="1:26">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spans="1:26">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spans="1:26">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spans="1:26">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spans="1:26">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spans="1:2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spans="1:26">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spans="1:26">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spans="1:26">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spans="1:26">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spans="1:26">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spans="1:26">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spans="1:26">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spans="1:26">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spans="1:26">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spans="1:2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spans="1:26">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spans="1:26">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spans="1:26">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spans="1:26">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spans="1:26">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spans="1:26">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spans="1:26">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spans="1:26">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spans="1:26">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spans="1:2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spans="1:26">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spans="1:26">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spans="1:26">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spans="1:26">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spans="1:26">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spans="1:26">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spans="1:26">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spans="1:26">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spans="1:26">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spans="1:2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spans="1:26">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spans="1:26">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spans="1:26">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spans="1:26">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spans="1:26">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spans="1:26">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spans="1:26">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spans="1:26">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spans="1:26">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spans="1:2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spans="1:26">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spans="1:26">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spans="1:26">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spans="1:26">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spans="1:26">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spans="1:26">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spans="1:26">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spans="1:26">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spans="1:26">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spans="1:2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spans="1:26">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spans="1:26">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spans="1:26">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spans="1:26">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spans="1:26">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spans="1:26">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spans="1:26">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spans="1:26">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spans="1:26">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spans="1:2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spans="1:26">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spans="1:26">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spans="1:26">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spans="1:26">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spans="1:26">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spans="1:26">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spans="1:26">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spans="1:26">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spans="1:26">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spans="1: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spans="1:26">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spans="1:26">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spans="1:26">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spans="1:26">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spans="1:26">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spans="1:26">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spans="1:26">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spans="1:26">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spans="1:26">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spans="1:2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spans="1:26">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spans="1:26">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spans="1:26">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spans="1:26">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spans="1:26">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spans="1:26">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spans="1:26">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spans="1:26">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spans="1:26">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spans="1:2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spans="1:26">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spans="1:26">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spans="1:26">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spans="1:26">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spans="1:26">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spans="1:26">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spans="1:26">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spans="1:26">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spans="1:26">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spans="1:2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spans="1:26">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spans="1:26">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spans="1:26">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spans="1:26">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spans="1:26">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spans="1:26">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spans="1:26">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spans="1:26">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spans="1:26">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spans="1:2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spans="1:26">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spans="1:26">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spans="1:26">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spans="1:26">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spans="1:26">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spans="1:26">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spans="1:26">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spans="1:26">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spans="1:26">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spans="1:2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spans="1:26">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spans="1:26">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spans="1:26">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spans="1:26">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spans="1:26">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spans="1:26">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spans="1:26">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spans="1:26">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spans="1:26">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spans="1:2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spans="1:26">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spans="1:26">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spans="1:26">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spans="1:26">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spans="1:26">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spans="1:26">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spans="1:26">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spans="1:26">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spans="1:26">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spans="1:2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spans="1:26">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spans="1:26">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spans="1:26">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spans="1:26">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spans="1:26">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spans="1:26">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spans="1:26">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spans="1:26">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spans="1:26">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spans="1:2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spans="1:26">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spans="1:26">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spans="1:26">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spans="1:26">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spans="1:26">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spans="1:26">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spans="1:26">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spans="1:26">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spans="1:26">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spans="1:2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spans="1:26">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spans="1:26">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spans="1:26">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spans="1:26">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spans="1:26">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spans="1:26">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spans="1:26">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spans="1:26">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spans="1:26">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spans="1: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spans="1:26">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spans="1:26">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spans="1:26">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spans="1:26">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spans="1:26">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spans="1:26">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spans="1:26">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spans="1:26">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spans="1:26">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spans="1:2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spans="1:26">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spans="1:26">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spans="1:26">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spans="1:26">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spans="1:26">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spans="1:26">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spans="1:26">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spans="1:26">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spans="1:26">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spans="1:2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spans="1:26">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spans="1:26">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spans="1:26">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spans="1:26">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spans="1:26">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spans="1:26">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spans="1:26">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spans="1:26">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spans="1:26">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spans="1:2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spans="1:26">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spans="1:26">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spans="1:26">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spans="1:26">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spans="1:26">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spans="1:26">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spans="1:26">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spans="1:26">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spans="1:26">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spans="1:2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spans="1:26">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spans="1:26">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spans="1:26">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spans="1:26">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spans="1:26">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spans="1:26">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spans="1:26">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spans="1:26">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spans="1:26">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spans="1:2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spans="1:26">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spans="1:26">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spans="1:26">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spans="1:26">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spans="1:26">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spans="1:26">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spans="1:26">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spans="1:26">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spans="1:26">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spans="1:2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spans="1:26">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spans="1:26">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spans="1:26">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spans="1:26">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spans="1:26">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spans="1:26">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spans="1:26">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spans="1:26">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spans="1:26">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spans="1:2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spans="1:26">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spans="1:26">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spans="1:26">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spans="1:26">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spans="1:26">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spans="1:26">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spans="1:26">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spans="1:26">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spans="1:26">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spans="1:2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spans="1:26">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spans="1:26">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spans="1:26">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spans="1:26">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spans="1:26">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spans="1:26">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spans="1:26">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spans="1:26">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spans="1:26">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spans="1:2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spans="1:26">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spans="1:26">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spans="1:26">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spans="1:26">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spans="1:26">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spans="1:26">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spans="1:26">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spans="1:26">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spans="1:26">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spans="1: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spans="1:26">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spans="1:26">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spans="1:26">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spans="1:26">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spans="1:26">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spans="1:26">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spans="1:26">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spans="1:26">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spans="1:26">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spans="1:2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spans="1:26">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spans="1:26">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spans="1:26">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spans="1:26">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spans="1:26">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spans="1:26">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spans="1:26">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spans="1:26">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spans="1:26">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spans="1:2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spans="1:26">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spans="1:26">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spans="1:26">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spans="1:26">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spans="1:26">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spans="1:26">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spans="1:26">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spans="1:26">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spans="1:26">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spans="1:2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spans="1:26">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spans="1:26">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spans="1:26">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spans="1:26">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spans="1:26">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spans="1:26">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spans="1:26">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spans="1:26">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spans="1:26">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spans="1:2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spans="1:26">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spans="1:26">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spans="1:26">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spans="1:26">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spans="1:26">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spans="1:26">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spans="1:26">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spans="1:26">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spans="1:26">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spans="1:2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spans="1:26">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spans="1:26">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spans="1:26">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spans="1:26">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spans="1:26">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spans="1:26">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spans="1:26">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spans="1:26">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spans="1:26">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spans="1:2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spans="1:26">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spans="1:26">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spans="1:26">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spans="1:26">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spans="1:26">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spans="1:26">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spans="1:26">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spans="1:26">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spans="1:26">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spans="1:2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spans="1:26">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spans="1:26">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spans="1:26">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spans="1:26">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spans="1:26">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spans="1:26">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spans="1:26">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spans="1:26">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spans="1:26">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spans="1:2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spans="1:26">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spans="1:26">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spans="1:26">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spans="1:26">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spans="1:26">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spans="1:26">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spans="1:26">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spans="1:26">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spans="1:26">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spans="1:2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spans="1:26">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spans="1:26">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spans="1:26">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spans="1:26">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spans="1:26">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spans="1:26">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spans="1:26">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spans="1:26">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spans="1:26">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spans="1: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spans="1:26">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spans="1:26">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spans="1:26">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spans="1:26">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spans="1:26">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spans="1:26">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spans="1:26">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spans="1:26">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spans="1:26">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spans="1:2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spans="1:26">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spans="1:26">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spans="1:26">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spans="1:26">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spans="1:26">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spans="1:26">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spans="1:26">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spans="1:26">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spans="1:26">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spans="1:2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spans="1:26">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spans="1:26">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spans="1:26">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spans="1:26">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spans="1:26">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spans="1:26">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spans="1:26">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spans="1:26">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spans="1:26">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spans="1:2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spans="1:26">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spans="1:26">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spans="1:26">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spans="1:26">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spans="1:26">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spans="1:26">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spans="1:26">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spans="1:26">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spans="1:26">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spans="1:2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spans="1:26">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spans="1:26">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spans="1:26">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spans="1:26">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spans="1:26">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spans="1:26">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spans="1:26">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spans="1:26">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spans="1:26">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spans="1:2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spans="1:26">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spans="1:26">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spans="1:26">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spans="1:26">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spans="1:26">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spans="1:26">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spans="1:26">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spans="1:26">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spans="1:26">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spans="1:2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spans="1:26">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spans="1:26">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spans="1:26">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spans="1:26">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spans="1:26">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spans="1:26">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spans="1:26">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spans="1:26">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spans="1:26">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spans="1:2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spans="1:26">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spans="1:26">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spans="1:26">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spans="1:26">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spans="1:26">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spans="1:26">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spans="1:26">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spans="1:26">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spans="1:26">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spans="1:2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spans="1:26">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spans="1:26">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spans="1:26">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spans="1:26">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spans="1:26">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spans="1:26">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spans="1:26">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spans="1:26">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spans="1:26">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spans="1:2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spans="1:26">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spans="1:26">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spans="1:26">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spans="1:26">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spans="1:26">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spans="1:26">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spans="1:26">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spans="1:26">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spans="1:26">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spans="1: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spans="1:26">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spans="1:26">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spans="1:26">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spans="1:26">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spans="1:26">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spans="1:26">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spans="1:26">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spans="1:26">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spans="1:26">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spans="1:2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spans="1:26">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spans="1:26">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spans="1:26">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spans="1:26">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spans="1:26">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spans="1:26">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spans="1:26">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spans="1:26">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spans="1:26">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spans="1:2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spans="1:26">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spans="1:26">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spans="1:26">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spans="1:26">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spans="1:26">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spans="1:26">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spans="1:26">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spans="1:26">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spans="1:26">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spans="1:2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spans="1:26">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spans="1:26">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spans="1:26">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spans="1:26">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spans="1:26">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spans="1:26">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spans="1:26">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spans="1:26">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spans="1:26">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spans="1:2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spans="1:26">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spans="1:26">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spans="1:26">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spans="1:26">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spans="1:26">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spans="1:26">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spans="1:26">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spans="1:26">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spans="1:26">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spans="1:2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spans="1:26">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spans="1:26">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spans="1:26">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spans="1:26">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spans="1:26">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spans="1:26">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spans="1:26">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spans="1:26">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spans="1:26">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spans="1:2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spans="1:26">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spans="1:26">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spans="1:26">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spans="1:26">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spans="1:26">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spans="1:26">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spans="1:26">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spans="1:26">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spans="1:26">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spans="1:2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spans="1:26">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spans="1:26">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spans="1:26">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spans="1:26">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spans="1:26">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spans="1:26">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spans="1:26">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spans="1:26">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spans="1:26">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spans="1:2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spans="1:26">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spans="1:26">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spans="1:26">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spans="1:26">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spans="1:26">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spans="1:26">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spans="1:26">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spans="1:26">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spans="1:26">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spans="1:2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spans="1:26">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spans="1:26">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spans="1:26">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spans="1:26">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spans="1:26">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spans="1:26">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spans="1:26">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spans="1:26">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spans="1:26">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spans="1: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spans="1:26">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spans="1:26">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spans="1:26">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spans="1:26">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spans="1:26">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spans="1:26">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spans="1:26">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spans="1:26">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spans="1:26">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spans="1:2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spans="1:26">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spans="1:26">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spans="1:26">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spans="1:26">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spans="1:26">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spans="1:26">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spans="1:26">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spans="1:26">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spans="1:26">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spans="1:2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spans="1:26">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spans="1:26">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spans="1:26">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spans="1:26">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spans="1:26">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spans="1:26">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spans="1:26">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spans="1:26">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spans="1:26">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spans="1:2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spans="1:26">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spans="1:26">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spans="1:26">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spans="1:26">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spans="1:26">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spans="1:26">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spans="1:26">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spans="1:26">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spans="1:26">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spans="1:2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spans="1:26">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spans="1:26">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spans="1:26">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spans="1:26">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spans="1:26">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spans="1:26">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spans="1:26">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spans="1:26">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spans="1:26">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spans="1:2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spans="1:26">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spans="1:26">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spans="1:26">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spans="1:26">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spans="1:26">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spans="1:26">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spans="1:26">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spans="1:26">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spans="1:26">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spans="1:2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spans="1:26">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spans="1:26">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spans="1:26">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spans="1:26">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spans="1:26">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spans="1:26">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spans="1:26">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spans="1:26">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spans="1:26">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spans="1:2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spans="1:26">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spans="1:26">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spans="1:26">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spans="1:26">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spans="1:26">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spans="1:26">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spans="1:26">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spans="1:26">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spans="1:26">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spans="1:2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spans="1:26">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spans="1:26">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spans="1:26">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spans="1:26">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spans="1:26">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spans="1:26">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spans="1:26">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spans="1:26">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spans="1:26">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spans="1:2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spans="1:26">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spans="1:26">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spans="1:26">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spans="1:26">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spans="1:26">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spans="1:26">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spans="1:26">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spans="1:26">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spans="1:26">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spans="1: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spans="1:26">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spans="1:26">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spans="1:26">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spans="1:26">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spans="1:26">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spans="1:26">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spans="1:26">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spans="1:26">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spans="1:26">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spans="1:2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spans="1:26">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spans="1:26">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spans="1:26">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spans="1:26">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spans="1:26">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spans="1:26">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spans="1:26">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spans="1:26">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spans="1:26">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spans="1:2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spans="1:26">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spans="1:26">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spans="1:26">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spans="1:26">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spans="1:26">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spans="1:26">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spans="1:26">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spans="1:26">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spans="1:26">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spans="1:2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spans="1:26">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spans="1:26">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spans="1:26">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spans="1:26">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spans="1:26">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spans="1:26">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spans="1:26">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spans="1:26">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spans="1:26">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spans="1:2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spans="1:26">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spans="1:26">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spans="1:26">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spans="1:26">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spans="1:26">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spans="1:26">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spans="1:26">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spans="1:26">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spans="1:26">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spans="1:2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spans="1:26">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spans="1:26">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spans="1:26">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spans="1:26">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spans="1:26">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spans="1:26">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spans="1:26">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spans="1:26">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spans="1:26">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spans="1:2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spans="1:26">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spans="1:26">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spans="1:26">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spans="1:26">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spans="1:26">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spans="1:26">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spans="1:26">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spans="1:26">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spans="1:26">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spans="1:2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spans="1:26">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spans="1:26">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spans="1:26">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spans="1:26">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ageMargins left="0.511811024" right="0.511811024" top="0.787401575" bottom="0.787401575" header="0" footer="0"/>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285714285714" defaultRowHeight="15" customHeight="1" outlineLevelCol="3"/>
  <cols>
    <col min="1" max="1" width="11.5714285714286" customWidth="1"/>
    <col min="2" max="2" width="16.8571428571429" customWidth="1"/>
    <col min="3" max="3" width="25" customWidth="1"/>
    <col min="4" max="4" width="26.1428571428571" customWidth="1"/>
    <col min="5" max="5" width="28.7142857142857" customWidth="1"/>
    <col min="6" max="26" width="8.71428571428571" customWidth="1"/>
  </cols>
  <sheetData>
    <row r="1" spans="1:4">
      <c r="A1" s="83" t="s">
        <v>1217</v>
      </c>
      <c r="B1" s="84" t="s">
        <v>1218</v>
      </c>
      <c r="C1" s="85" t="s">
        <v>1219</v>
      </c>
      <c r="D1" s="85" t="s">
        <v>1220</v>
      </c>
    </row>
    <row r="2" spans="1:4">
      <c r="A2" s="86">
        <v>38718</v>
      </c>
      <c r="B2" s="87">
        <v>0.3218</v>
      </c>
      <c r="C2" s="88">
        <v>0</v>
      </c>
      <c r="D2" s="88">
        <v>0</v>
      </c>
    </row>
    <row r="3" spans="1:4">
      <c r="A3" s="86">
        <v>38749</v>
      </c>
      <c r="B3" s="87">
        <v>0.3462</v>
      </c>
      <c r="C3" s="88">
        <v>0</v>
      </c>
      <c r="D3" s="88">
        <v>0</v>
      </c>
    </row>
    <row r="4" spans="1:4">
      <c r="A4" s="86">
        <v>38777</v>
      </c>
      <c r="B4" s="87">
        <v>0.3373</v>
      </c>
      <c r="C4" s="88">
        <v>0</v>
      </c>
      <c r="D4" s="88">
        <v>0</v>
      </c>
    </row>
    <row r="5" spans="1:4">
      <c r="A5" s="86">
        <v>38808</v>
      </c>
      <c r="B5" s="87">
        <v>0.2752</v>
      </c>
      <c r="C5" s="88">
        <v>0</v>
      </c>
      <c r="D5" s="88">
        <v>0</v>
      </c>
    </row>
    <row r="6" spans="1:4">
      <c r="A6" s="86">
        <v>38838</v>
      </c>
      <c r="B6" s="87">
        <v>0.3173</v>
      </c>
      <c r="C6" s="88">
        <v>0</v>
      </c>
      <c r="D6" s="88">
        <v>0</v>
      </c>
    </row>
    <row r="7" spans="1:4">
      <c r="A7" s="86">
        <v>38869</v>
      </c>
      <c r="B7" s="87">
        <v>0.3058</v>
      </c>
      <c r="C7" s="88">
        <v>0</v>
      </c>
      <c r="D7" s="88">
        <v>0</v>
      </c>
    </row>
    <row r="8" spans="1:4">
      <c r="A8" s="86">
        <v>38899</v>
      </c>
      <c r="B8" s="87">
        <v>0.3507</v>
      </c>
      <c r="C8" s="88">
        <v>0</v>
      </c>
      <c r="D8" s="88">
        <v>0</v>
      </c>
    </row>
    <row r="9" spans="1:4">
      <c r="A9" s="86">
        <v>38930</v>
      </c>
      <c r="B9" s="87">
        <v>0.336</v>
      </c>
      <c r="C9" s="88">
        <v>0</v>
      </c>
      <c r="D9" s="88">
        <v>0</v>
      </c>
    </row>
    <row r="10" spans="1:4">
      <c r="A10" s="86">
        <v>38961</v>
      </c>
      <c r="B10" s="87">
        <v>0.3834</v>
      </c>
      <c r="C10" s="88">
        <v>0</v>
      </c>
      <c r="D10" s="88">
        <v>0</v>
      </c>
    </row>
    <row r="11" spans="1:4">
      <c r="A11" s="86">
        <v>38991</v>
      </c>
      <c r="B11" s="87">
        <v>0.3598</v>
      </c>
      <c r="C11" s="88">
        <v>0</v>
      </c>
      <c r="D11" s="88">
        <v>0</v>
      </c>
    </row>
    <row r="12" spans="1:4">
      <c r="A12" s="86">
        <v>39022</v>
      </c>
      <c r="B12" s="87">
        <v>0.2651</v>
      </c>
      <c r="C12" s="88">
        <v>0</v>
      </c>
      <c r="D12" s="88">
        <v>0</v>
      </c>
    </row>
    <row r="13" spans="1:4">
      <c r="A13" s="86">
        <v>39052</v>
      </c>
      <c r="B13" s="87">
        <v>0.2802</v>
      </c>
      <c r="C13" s="88">
        <v>0</v>
      </c>
      <c r="D13" s="88">
        <v>0</v>
      </c>
    </row>
    <row r="14" spans="1:4">
      <c r="A14" s="86">
        <v>39083</v>
      </c>
      <c r="B14" s="87">
        <v>0.2292</v>
      </c>
      <c r="C14" s="88">
        <v>0</v>
      </c>
      <c r="D14" s="88">
        <v>0</v>
      </c>
    </row>
    <row r="15" spans="1:4">
      <c r="A15" s="86">
        <v>39114</v>
      </c>
      <c r="B15" s="87">
        <v>0.1954</v>
      </c>
      <c r="C15" s="88">
        <v>0</v>
      </c>
      <c r="D15" s="88">
        <v>0</v>
      </c>
    </row>
    <row r="16" spans="1:4">
      <c r="A16" s="86">
        <v>39142</v>
      </c>
      <c r="B16" s="87">
        <v>0.1948</v>
      </c>
      <c r="C16" s="88">
        <v>0</v>
      </c>
      <c r="D16" s="88">
        <v>0</v>
      </c>
    </row>
    <row r="17" spans="1:4">
      <c r="A17" s="86">
        <v>39173</v>
      </c>
      <c r="B17" s="87">
        <v>0.1965</v>
      </c>
      <c r="C17" s="88">
        <v>0</v>
      </c>
      <c r="D17" s="88">
        <v>0</v>
      </c>
    </row>
    <row r="18" spans="1:4">
      <c r="A18" s="86">
        <v>39203</v>
      </c>
      <c r="B18" s="87">
        <v>0.1606</v>
      </c>
      <c r="C18" s="88">
        <v>0</v>
      </c>
      <c r="D18" s="88">
        <v>0</v>
      </c>
    </row>
    <row r="19" spans="1:4">
      <c r="A19" s="86">
        <v>39234</v>
      </c>
      <c r="B19" s="87">
        <v>0.2559</v>
      </c>
      <c r="C19" s="88">
        <v>0</v>
      </c>
      <c r="D19" s="88">
        <v>0</v>
      </c>
    </row>
    <row r="20" spans="1:4">
      <c r="A20" s="86">
        <v>39264</v>
      </c>
      <c r="B20" s="87">
        <v>0.3096</v>
      </c>
      <c r="C20" s="88">
        <v>0</v>
      </c>
      <c r="D20" s="88">
        <v>0</v>
      </c>
    </row>
    <row r="21" ht="15.75" customHeight="1" spans="1:4">
      <c r="A21" s="86">
        <v>39295</v>
      </c>
      <c r="B21" s="87">
        <v>0.324</v>
      </c>
      <c r="C21" s="88">
        <v>0</v>
      </c>
      <c r="D21" s="88">
        <v>0</v>
      </c>
    </row>
    <row r="22" ht="15.75" customHeight="1" spans="1:4">
      <c r="A22" s="86">
        <v>39326</v>
      </c>
      <c r="B22" s="87">
        <v>0.355</v>
      </c>
      <c r="C22" s="88">
        <v>0</v>
      </c>
      <c r="D22" s="88">
        <v>0</v>
      </c>
    </row>
    <row r="23" ht="15.75" customHeight="1" spans="1:4">
      <c r="A23" s="86">
        <v>39356</v>
      </c>
      <c r="B23" s="87">
        <v>0.3774</v>
      </c>
      <c r="C23" s="88">
        <v>0</v>
      </c>
      <c r="D23" s="88">
        <v>0</v>
      </c>
    </row>
    <row r="24" ht="15.75" customHeight="1" spans="1:4">
      <c r="A24" s="86">
        <v>39387</v>
      </c>
      <c r="B24" s="87">
        <v>0.4059</v>
      </c>
      <c r="C24" s="88">
        <v>0</v>
      </c>
      <c r="D24" s="88">
        <v>0</v>
      </c>
    </row>
    <row r="25" ht="15.75" customHeight="1" spans="1:4">
      <c r="A25" s="86">
        <v>39417</v>
      </c>
      <c r="B25" s="87">
        <v>0.4865</v>
      </c>
      <c r="C25" s="88">
        <v>0</v>
      </c>
      <c r="D25" s="88">
        <v>0</v>
      </c>
    </row>
    <row r="26" ht="15.75" customHeight="1" spans="1:4">
      <c r="A26" s="86">
        <v>39448</v>
      </c>
      <c r="B26" s="87">
        <v>0.0584</v>
      </c>
      <c r="C26" s="88">
        <v>0</v>
      </c>
      <c r="D26" s="88">
        <v>0</v>
      </c>
    </row>
    <row r="27" ht="15.75" customHeight="1" spans="1:4">
      <c r="A27" s="86">
        <v>39479</v>
      </c>
      <c r="B27" s="87">
        <v>0.0668</v>
      </c>
      <c r="C27" s="88">
        <v>0</v>
      </c>
      <c r="D27" s="88">
        <v>0</v>
      </c>
    </row>
    <row r="28" ht="15.75" customHeight="1" spans="1:4">
      <c r="A28" s="86">
        <v>39508</v>
      </c>
      <c r="B28" s="87">
        <v>0.0599</v>
      </c>
      <c r="C28" s="88">
        <v>0</v>
      </c>
      <c r="D28" s="88">
        <v>0</v>
      </c>
    </row>
    <row r="29" ht="15.75" customHeight="1" spans="1:4">
      <c r="A29" s="86">
        <v>39539</v>
      </c>
      <c r="B29" s="87">
        <v>0.0453</v>
      </c>
      <c r="C29" s="88">
        <v>0</v>
      </c>
      <c r="D29" s="88">
        <v>0</v>
      </c>
    </row>
    <row r="30" ht="15.75" customHeight="1" spans="1:4">
      <c r="A30" s="86">
        <v>39569</v>
      </c>
      <c r="B30" s="87">
        <v>0.0459</v>
      </c>
      <c r="C30" s="88">
        <v>0</v>
      </c>
      <c r="D30" s="88">
        <v>0</v>
      </c>
    </row>
    <row r="31" ht="15.75" customHeight="1" spans="1:4">
      <c r="A31" s="86">
        <v>39600</v>
      </c>
      <c r="B31" s="87">
        <v>0.0521</v>
      </c>
      <c r="C31" s="88">
        <v>0</v>
      </c>
      <c r="D31" s="88">
        <v>0</v>
      </c>
    </row>
    <row r="32" ht="15.75" customHeight="1" spans="1:4">
      <c r="A32" s="86">
        <v>39630</v>
      </c>
      <c r="B32" s="87">
        <v>0.0437</v>
      </c>
      <c r="C32" s="88">
        <v>0</v>
      </c>
      <c r="D32" s="88">
        <v>0</v>
      </c>
    </row>
    <row r="33" ht="15.75" customHeight="1" spans="1:4">
      <c r="A33" s="86">
        <v>39661</v>
      </c>
      <c r="B33" s="87">
        <v>0.0425</v>
      </c>
      <c r="C33" s="88">
        <v>0</v>
      </c>
      <c r="D33" s="88">
        <v>0</v>
      </c>
    </row>
    <row r="34" ht="15.75" customHeight="1" spans="1:4">
      <c r="A34" s="86">
        <v>39692</v>
      </c>
      <c r="B34" s="87">
        <v>0.0411</v>
      </c>
      <c r="C34" s="88">
        <v>0</v>
      </c>
      <c r="D34" s="88">
        <v>0</v>
      </c>
    </row>
    <row r="35" ht="15.75" customHeight="1" spans="1:4">
      <c r="A35" s="86">
        <v>39722</v>
      </c>
      <c r="B35" s="87">
        <v>0.0438</v>
      </c>
      <c r="C35" s="88">
        <v>0</v>
      </c>
      <c r="D35" s="88">
        <v>0</v>
      </c>
    </row>
    <row r="36" ht="15.75" customHeight="1" spans="1:4">
      <c r="A36" s="86">
        <v>39753</v>
      </c>
      <c r="B36" s="87">
        <v>0.0334</v>
      </c>
      <c r="C36" s="88">
        <v>0</v>
      </c>
      <c r="D36" s="88">
        <v>0</v>
      </c>
    </row>
    <row r="37" ht="15.75" customHeight="1" spans="1:4">
      <c r="A37" s="86">
        <v>39783</v>
      </c>
      <c r="B37" s="87">
        <v>0.0477</v>
      </c>
      <c r="C37" s="88">
        <v>0</v>
      </c>
      <c r="D37" s="88">
        <v>0</v>
      </c>
    </row>
    <row r="38" ht="15.75" customHeight="1" spans="1:4">
      <c r="A38" s="86">
        <v>39814</v>
      </c>
      <c r="B38" s="87">
        <v>0.2813</v>
      </c>
      <c r="C38" s="88">
        <v>0</v>
      </c>
      <c r="D38" s="88">
        <v>0</v>
      </c>
    </row>
    <row r="39" ht="15.75" customHeight="1" spans="1:4">
      <c r="A39" s="86">
        <v>39845</v>
      </c>
      <c r="B39" s="87">
        <v>0.2531</v>
      </c>
      <c r="C39" s="88">
        <v>0</v>
      </c>
      <c r="D39" s="88">
        <v>0</v>
      </c>
    </row>
    <row r="40" ht="15.75" customHeight="1" spans="1:4">
      <c r="A40" s="86">
        <v>39873</v>
      </c>
      <c r="B40" s="87">
        <v>0.2639</v>
      </c>
      <c r="C40" s="88">
        <v>0</v>
      </c>
      <c r="D40" s="88">
        <v>0</v>
      </c>
    </row>
    <row r="41" ht="15.75" customHeight="1" spans="1:4">
      <c r="A41" s="86">
        <v>39904</v>
      </c>
      <c r="B41" s="87">
        <v>0.2451</v>
      </c>
      <c r="C41" s="88">
        <v>0</v>
      </c>
      <c r="D41" s="88">
        <v>0</v>
      </c>
    </row>
    <row r="42" ht="15.75" customHeight="1" spans="1:4">
      <c r="A42" s="86">
        <v>39934</v>
      </c>
      <c r="B42" s="87">
        <v>0.4051</v>
      </c>
      <c r="C42" s="88">
        <v>0</v>
      </c>
      <c r="D42" s="88">
        <v>0</v>
      </c>
    </row>
    <row r="43" ht="15.75" customHeight="1" spans="1:4">
      <c r="A43" s="86">
        <v>39965</v>
      </c>
      <c r="B43" s="87">
        <v>0.3664</v>
      </c>
      <c r="C43" s="88">
        <v>0</v>
      </c>
      <c r="D43" s="88">
        <v>0</v>
      </c>
    </row>
    <row r="44" ht="15.75" customHeight="1" spans="1:4">
      <c r="A44" s="86">
        <v>39995</v>
      </c>
      <c r="B44" s="87">
        <v>0.2407</v>
      </c>
      <c r="C44" s="88">
        <v>0</v>
      </c>
      <c r="D44" s="88">
        <v>0</v>
      </c>
    </row>
    <row r="45" ht="15.75" customHeight="1" spans="1:4">
      <c r="A45" s="86">
        <v>40026</v>
      </c>
      <c r="B45" s="87">
        <v>0.1988</v>
      </c>
      <c r="C45" s="88">
        <v>0</v>
      </c>
      <c r="D45" s="88">
        <v>0</v>
      </c>
    </row>
    <row r="46" ht="15.75" customHeight="1" spans="1:4">
      <c r="A46" s="86">
        <v>40057</v>
      </c>
      <c r="B46" s="87">
        <v>0.1622</v>
      </c>
      <c r="C46" s="88">
        <v>0</v>
      </c>
      <c r="D46" s="88">
        <v>0</v>
      </c>
    </row>
    <row r="47" ht="15.75" customHeight="1" spans="1:4">
      <c r="A47" s="86">
        <v>40087</v>
      </c>
      <c r="B47" s="87">
        <v>0.1792</v>
      </c>
      <c r="C47" s="88">
        <v>0</v>
      </c>
      <c r="D47" s="88">
        <v>0</v>
      </c>
    </row>
    <row r="48" ht="15.75" customHeight="1" spans="1:4">
      <c r="A48" s="86">
        <v>40118</v>
      </c>
      <c r="B48" s="87">
        <v>0.181</v>
      </c>
      <c r="C48" s="88">
        <v>0</v>
      </c>
      <c r="D48" s="88">
        <v>0</v>
      </c>
    </row>
    <row r="49" ht="15.75" customHeight="1" spans="1:4">
      <c r="A49" s="86">
        <v>40148</v>
      </c>
      <c r="B49" s="87">
        <v>0.194</v>
      </c>
      <c r="C49" s="88">
        <v>0</v>
      </c>
      <c r="D49" s="88">
        <v>0</v>
      </c>
    </row>
    <row r="50" ht="15.75" customHeight="1" spans="1:4">
      <c r="A50" s="86">
        <v>40179</v>
      </c>
      <c r="B50" s="87">
        <v>0.2111</v>
      </c>
      <c r="C50" s="88">
        <v>0</v>
      </c>
      <c r="D50" s="88">
        <v>0</v>
      </c>
    </row>
    <row r="51" ht="15.75" customHeight="1" spans="1:4">
      <c r="A51" s="86">
        <v>40210</v>
      </c>
      <c r="B51" s="87">
        <v>0.2798</v>
      </c>
      <c r="C51" s="88">
        <v>0</v>
      </c>
      <c r="D51" s="88">
        <v>0</v>
      </c>
    </row>
    <row r="52" ht="15.75" customHeight="1" spans="1:4">
      <c r="A52" s="86">
        <v>40238</v>
      </c>
      <c r="B52" s="87">
        <v>0.2428</v>
      </c>
      <c r="C52" s="88">
        <v>0</v>
      </c>
      <c r="D52" s="88">
        <v>0</v>
      </c>
    </row>
    <row r="53" ht="15.75" customHeight="1" spans="1:4">
      <c r="A53" s="86">
        <v>40269</v>
      </c>
      <c r="B53" s="87">
        <v>0.2379</v>
      </c>
      <c r="C53" s="88">
        <v>0</v>
      </c>
      <c r="D53" s="88">
        <v>0</v>
      </c>
    </row>
    <row r="54" ht="15.75" customHeight="1" spans="1:4">
      <c r="A54" s="86">
        <v>40299</v>
      </c>
      <c r="B54" s="87">
        <v>0.3405</v>
      </c>
      <c r="C54" s="88">
        <v>0</v>
      </c>
      <c r="D54" s="88">
        <v>0</v>
      </c>
    </row>
    <row r="55" ht="15.75" customHeight="1" spans="1:4">
      <c r="A55" s="86">
        <v>40330</v>
      </c>
      <c r="B55" s="87">
        <v>0.4809</v>
      </c>
      <c r="C55" s="88">
        <v>0</v>
      </c>
      <c r="D55" s="88">
        <v>0</v>
      </c>
    </row>
    <row r="56" ht="15.75" customHeight="1" spans="1:4">
      <c r="A56" s="86">
        <v>40360</v>
      </c>
      <c r="B56" s="87">
        <v>0.4347</v>
      </c>
      <c r="C56" s="88">
        <v>0</v>
      </c>
      <c r="D56" s="88">
        <v>0</v>
      </c>
    </row>
    <row r="57" ht="15.75" customHeight="1" spans="1:4">
      <c r="A57" s="86">
        <v>40391</v>
      </c>
      <c r="B57" s="87">
        <v>0.6848</v>
      </c>
      <c r="C57" s="88">
        <v>0</v>
      </c>
      <c r="D57" s="88">
        <v>0</v>
      </c>
    </row>
    <row r="58" ht="15.75" customHeight="1" spans="1:4">
      <c r="A58" s="86">
        <v>40422</v>
      </c>
      <c r="B58" s="87">
        <v>0.7306</v>
      </c>
      <c r="C58" s="88">
        <v>0</v>
      </c>
      <c r="D58" s="88">
        <v>0</v>
      </c>
    </row>
    <row r="59" ht="15.75" customHeight="1" spans="1:4">
      <c r="A59" s="86">
        <v>40452</v>
      </c>
      <c r="B59" s="87">
        <v>0.732</v>
      </c>
      <c r="C59" s="88">
        <v>0</v>
      </c>
      <c r="D59" s="88">
        <v>0</v>
      </c>
    </row>
    <row r="60" ht="15.75" customHeight="1" spans="1:4">
      <c r="A60" s="86">
        <v>40483</v>
      </c>
      <c r="B60" s="87">
        <v>0.7341</v>
      </c>
      <c r="C60" s="88">
        <v>0</v>
      </c>
      <c r="D60" s="88">
        <v>0</v>
      </c>
    </row>
    <row r="61" ht="15.75" customHeight="1" spans="1:4">
      <c r="A61" s="86">
        <v>40513</v>
      </c>
      <c r="B61" s="87">
        <v>0.6348</v>
      </c>
      <c r="C61" s="88">
        <v>0</v>
      </c>
      <c r="D61" s="88">
        <v>0</v>
      </c>
    </row>
    <row r="62" ht="15.75" customHeight="1" spans="1:4">
      <c r="A62" s="86">
        <v>40544</v>
      </c>
      <c r="B62" s="87">
        <v>0.2621</v>
      </c>
      <c r="C62" s="88">
        <v>0</v>
      </c>
      <c r="D62" s="88">
        <v>0</v>
      </c>
    </row>
    <row r="63" ht="15.75" customHeight="1" spans="1:4">
      <c r="A63" s="86">
        <v>40575</v>
      </c>
      <c r="B63" s="87">
        <v>0.2876</v>
      </c>
      <c r="C63" s="88">
        <v>0</v>
      </c>
      <c r="D63" s="88">
        <v>0</v>
      </c>
    </row>
    <row r="64" ht="15.75" customHeight="1" spans="1:4">
      <c r="A64" s="86">
        <v>40603</v>
      </c>
      <c r="B64" s="87">
        <v>0.2076</v>
      </c>
      <c r="C64" s="88">
        <v>0</v>
      </c>
      <c r="D64" s="88">
        <v>0</v>
      </c>
    </row>
    <row r="65" ht="15.75" customHeight="1" spans="1:4">
      <c r="A65" s="86">
        <v>40634</v>
      </c>
      <c r="B65" s="87">
        <v>0.1977</v>
      </c>
      <c r="C65" s="88">
        <v>0</v>
      </c>
      <c r="D65" s="88">
        <v>0</v>
      </c>
    </row>
    <row r="66" ht="15.75" customHeight="1" spans="1:4">
      <c r="A66" s="86">
        <v>40664</v>
      </c>
      <c r="B66" s="87">
        <v>0.2698</v>
      </c>
      <c r="C66" s="88">
        <v>0</v>
      </c>
      <c r="D66" s="88">
        <v>0</v>
      </c>
    </row>
    <row r="67" ht="15.75" customHeight="1" spans="1:4">
      <c r="A67" s="86">
        <v>40695</v>
      </c>
      <c r="B67" s="87">
        <v>0.341</v>
      </c>
      <c r="C67" s="88">
        <v>0</v>
      </c>
      <c r="D67" s="88">
        <v>0</v>
      </c>
    </row>
    <row r="68" ht="15.75" customHeight="1" spans="1:4">
      <c r="A68" s="86">
        <v>40725</v>
      </c>
      <c r="B68" s="87">
        <v>0.3076</v>
      </c>
      <c r="C68" s="88">
        <v>0</v>
      </c>
      <c r="D68" s="88">
        <v>0</v>
      </c>
    </row>
    <row r="69" ht="15.75" customHeight="1" spans="1:4">
      <c r="A69" s="86">
        <v>40756</v>
      </c>
      <c r="B69" s="87">
        <v>0.3009</v>
      </c>
      <c r="C69" s="88">
        <v>0</v>
      </c>
      <c r="D69" s="88">
        <v>0</v>
      </c>
    </row>
    <row r="70" ht="15.75" customHeight="1" spans="1:4">
      <c r="A70" s="86">
        <v>40787</v>
      </c>
      <c r="B70" s="87">
        <v>0.2734</v>
      </c>
      <c r="C70" s="88">
        <v>0</v>
      </c>
      <c r="D70" s="88">
        <v>0</v>
      </c>
    </row>
    <row r="71" ht="15.75" customHeight="1" spans="1:4">
      <c r="A71" s="86">
        <v>40817</v>
      </c>
      <c r="B71" s="87">
        <v>0.3498</v>
      </c>
      <c r="C71" s="88">
        <v>0</v>
      </c>
      <c r="D71" s="88">
        <v>0</v>
      </c>
    </row>
    <row r="72" ht="15.75" customHeight="1" spans="1:4">
      <c r="A72" s="86">
        <v>40848</v>
      </c>
      <c r="B72" s="87">
        <v>0.3565</v>
      </c>
      <c r="C72" s="88">
        <v>0</v>
      </c>
      <c r="D72" s="88">
        <v>0</v>
      </c>
    </row>
    <row r="73" ht="15.75" customHeight="1" spans="1:4">
      <c r="A73" s="86">
        <v>40878</v>
      </c>
      <c r="B73" s="87">
        <v>0.3495</v>
      </c>
      <c r="C73" s="88">
        <v>0</v>
      </c>
      <c r="D73" s="88">
        <v>0</v>
      </c>
    </row>
    <row r="74" ht="15.75" customHeight="1" spans="1:4">
      <c r="A74" s="86">
        <v>40909</v>
      </c>
      <c r="B74" s="87">
        <v>0.0294</v>
      </c>
      <c r="C74" s="88">
        <v>0</v>
      </c>
      <c r="D74" s="88">
        <v>0</v>
      </c>
    </row>
    <row r="75" ht="15.75" customHeight="1" spans="1:4">
      <c r="A75" s="86">
        <v>40940</v>
      </c>
      <c r="B75" s="87">
        <v>0.0322</v>
      </c>
      <c r="C75" s="88">
        <v>0</v>
      </c>
      <c r="D75" s="88">
        <v>0</v>
      </c>
    </row>
    <row r="76" ht="15.75" customHeight="1" spans="1:4">
      <c r="A76" s="86">
        <v>40969</v>
      </c>
      <c r="B76" s="87">
        <v>0.0405</v>
      </c>
      <c r="C76" s="88">
        <v>0</v>
      </c>
      <c r="D76" s="88">
        <v>0</v>
      </c>
    </row>
    <row r="77" ht="15.75" customHeight="1" spans="1:4">
      <c r="A77" s="86">
        <v>41000</v>
      </c>
      <c r="B77" s="87">
        <v>0.0642</v>
      </c>
      <c r="C77" s="88">
        <v>0</v>
      </c>
      <c r="D77" s="88">
        <v>0</v>
      </c>
    </row>
    <row r="78" ht="15.75" customHeight="1" spans="1:4">
      <c r="A78" s="86">
        <v>41030</v>
      </c>
      <c r="B78" s="87">
        <v>0.062</v>
      </c>
      <c r="C78" s="88">
        <v>0</v>
      </c>
      <c r="D78" s="88">
        <v>0</v>
      </c>
    </row>
    <row r="79" ht="15.75" customHeight="1" spans="1:4">
      <c r="A79" s="86">
        <v>41061</v>
      </c>
      <c r="B79" s="87">
        <v>0.0522</v>
      </c>
      <c r="C79" s="88">
        <v>0</v>
      </c>
      <c r="D79" s="88">
        <v>0</v>
      </c>
    </row>
    <row r="80" ht="15.75" customHeight="1" spans="1:4">
      <c r="A80" s="86">
        <v>41091</v>
      </c>
      <c r="B80" s="87">
        <v>0.0394</v>
      </c>
      <c r="C80" s="88">
        <v>0</v>
      </c>
      <c r="D80" s="88">
        <v>0</v>
      </c>
    </row>
    <row r="81" ht="15.75" customHeight="1" spans="1:4">
      <c r="A81" s="86">
        <v>41122</v>
      </c>
      <c r="B81" s="87">
        <v>0.046</v>
      </c>
      <c r="C81" s="88">
        <v>0</v>
      </c>
      <c r="D81" s="88">
        <v>0</v>
      </c>
    </row>
    <row r="82" ht="15.75" customHeight="1" spans="1:4">
      <c r="A82" s="86">
        <v>41153</v>
      </c>
      <c r="B82" s="87">
        <v>0.0783</v>
      </c>
      <c r="C82" s="88">
        <v>0</v>
      </c>
      <c r="D82" s="88">
        <v>0</v>
      </c>
    </row>
    <row r="83" ht="15.75" customHeight="1" spans="1:4">
      <c r="A83" s="86">
        <v>41183</v>
      </c>
      <c r="B83" s="87">
        <v>0.0984</v>
      </c>
      <c r="C83" s="88">
        <v>0</v>
      </c>
      <c r="D83" s="88">
        <v>0</v>
      </c>
    </row>
    <row r="84" ht="15.75" customHeight="1" spans="1:4">
      <c r="A84" s="86">
        <v>41214</v>
      </c>
      <c r="B84" s="87">
        <v>0.1247</v>
      </c>
      <c r="C84" s="88">
        <v>0</v>
      </c>
      <c r="D84" s="88">
        <v>0</v>
      </c>
    </row>
    <row r="85" ht="15.75" customHeight="1" spans="1:4">
      <c r="A85" s="86">
        <v>41244</v>
      </c>
      <c r="B85" s="87">
        <v>0.1168</v>
      </c>
      <c r="C85" s="88">
        <v>0</v>
      </c>
      <c r="D85" s="88">
        <v>0</v>
      </c>
    </row>
    <row r="86" ht="15.75" customHeight="1" spans="1:4">
      <c r="A86" s="86">
        <v>41275</v>
      </c>
      <c r="B86" s="87">
        <v>0.1151</v>
      </c>
      <c r="C86" s="88">
        <v>0</v>
      </c>
      <c r="D86" s="88">
        <v>0</v>
      </c>
    </row>
    <row r="87" ht="15.75" customHeight="1" spans="1:4">
      <c r="A87" s="86">
        <v>41306</v>
      </c>
      <c r="B87" s="87">
        <v>0.109</v>
      </c>
      <c r="C87" s="88">
        <v>0</v>
      </c>
      <c r="D87" s="88">
        <v>0</v>
      </c>
    </row>
    <row r="88" ht="15.75" customHeight="1" spans="1:4">
      <c r="A88" s="86">
        <v>41334</v>
      </c>
      <c r="B88" s="87">
        <v>0.0981</v>
      </c>
      <c r="C88" s="88">
        <v>0</v>
      </c>
      <c r="D88" s="88">
        <v>0</v>
      </c>
    </row>
    <row r="89" ht="15.75" customHeight="1" spans="1:4">
      <c r="A89" s="86">
        <v>41365</v>
      </c>
      <c r="B89" s="87">
        <v>0.0959</v>
      </c>
      <c r="C89" s="88">
        <v>0</v>
      </c>
      <c r="D89" s="88">
        <v>0</v>
      </c>
    </row>
    <row r="90" ht="15.75" customHeight="1" spans="1:4">
      <c r="A90" s="86">
        <v>41395</v>
      </c>
      <c r="B90" s="87">
        <v>0.1151</v>
      </c>
      <c r="C90" s="88">
        <v>0</v>
      </c>
      <c r="D90" s="88">
        <v>0</v>
      </c>
    </row>
    <row r="91" ht="15.75" customHeight="1" spans="1:4">
      <c r="A91" s="86">
        <v>41426</v>
      </c>
      <c r="B91" s="87">
        <v>0.1079</v>
      </c>
      <c r="C91" s="88">
        <v>0</v>
      </c>
      <c r="D91" s="88">
        <v>0</v>
      </c>
    </row>
    <row r="92" ht="15.75" customHeight="1" spans="1:4">
      <c r="A92" s="86">
        <v>41456</v>
      </c>
      <c r="B92" s="87">
        <v>0.0838</v>
      </c>
      <c r="C92" s="88">
        <v>0</v>
      </c>
      <c r="D92" s="88">
        <v>0</v>
      </c>
    </row>
    <row r="93" ht="15.75" customHeight="1" spans="1:4">
      <c r="A93" s="86">
        <v>41487</v>
      </c>
      <c r="B93" s="87">
        <v>0.0833</v>
      </c>
      <c r="C93" s="88">
        <v>0</v>
      </c>
      <c r="D93" s="88">
        <v>0</v>
      </c>
    </row>
    <row r="94" ht="15.75" customHeight="1" spans="1:4">
      <c r="A94" s="86">
        <v>41518</v>
      </c>
      <c r="B94" s="87">
        <v>0.084</v>
      </c>
      <c r="C94" s="88">
        <v>0</v>
      </c>
      <c r="D94" s="88">
        <v>0</v>
      </c>
    </row>
    <row r="95" ht="15.75" customHeight="1" spans="1:4">
      <c r="A95" s="86">
        <v>41548</v>
      </c>
      <c r="B95" s="87">
        <v>0.0831</v>
      </c>
      <c r="C95" s="88">
        <v>0</v>
      </c>
      <c r="D95" s="88">
        <v>0</v>
      </c>
    </row>
    <row r="96" ht="15.75" customHeight="1" spans="1:4">
      <c r="A96" s="86">
        <v>41579</v>
      </c>
      <c r="B96" s="87">
        <v>0.093</v>
      </c>
      <c r="C96" s="88">
        <v>0</v>
      </c>
      <c r="D96" s="88">
        <v>0</v>
      </c>
    </row>
    <row r="97" ht="15.75" customHeight="1" spans="1:4">
      <c r="A97" s="86">
        <v>41609</v>
      </c>
      <c r="B97" s="87">
        <v>0.0841</v>
      </c>
      <c r="C97" s="88">
        <v>0</v>
      </c>
      <c r="D97" s="88">
        <v>0</v>
      </c>
    </row>
    <row r="98" ht="15.75" customHeight="1" spans="1:4">
      <c r="A98" s="86">
        <v>41640</v>
      </c>
      <c r="B98" s="87">
        <v>0.0911</v>
      </c>
      <c r="C98" s="88">
        <v>0</v>
      </c>
      <c r="D98" s="88">
        <v>0</v>
      </c>
    </row>
    <row r="99" ht="15.75" customHeight="1" spans="1:4">
      <c r="A99" s="86">
        <v>41671</v>
      </c>
      <c r="B99" s="87">
        <v>0.1169</v>
      </c>
      <c r="C99" s="88">
        <v>0</v>
      </c>
      <c r="D99" s="88">
        <v>0</v>
      </c>
    </row>
    <row r="100" ht="15.75" customHeight="1" spans="1:4">
      <c r="A100" s="86">
        <v>41699</v>
      </c>
      <c r="B100" s="87">
        <v>0.1238</v>
      </c>
      <c r="C100" s="88">
        <v>0</v>
      </c>
      <c r="D100" s="88">
        <v>0</v>
      </c>
    </row>
    <row r="101" ht="15.75" customHeight="1" spans="1:4">
      <c r="A101" s="86">
        <v>41730</v>
      </c>
      <c r="B101" s="87">
        <v>0.131</v>
      </c>
      <c r="C101" s="88">
        <v>0</v>
      </c>
      <c r="D101" s="88">
        <v>0</v>
      </c>
    </row>
    <row r="102" ht="15.75" customHeight="1" spans="1:4">
      <c r="A102" s="86">
        <v>41760</v>
      </c>
      <c r="B102" s="87">
        <v>0.1422</v>
      </c>
      <c r="C102" s="88">
        <v>0</v>
      </c>
      <c r="D102" s="88">
        <v>0</v>
      </c>
    </row>
    <row r="103" ht="15.75" customHeight="1" spans="1:4">
      <c r="A103" s="86">
        <v>41791</v>
      </c>
      <c r="B103" s="87">
        <v>0.144</v>
      </c>
      <c r="C103" s="88">
        <v>0</v>
      </c>
      <c r="D103" s="88">
        <v>0</v>
      </c>
    </row>
    <row r="104" ht="15.75" customHeight="1" spans="1:4">
      <c r="A104" s="86">
        <v>41821</v>
      </c>
      <c r="B104" s="87">
        <v>0.1464</v>
      </c>
      <c r="C104" s="88">
        <v>0</v>
      </c>
      <c r="D104" s="88">
        <v>0</v>
      </c>
    </row>
    <row r="105" ht="15.75" customHeight="1" spans="1:4">
      <c r="A105" s="86">
        <v>41852</v>
      </c>
      <c r="B105" s="87">
        <v>0.1578</v>
      </c>
      <c r="C105" s="88">
        <v>0</v>
      </c>
      <c r="D105" s="88">
        <v>0</v>
      </c>
    </row>
    <row r="106" ht="15.75" customHeight="1" spans="1:4">
      <c r="A106" s="86">
        <v>41883</v>
      </c>
      <c r="B106" s="87">
        <v>0.1431</v>
      </c>
      <c r="C106" s="88">
        <v>0</v>
      </c>
      <c r="D106" s="88">
        <v>0</v>
      </c>
    </row>
    <row r="107" ht="15.75" customHeight="1" spans="1:4">
      <c r="A107" s="86">
        <v>41913</v>
      </c>
      <c r="B107" s="87">
        <v>0.1413</v>
      </c>
      <c r="C107" s="88">
        <v>0</v>
      </c>
      <c r="D107" s="88">
        <v>0</v>
      </c>
    </row>
    <row r="108" ht="15.75" customHeight="1" spans="1:4">
      <c r="A108" s="86">
        <v>41944</v>
      </c>
      <c r="B108" s="87">
        <v>0.1514</v>
      </c>
      <c r="C108" s="88">
        <v>0</v>
      </c>
      <c r="D108" s="88">
        <v>0</v>
      </c>
    </row>
    <row r="109" ht="15.75" customHeight="1" spans="1:4">
      <c r="A109" s="86">
        <v>41974</v>
      </c>
      <c r="B109" s="87">
        <v>0.1368</v>
      </c>
      <c r="C109" s="88">
        <v>0</v>
      </c>
      <c r="D109" s="88">
        <v>0</v>
      </c>
    </row>
    <row r="110" ht="15.75" customHeight="1" spans="1:4">
      <c r="A110" s="86">
        <v>42005</v>
      </c>
      <c r="B110" s="87">
        <v>0.1275</v>
      </c>
      <c r="C110" s="88">
        <v>0</v>
      </c>
      <c r="D110" s="88">
        <v>0</v>
      </c>
    </row>
    <row r="111" ht="15.75" customHeight="1" spans="1:4">
      <c r="A111" s="86">
        <v>42036</v>
      </c>
      <c r="B111" s="87">
        <v>0.1321</v>
      </c>
      <c r="C111" s="88">
        <v>0</v>
      </c>
      <c r="D111" s="88">
        <v>0</v>
      </c>
    </row>
    <row r="112" ht="15.75" customHeight="1" spans="1:4">
      <c r="A112" s="86">
        <v>42064</v>
      </c>
      <c r="B112" s="87">
        <v>0.1369</v>
      </c>
      <c r="C112" s="88">
        <v>0</v>
      </c>
      <c r="D112" s="88">
        <v>0</v>
      </c>
    </row>
    <row r="113" ht="15.75" customHeight="1" spans="1:4">
      <c r="A113" s="86">
        <v>42095</v>
      </c>
      <c r="B113" s="87">
        <v>0.1301</v>
      </c>
      <c r="C113" s="88">
        <v>0</v>
      </c>
      <c r="D113" s="88">
        <v>0</v>
      </c>
    </row>
    <row r="114" ht="15.75" customHeight="1" spans="1:4">
      <c r="A114" s="86">
        <v>42125</v>
      </c>
      <c r="B114" s="87">
        <v>0.1258</v>
      </c>
      <c r="C114" s="88">
        <v>0</v>
      </c>
      <c r="D114" s="88">
        <v>0</v>
      </c>
    </row>
    <row r="115" ht="15.75" customHeight="1" spans="1:4">
      <c r="A115" s="86">
        <v>42156</v>
      </c>
      <c r="B115" s="87">
        <v>0.1406</v>
      </c>
      <c r="C115" s="88">
        <v>0</v>
      </c>
      <c r="D115" s="88">
        <v>0</v>
      </c>
    </row>
    <row r="116" ht="15.75" customHeight="1" spans="1:4">
      <c r="A116" s="86">
        <v>42186</v>
      </c>
      <c r="B116" s="87">
        <v>0.1221</v>
      </c>
      <c r="C116" s="88">
        <v>0</v>
      </c>
      <c r="D116" s="88">
        <v>0</v>
      </c>
    </row>
    <row r="117" ht="15.75" customHeight="1" spans="1:4">
      <c r="A117" s="86">
        <v>42217</v>
      </c>
      <c r="B117" s="87">
        <v>0.1183</v>
      </c>
      <c r="C117" s="88">
        <v>0</v>
      </c>
      <c r="D117" s="88">
        <v>0</v>
      </c>
    </row>
    <row r="118" ht="15.75" customHeight="1" spans="1:4">
      <c r="A118" s="86">
        <v>42248</v>
      </c>
      <c r="B118" s="87">
        <v>0.1217</v>
      </c>
      <c r="C118" s="88">
        <v>0</v>
      </c>
      <c r="D118" s="88">
        <v>0</v>
      </c>
    </row>
    <row r="119" ht="15.75" customHeight="1" spans="1:4">
      <c r="A119" s="86">
        <v>42278</v>
      </c>
      <c r="B119" s="87">
        <v>0.118</v>
      </c>
      <c r="C119" s="88">
        <v>0</v>
      </c>
      <c r="D119" s="88">
        <v>0</v>
      </c>
    </row>
    <row r="120" ht="15.75" customHeight="1" spans="1:4">
      <c r="A120" s="86">
        <v>42309</v>
      </c>
      <c r="B120" s="87">
        <v>0.1127</v>
      </c>
      <c r="C120" s="88">
        <v>0</v>
      </c>
      <c r="D120" s="88">
        <v>0</v>
      </c>
    </row>
    <row r="121" ht="15.75" customHeight="1" spans="1:4">
      <c r="A121" s="86">
        <v>42339</v>
      </c>
      <c r="B121" s="87">
        <v>0.1075</v>
      </c>
      <c r="C121" s="88">
        <v>0</v>
      </c>
      <c r="D121" s="88">
        <v>0</v>
      </c>
    </row>
    <row r="122" ht="15.75" customHeight="1" spans="1:4">
      <c r="A122" s="86">
        <v>42370</v>
      </c>
      <c r="B122" s="87">
        <v>0.096</v>
      </c>
      <c r="C122" s="88">
        <v>0</v>
      </c>
      <c r="D122" s="88">
        <v>0</v>
      </c>
    </row>
    <row r="123" ht="15.75" customHeight="1" spans="1:4">
      <c r="A123" s="86">
        <v>42401</v>
      </c>
      <c r="B123" s="87">
        <v>0.0815</v>
      </c>
      <c r="C123" s="88">
        <v>0</v>
      </c>
      <c r="D123" s="88">
        <v>0</v>
      </c>
    </row>
    <row r="124" ht="15.75" customHeight="1" spans="1:4">
      <c r="A124" s="86">
        <v>42430</v>
      </c>
      <c r="B124" s="87">
        <v>0.071</v>
      </c>
      <c r="C124" s="88">
        <v>0</v>
      </c>
      <c r="D124" s="88">
        <v>0</v>
      </c>
    </row>
    <row r="125" ht="15.75" customHeight="1" spans="1:4">
      <c r="A125" s="86">
        <v>42461</v>
      </c>
      <c r="B125" s="87">
        <v>0.0757</v>
      </c>
      <c r="C125" s="88">
        <v>0</v>
      </c>
      <c r="D125" s="88">
        <v>0</v>
      </c>
    </row>
    <row r="126" ht="15.75" customHeight="1" spans="1:4">
      <c r="A126" s="86">
        <v>42491</v>
      </c>
      <c r="B126" s="87">
        <v>0.0701</v>
      </c>
      <c r="C126" s="88">
        <v>0</v>
      </c>
      <c r="D126" s="88">
        <v>0</v>
      </c>
    </row>
    <row r="127" ht="15.75" customHeight="1" spans="1:4">
      <c r="A127" s="86">
        <v>42522</v>
      </c>
      <c r="B127" s="87">
        <v>0.076</v>
      </c>
      <c r="C127" s="88">
        <v>0</v>
      </c>
      <c r="D127" s="88">
        <v>0</v>
      </c>
    </row>
    <row r="128" ht="15.75" customHeight="1" spans="1:4">
      <c r="A128" s="86">
        <v>42552</v>
      </c>
      <c r="B128" s="87">
        <v>0.0725</v>
      </c>
      <c r="C128" s="88">
        <v>0</v>
      </c>
      <c r="D128" s="88">
        <v>0</v>
      </c>
    </row>
    <row r="129" ht="15.75" customHeight="1" spans="1:4">
      <c r="A129" s="86">
        <v>42583</v>
      </c>
      <c r="B129" s="87">
        <v>0.0836</v>
      </c>
      <c r="C129" s="88">
        <v>0</v>
      </c>
      <c r="D129" s="88">
        <v>0</v>
      </c>
    </row>
    <row r="130" ht="15.75" customHeight="1" spans="1:4">
      <c r="A130" s="86">
        <v>42614</v>
      </c>
      <c r="B130" s="87">
        <v>0.0897</v>
      </c>
      <c r="C130" s="88">
        <v>0</v>
      </c>
      <c r="D130" s="88">
        <v>0</v>
      </c>
    </row>
    <row r="131" ht="15.75" customHeight="1" spans="1:4">
      <c r="A131" s="86">
        <v>42644</v>
      </c>
      <c r="B131" s="87">
        <v>0.0925</v>
      </c>
      <c r="C131" s="88">
        <v>0</v>
      </c>
      <c r="D131" s="88">
        <v>0</v>
      </c>
    </row>
    <row r="132" ht="15.75" customHeight="1" spans="1:4">
      <c r="A132" s="86">
        <v>42675</v>
      </c>
      <c r="B132" s="87">
        <v>0.1002</v>
      </c>
      <c r="C132" s="88">
        <v>0</v>
      </c>
      <c r="D132" s="88">
        <v>0</v>
      </c>
    </row>
    <row r="133" ht="15.75" customHeight="1" spans="1:4">
      <c r="A133" s="86">
        <v>42705</v>
      </c>
      <c r="B133" s="87">
        <v>0.0714</v>
      </c>
      <c r="C133" s="88">
        <v>0</v>
      </c>
      <c r="D133" s="88">
        <v>0</v>
      </c>
    </row>
    <row r="134" ht="15.75" customHeight="1" spans="1:4">
      <c r="A134" s="86">
        <v>42736</v>
      </c>
      <c r="B134" s="87">
        <v>0.0566</v>
      </c>
      <c r="C134" s="88">
        <v>0</v>
      </c>
      <c r="D134" s="88">
        <v>0</v>
      </c>
    </row>
    <row r="135" ht="15.75" customHeight="1" spans="1:4">
      <c r="A135" s="86">
        <v>42767</v>
      </c>
      <c r="B135" s="87">
        <v>0.0536</v>
      </c>
      <c r="C135" s="88">
        <v>0</v>
      </c>
      <c r="D135" s="88">
        <v>0</v>
      </c>
    </row>
    <row r="136" ht="15.75" customHeight="1" spans="1:4">
      <c r="A136" s="86">
        <v>42795</v>
      </c>
      <c r="B136" s="87">
        <v>0.0696</v>
      </c>
      <c r="C136" s="88">
        <v>0</v>
      </c>
      <c r="D136" s="88">
        <v>0</v>
      </c>
    </row>
    <row r="137" ht="15.75" customHeight="1" spans="1:4">
      <c r="A137" s="86">
        <v>42826</v>
      </c>
      <c r="B137" s="87">
        <v>0.0815</v>
      </c>
      <c r="C137" s="88">
        <v>0</v>
      </c>
      <c r="D137" s="88">
        <v>0</v>
      </c>
    </row>
    <row r="138" ht="15.75" customHeight="1" spans="1:4">
      <c r="A138" s="86">
        <v>42856</v>
      </c>
      <c r="B138" s="87">
        <v>0.0847</v>
      </c>
      <c r="C138" s="88">
        <v>0</v>
      </c>
      <c r="D138" s="88">
        <v>0</v>
      </c>
    </row>
    <row r="139" ht="15.75" customHeight="1" spans="1:4">
      <c r="A139" s="86">
        <v>42887</v>
      </c>
      <c r="B139" s="87">
        <v>0.0676</v>
      </c>
      <c r="C139" s="88">
        <v>0</v>
      </c>
      <c r="D139" s="88">
        <v>0</v>
      </c>
    </row>
    <row r="140" ht="15.75" customHeight="1" spans="1:4">
      <c r="A140" s="86">
        <v>42917</v>
      </c>
      <c r="B140" s="87">
        <v>0.0965</v>
      </c>
      <c r="C140" s="88">
        <v>0</v>
      </c>
      <c r="D140" s="88">
        <v>0</v>
      </c>
    </row>
    <row r="141" ht="15.75" customHeight="1" spans="1:4">
      <c r="A141" s="86">
        <v>42948</v>
      </c>
      <c r="B141" s="87">
        <v>0.1312</v>
      </c>
      <c r="C141" s="88">
        <v>0</v>
      </c>
      <c r="D141" s="88">
        <v>0</v>
      </c>
    </row>
    <row r="142" ht="15.75" customHeight="1" spans="1:4">
      <c r="A142" s="86">
        <v>42979</v>
      </c>
      <c r="B142" s="87">
        <v>0.1264</v>
      </c>
      <c r="C142" s="88">
        <v>0</v>
      </c>
      <c r="D142" s="88">
        <v>0</v>
      </c>
    </row>
    <row r="143" ht="15.75" customHeight="1" spans="1:4">
      <c r="A143" s="86">
        <v>43009</v>
      </c>
      <c r="B143" s="87">
        <v>0.1366</v>
      </c>
      <c r="C143" s="88">
        <v>0</v>
      </c>
      <c r="D143" s="88">
        <v>0</v>
      </c>
    </row>
    <row r="144" ht="15.75" customHeight="1" spans="1:4">
      <c r="A144" s="86">
        <v>43040</v>
      </c>
      <c r="B144" s="87">
        <v>0.1193</v>
      </c>
      <c r="C144" s="88">
        <v>0</v>
      </c>
      <c r="D144" s="88">
        <v>0</v>
      </c>
    </row>
    <row r="145" ht="15.75" customHeight="1" spans="1:4">
      <c r="A145" s="86">
        <v>43070</v>
      </c>
      <c r="B145" s="87">
        <v>0.0892</v>
      </c>
      <c r="C145" s="88">
        <v>0</v>
      </c>
      <c r="D145" s="88">
        <v>0</v>
      </c>
    </row>
    <row r="146" ht="15.75" customHeight="1" spans="1:4">
      <c r="A146" s="86">
        <v>43101</v>
      </c>
      <c r="B146" s="87">
        <v>0.064</v>
      </c>
      <c r="C146" s="88">
        <v>0</v>
      </c>
      <c r="D146" s="88">
        <v>0</v>
      </c>
    </row>
    <row r="147" ht="15.75" customHeight="1" spans="1:4">
      <c r="A147" s="86">
        <v>43132</v>
      </c>
      <c r="B147" s="87">
        <v>0.0608</v>
      </c>
      <c r="C147" s="88">
        <v>0</v>
      </c>
      <c r="D147" s="88">
        <v>0</v>
      </c>
    </row>
    <row r="148" ht="15.75" customHeight="1" spans="1:4">
      <c r="A148" s="86">
        <v>43160</v>
      </c>
      <c r="B148" s="87">
        <v>0.0635</v>
      </c>
      <c r="C148" s="88">
        <v>0</v>
      </c>
      <c r="D148" s="88">
        <v>0</v>
      </c>
    </row>
    <row r="149" ht="15.75" customHeight="1" spans="1:4">
      <c r="A149" s="86">
        <v>43191</v>
      </c>
      <c r="B149" s="87">
        <v>0.0523</v>
      </c>
      <c r="C149" s="88">
        <v>0</v>
      </c>
      <c r="D149" s="88">
        <v>0</v>
      </c>
    </row>
    <row r="150" ht="15.75" customHeight="1" spans="1:4">
      <c r="A150" s="86">
        <v>43221</v>
      </c>
      <c r="B150" s="87">
        <v>0.0607</v>
      </c>
      <c r="C150" s="88">
        <v>0</v>
      </c>
      <c r="D150" s="88">
        <v>0</v>
      </c>
    </row>
    <row r="151" ht="15.75" customHeight="1" spans="1:4">
      <c r="A151" s="86">
        <v>43252</v>
      </c>
      <c r="B151" s="87">
        <v>0.0915</v>
      </c>
      <c r="C151" s="88">
        <v>0</v>
      </c>
      <c r="D151" s="88">
        <v>0</v>
      </c>
    </row>
    <row r="152" ht="15.75" customHeight="1" spans="1:4">
      <c r="A152" s="86">
        <v>43282</v>
      </c>
      <c r="B152" s="87">
        <v>0.1076</v>
      </c>
      <c r="C152" s="88">
        <v>0</v>
      </c>
      <c r="D152" s="88">
        <v>0</v>
      </c>
    </row>
    <row r="153" ht="15.75" customHeight="1" spans="1:4">
      <c r="A153" s="86">
        <v>43313</v>
      </c>
      <c r="B153" s="87">
        <v>0.1181</v>
      </c>
      <c r="C153" s="88">
        <v>0</v>
      </c>
      <c r="D153" s="88">
        <v>0</v>
      </c>
    </row>
    <row r="154" ht="15.75" customHeight="1" spans="1:4">
      <c r="A154" s="86">
        <v>43344</v>
      </c>
      <c r="B154" s="87">
        <v>0.1182</v>
      </c>
      <c r="C154" s="88">
        <v>0</v>
      </c>
      <c r="D154" s="88">
        <v>0</v>
      </c>
    </row>
    <row r="155" ht="15.75" customHeight="1" spans="1:4">
      <c r="A155" s="86">
        <v>43374</v>
      </c>
      <c r="B155" s="87">
        <v>0.0802</v>
      </c>
      <c r="C155" s="88">
        <v>0</v>
      </c>
      <c r="D155" s="88">
        <v>0</v>
      </c>
    </row>
    <row r="156" ht="15.75" customHeight="1" spans="1:4">
      <c r="A156" s="86">
        <v>43405</v>
      </c>
      <c r="B156" s="87">
        <v>0.0366</v>
      </c>
      <c r="C156" s="88">
        <v>0</v>
      </c>
      <c r="D156" s="88">
        <v>0</v>
      </c>
    </row>
    <row r="157" ht="15.75" customHeight="1" spans="1:4">
      <c r="A157" s="86">
        <v>43435</v>
      </c>
      <c r="B157" s="87">
        <v>0.0343</v>
      </c>
      <c r="C157" s="88">
        <v>0</v>
      </c>
      <c r="D157" s="88">
        <v>0</v>
      </c>
    </row>
    <row r="158" ht="15.75" customHeight="1" spans="1:4">
      <c r="A158" s="86">
        <v>43466</v>
      </c>
      <c r="B158" s="87">
        <v>0.0355</v>
      </c>
      <c r="C158" s="88">
        <v>0</v>
      </c>
      <c r="D158" s="88">
        <v>0</v>
      </c>
    </row>
    <row r="159" ht="15.75" customHeight="1" spans="1:4">
      <c r="A159" s="86">
        <v>43497</v>
      </c>
      <c r="B159" s="87">
        <v>0.0667</v>
      </c>
      <c r="C159" s="88">
        <v>0</v>
      </c>
      <c r="D159" s="88">
        <v>0</v>
      </c>
    </row>
    <row r="160" ht="15.75" customHeight="1" spans="1:4">
      <c r="A160" s="86">
        <v>43525</v>
      </c>
      <c r="B160" s="87">
        <v>0.053</v>
      </c>
      <c r="C160" s="88">
        <v>0</v>
      </c>
      <c r="D160" s="88">
        <v>0</v>
      </c>
    </row>
    <row r="161" ht="15.75" customHeight="1" spans="1:4">
      <c r="A161" s="86">
        <v>43556</v>
      </c>
      <c r="B161" s="87">
        <v>0.0514</v>
      </c>
      <c r="C161" s="88">
        <v>0</v>
      </c>
      <c r="D161" s="88">
        <v>0</v>
      </c>
    </row>
    <row r="162" ht="15.75" customHeight="1" spans="1:4">
      <c r="A162" s="86">
        <v>43586</v>
      </c>
      <c r="B162" s="87">
        <v>0.0482</v>
      </c>
      <c r="C162" s="88">
        <v>0</v>
      </c>
      <c r="D162" s="88">
        <v>0</v>
      </c>
    </row>
    <row r="163" ht="15.75" customHeight="1" spans="1:4">
      <c r="A163" s="86">
        <v>43617</v>
      </c>
      <c r="B163" s="87">
        <v>0.0426</v>
      </c>
      <c r="C163" s="88">
        <v>0</v>
      </c>
      <c r="D163" s="88">
        <v>0</v>
      </c>
    </row>
    <row r="164" ht="15.75" customHeight="1" spans="1:4">
      <c r="A164" s="86">
        <v>43647</v>
      </c>
      <c r="B164" s="87">
        <v>0.0906</v>
      </c>
      <c r="C164" s="88">
        <v>0</v>
      </c>
      <c r="D164" s="88">
        <v>0</v>
      </c>
    </row>
    <row r="165" ht="15.75" customHeight="1" spans="1:4">
      <c r="A165" s="86">
        <v>43678</v>
      </c>
      <c r="B165" s="87">
        <v>0.107</v>
      </c>
      <c r="C165" s="88">
        <v>0</v>
      </c>
      <c r="D165" s="88">
        <v>0</v>
      </c>
    </row>
    <row r="166" ht="15.75" customHeight="1" spans="1:4">
      <c r="A166" s="86">
        <v>43709</v>
      </c>
      <c r="B166" s="87">
        <v>0.1024</v>
      </c>
      <c r="C166" s="88">
        <v>0</v>
      </c>
      <c r="D166" s="88">
        <v>0</v>
      </c>
    </row>
    <row r="167" ht="15.75" customHeight="1" spans="1:4">
      <c r="A167" s="86">
        <v>43739</v>
      </c>
      <c r="B167" s="87">
        <v>0.104</v>
      </c>
      <c r="C167" s="88">
        <v>0</v>
      </c>
      <c r="D167" s="88">
        <v>0</v>
      </c>
    </row>
    <row r="168" ht="15.75" customHeight="1" spans="1:4">
      <c r="A168" s="86">
        <v>43770</v>
      </c>
      <c r="B168" s="87">
        <v>0.1078</v>
      </c>
      <c r="C168" s="88">
        <v>0</v>
      </c>
      <c r="D168" s="88">
        <v>0</v>
      </c>
    </row>
    <row r="169" ht="15.75" customHeight="1" spans="1:4">
      <c r="A169" s="86">
        <v>43800</v>
      </c>
      <c r="B169" s="87">
        <v>0.0913</v>
      </c>
      <c r="C169" s="88">
        <v>0</v>
      </c>
      <c r="D169" s="88">
        <v>0</v>
      </c>
    </row>
    <row r="170" ht="15.75" customHeight="1" spans="1:4">
      <c r="A170" s="86">
        <v>43831</v>
      </c>
      <c r="B170" s="87">
        <v>0.0916</v>
      </c>
      <c r="C170" s="88">
        <v>0</v>
      </c>
      <c r="D170" s="88">
        <v>0</v>
      </c>
    </row>
    <row r="171" ht="15.75" customHeight="1" spans="1:4">
      <c r="A171" s="86">
        <v>43862</v>
      </c>
      <c r="B171" s="87">
        <v>0.0558</v>
      </c>
      <c r="C171" s="88">
        <v>0</v>
      </c>
      <c r="D171" s="88">
        <v>0</v>
      </c>
    </row>
    <row r="172" ht="15.75" customHeight="1" spans="1:4">
      <c r="A172" s="86">
        <v>43891</v>
      </c>
      <c r="B172" s="87">
        <v>0.0384</v>
      </c>
      <c r="C172" s="88">
        <v>0</v>
      </c>
      <c r="D172" s="88">
        <v>0</v>
      </c>
    </row>
    <row r="173" ht="15.75" customHeight="1" spans="1:4">
      <c r="A173" s="86">
        <v>43922</v>
      </c>
      <c r="B173" s="87">
        <v>0.0296</v>
      </c>
      <c r="C173" s="88">
        <v>0</v>
      </c>
      <c r="D173" s="88">
        <v>0</v>
      </c>
    </row>
    <row r="174" ht="15.75" customHeight="1" spans="1:4">
      <c r="A174" s="86">
        <v>43952</v>
      </c>
      <c r="B174" s="87">
        <v>0.0358</v>
      </c>
      <c r="C174" s="88">
        <v>0</v>
      </c>
      <c r="D174" s="88">
        <v>0</v>
      </c>
    </row>
    <row r="175" ht="15.75" customHeight="1" spans="1:4">
      <c r="A175" s="86">
        <v>43983</v>
      </c>
      <c r="B175" s="87">
        <v>0.0491</v>
      </c>
      <c r="C175" s="88">
        <v>0</v>
      </c>
      <c r="D175" s="88">
        <v>0</v>
      </c>
    </row>
    <row r="176" ht="15.75" customHeight="1" spans="1:4">
      <c r="A176" s="86">
        <v>44013</v>
      </c>
      <c r="B176" s="87">
        <v>0.04</v>
      </c>
      <c r="C176" s="88">
        <v>0</v>
      </c>
      <c r="D176" s="88">
        <v>0</v>
      </c>
    </row>
    <row r="177" ht="15.75" customHeight="1" spans="1:4">
      <c r="A177" s="86">
        <v>44044</v>
      </c>
      <c r="B177" s="87">
        <v>0.0414</v>
      </c>
      <c r="C177" s="88">
        <v>0</v>
      </c>
      <c r="D177" s="88">
        <v>0</v>
      </c>
    </row>
    <row r="178" ht="15.75" customHeight="1" spans="1:4">
      <c r="A178" s="86">
        <v>44075</v>
      </c>
      <c r="B178" s="87">
        <v>0.0329</v>
      </c>
      <c r="C178" s="88">
        <v>0</v>
      </c>
      <c r="D178" s="88">
        <v>0</v>
      </c>
    </row>
    <row r="179" ht="15.75" customHeight="1" spans="1:4">
      <c r="A179" s="86">
        <v>44105</v>
      </c>
      <c r="B179" s="87">
        <v>0.0961</v>
      </c>
      <c r="C179" s="88">
        <v>0</v>
      </c>
      <c r="D179" s="88">
        <v>0</v>
      </c>
    </row>
    <row r="180" ht="15.75" customHeight="1" spans="1:4">
      <c r="A180" s="86">
        <v>44136</v>
      </c>
      <c r="B180" s="87">
        <v>0.1191</v>
      </c>
      <c r="C180" s="88">
        <v>0</v>
      </c>
      <c r="D180" s="88">
        <v>0</v>
      </c>
    </row>
    <row r="181" ht="15.75" customHeight="1" spans="1:4">
      <c r="A181" s="86">
        <v>44166</v>
      </c>
      <c r="B181" s="87">
        <v>0.1109</v>
      </c>
      <c r="C181" s="88">
        <v>0</v>
      </c>
      <c r="D181" s="88">
        <v>0</v>
      </c>
    </row>
    <row r="182" ht="15.75" customHeight="1" spans="1:4">
      <c r="A182" s="86">
        <v>44197</v>
      </c>
      <c r="B182" s="87">
        <v>0.1164</v>
      </c>
      <c r="C182" s="88">
        <v>0</v>
      </c>
      <c r="D182" s="88">
        <v>0</v>
      </c>
    </row>
    <row r="183" ht="15.75" customHeight="1" spans="1:4">
      <c r="A183" s="86">
        <v>44228</v>
      </c>
      <c r="B183" s="87">
        <v>0.082</v>
      </c>
      <c r="C183" s="88">
        <v>0</v>
      </c>
      <c r="D183" s="88">
        <v>0</v>
      </c>
    </row>
    <row r="184" ht="15.75" customHeight="1" spans="1:4">
      <c r="A184" s="86">
        <v>44256</v>
      </c>
      <c r="B184" s="87">
        <v>0.0673</v>
      </c>
      <c r="C184" s="88">
        <v>0</v>
      </c>
      <c r="D184" s="88">
        <v>0</v>
      </c>
    </row>
    <row r="185" ht="15.75" customHeight="1" spans="1:4">
      <c r="A185" s="86">
        <v>44287</v>
      </c>
      <c r="B185" s="87">
        <v>0.0764</v>
      </c>
      <c r="C185" s="88">
        <v>0</v>
      </c>
      <c r="D185" s="88">
        <v>0</v>
      </c>
    </row>
    <row r="186" ht="15.75" customHeight="1" spans="1:4">
      <c r="A186" s="86">
        <v>44317</v>
      </c>
      <c r="B186" s="87">
        <v>0.0883</v>
      </c>
      <c r="C186" s="88">
        <v>0</v>
      </c>
      <c r="D186" s="88">
        <v>0</v>
      </c>
    </row>
    <row r="187" ht="15.75" customHeight="1" spans="1:4">
      <c r="A187" s="86">
        <v>44348</v>
      </c>
      <c r="B187" s="87">
        <v>0.1491</v>
      </c>
      <c r="C187" s="88">
        <v>0</v>
      </c>
      <c r="D187" s="88">
        <v>0</v>
      </c>
    </row>
    <row r="188" ht="15.75" customHeight="1" spans="1:4">
      <c r="A188" s="86">
        <v>44378</v>
      </c>
      <c r="B188" s="87">
        <v>0.1634</v>
      </c>
      <c r="C188" s="88">
        <v>0</v>
      </c>
      <c r="D188" s="88">
        <v>0</v>
      </c>
    </row>
    <row r="189" ht="15.75" customHeight="1" spans="1:4">
      <c r="A189" s="86">
        <v>44409</v>
      </c>
      <c r="B189" s="87">
        <v>0.1743</v>
      </c>
      <c r="C189" s="88">
        <v>0</v>
      </c>
      <c r="D189" s="88">
        <v>0</v>
      </c>
    </row>
    <row r="190" ht="15.75" customHeight="1" spans="1:4">
      <c r="A190" s="86">
        <v>44440</v>
      </c>
      <c r="B190" s="87">
        <v>0.1699</v>
      </c>
      <c r="C190" s="88">
        <v>0</v>
      </c>
      <c r="D190" s="88">
        <v>0</v>
      </c>
    </row>
    <row r="191" ht="15.75" customHeight="1" spans="1:4">
      <c r="A191" s="86">
        <v>44470</v>
      </c>
      <c r="B191" s="87">
        <v>0.1786</v>
      </c>
      <c r="C191" s="88">
        <v>0</v>
      </c>
      <c r="D191" s="88">
        <v>0</v>
      </c>
    </row>
    <row r="192" ht="15.75" customHeight="1" spans="1:4">
      <c r="A192" s="86">
        <v>44501</v>
      </c>
      <c r="B192" s="87">
        <v>0.148367981959356</v>
      </c>
      <c r="C192" s="88">
        <v>0</v>
      </c>
      <c r="D192" s="88">
        <v>0</v>
      </c>
    </row>
    <row r="193" ht="15.75" customHeight="1" spans="1:4">
      <c r="A193" s="86">
        <v>44531</v>
      </c>
      <c r="B193" s="87">
        <v>0.102886212967112</v>
      </c>
      <c r="C193" s="88">
        <v>0</v>
      </c>
      <c r="D193" s="88">
        <v>0</v>
      </c>
    </row>
    <row r="194" ht="15.75" customHeight="1" spans="1:4">
      <c r="A194" s="86">
        <v>44562</v>
      </c>
      <c r="B194" s="87">
        <v>0.0732</v>
      </c>
      <c r="C194" s="88">
        <v>0</v>
      </c>
      <c r="D194" s="88">
        <v>0</v>
      </c>
    </row>
    <row r="195" ht="15.75" customHeight="1" spans="1:4">
      <c r="A195" s="86">
        <v>44593</v>
      </c>
      <c r="B195" s="87">
        <v>0.0502540408883728</v>
      </c>
      <c r="C195" s="88">
        <v>0</v>
      </c>
      <c r="D195" s="88">
        <v>0</v>
      </c>
    </row>
    <row r="196" ht="15.75" customHeight="1" spans="1:4">
      <c r="A196" s="86">
        <v>44621</v>
      </c>
      <c r="B196" s="87">
        <v>0.0406151452409593</v>
      </c>
      <c r="C196" s="88">
        <v>0</v>
      </c>
      <c r="D196" s="88">
        <v>0</v>
      </c>
    </row>
    <row r="197" ht="15.75" customHeight="1" spans="1:4">
      <c r="A197" s="86">
        <v>44652</v>
      </c>
      <c r="B197" s="87">
        <v>0.0215881451353904</v>
      </c>
      <c r="C197" s="88">
        <v>0</v>
      </c>
      <c r="D197" s="88">
        <v>0</v>
      </c>
    </row>
    <row r="198" ht="15.75" customHeight="1" spans="1:4">
      <c r="A198" s="86">
        <v>44682</v>
      </c>
      <c r="B198" s="87">
        <v>0.0280252278764158</v>
      </c>
      <c r="C198" s="88">
        <v>0</v>
      </c>
      <c r="D198" s="88">
        <v>0</v>
      </c>
    </row>
    <row r="199" ht="15.75" customHeight="1" spans="1:4">
      <c r="A199" s="86">
        <v>44713</v>
      </c>
      <c r="B199" s="87">
        <v>0.044060605010353</v>
      </c>
      <c r="C199" s="88">
        <v>0</v>
      </c>
      <c r="D199" s="88">
        <v>0</v>
      </c>
    </row>
    <row r="200" ht="15.75" customHeight="1" spans="1:4">
      <c r="A200" s="86">
        <v>44743</v>
      </c>
      <c r="B200" s="87">
        <v>0.0418657274038787</v>
      </c>
      <c r="C200" s="88">
        <v>0</v>
      </c>
      <c r="D200" s="88">
        <v>0</v>
      </c>
    </row>
    <row r="201" ht="15.75" customHeight="1" spans="1:4">
      <c r="A201" s="86">
        <v>44774</v>
      </c>
      <c r="B201" s="87">
        <v>0.0457140778682789</v>
      </c>
      <c r="C201" s="88">
        <v>0</v>
      </c>
      <c r="D201" s="88">
        <v>0</v>
      </c>
    </row>
    <row r="202" ht="15.75" customHeight="1" spans="1:4">
      <c r="A202" s="86">
        <v>44805</v>
      </c>
      <c r="B202" s="87">
        <v>0.0490865996853726</v>
      </c>
      <c r="C202" s="88">
        <v>0</v>
      </c>
      <c r="D202" s="88">
        <v>0</v>
      </c>
    </row>
    <row r="203" ht="15.75" customHeight="1" spans="1:4">
      <c r="A203" s="86">
        <v>44835</v>
      </c>
      <c r="B203" s="87">
        <v>0.0471251203296564</v>
      </c>
      <c r="C203" s="88">
        <v>0</v>
      </c>
      <c r="D203" s="88">
        <v>0</v>
      </c>
    </row>
    <row r="204" ht="15.75" customHeight="1" spans="1:4">
      <c r="A204" s="86">
        <v>44866</v>
      </c>
      <c r="B204" s="87">
        <v>0.040243408698323</v>
      </c>
      <c r="C204" s="88">
        <v>0</v>
      </c>
      <c r="D204" s="88">
        <v>0</v>
      </c>
    </row>
    <row r="205" ht="15.75" customHeight="1" spans="1:4">
      <c r="A205" s="86">
        <v>44896</v>
      </c>
      <c r="B205" s="87">
        <v>0.0293684842583026</v>
      </c>
      <c r="C205" s="88">
        <v>0</v>
      </c>
      <c r="D205" s="88">
        <v>0</v>
      </c>
    </row>
    <row r="206" ht="15.75" customHeight="1" spans="1:4">
      <c r="A206" s="86">
        <v>44927</v>
      </c>
      <c r="B206" s="87">
        <v>0.0291736073270918</v>
      </c>
      <c r="C206" s="88">
        <v>0.27</v>
      </c>
      <c r="D206" s="88">
        <v>0.1</v>
      </c>
    </row>
    <row r="207" ht="15.75" customHeight="1" spans="1:4">
      <c r="A207" s="86">
        <v>44958</v>
      </c>
      <c r="B207" s="87">
        <v>0.0237737743380858</v>
      </c>
      <c r="C207" s="88">
        <v>0.27</v>
      </c>
      <c r="D207" s="88">
        <v>0.1</v>
      </c>
    </row>
    <row r="208" ht="15.75" customHeight="1" spans="1:4">
      <c r="A208" s="86">
        <v>44986</v>
      </c>
      <c r="B208" s="87">
        <v>0.0295729725289677</v>
      </c>
      <c r="C208" s="88">
        <v>0.27</v>
      </c>
      <c r="D208" s="88">
        <v>0.1</v>
      </c>
    </row>
    <row r="209" ht="15.75" customHeight="1" spans="1:4">
      <c r="A209" s="86">
        <v>45017</v>
      </c>
      <c r="B209" s="87">
        <v>0.0340267536628742</v>
      </c>
      <c r="C209" s="88">
        <v>0.27</v>
      </c>
      <c r="D209" s="88">
        <v>0.12</v>
      </c>
    </row>
    <row r="210" ht="15.75" customHeight="1" spans="1:4">
      <c r="A210" s="86">
        <v>45047</v>
      </c>
      <c r="B210" s="87">
        <v>0.0295107830814855</v>
      </c>
      <c r="C210" s="88">
        <v>0.27</v>
      </c>
      <c r="D210" s="88">
        <v>0.12</v>
      </c>
    </row>
    <row r="211" ht="15.75" customHeight="1" spans="1:4">
      <c r="A211" s="86">
        <v>45078</v>
      </c>
      <c r="B211" s="87">
        <v>0.0527878035734028</v>
      </c>
      <c r="C211" s="88">
        <v>0.27</v>
      </c>
      <c r="D211" s="88">
        <v>0.12</v>
      </c>
    </row>
    <row r="212" ht="15.75" customHeight="1" spans="1:4">
      <c r="A212" s="86">
        <v>45108</v>
      </c>
      <c r="B212" s="87">
        <v>0.0495100101625034</v>
      </c>
      <c r="C212" s="88">
        <v>0.27</v>
      </c>
      <c r="D212" s="88">
        <v>0.12</v>
      </c>
    </row>
    <row r="213" ht="15.75" customHeight="1" spans="1:4">
      <c r="A213" s="86">
        <v>45139</v>
      </c>
      <c r="B213" s="87">
        <v>0.0419008670795739</v>
      </c>
      <c r="C213" s="88">
        <v>0.27</v>
      </c>
      <c r="D213" s="88">
        <v>0.12</v>
      </c>
    </row>
    <row r="214" ht="15.75" customHeight="1" spans="1:4">
      <c r="A214" s="86">
        <v>45170</v>
      </c>
      <c r="B214" s="87">
        <v>0.0343344758929474</v>
      </c>
      <c r="C214" s="88">
        <v>0.27</v>
      </c>
      <c r="D214" s="88">
        <v>0.12</v>
      </c>
    </row>
    <row r="215" ht="15.75" customHeight="1" spans="1:4">
      <c r="A215" s="86">
        <v>45200</v>
      </c>
      <c r="B215" s="87">
        <v>0.0387295987398698</v>
      </c>
      <c r="C215" s="88">
        <v>0.27</v>
      </c>
      <c r="D215" s="88">
        <v>0.12</v>
      </c>
    </row>
    <row r="216" ht="15.75" customHeight="1" spans="1:4">
      <c r="A216" s="86">
        <v>45231</v>
      </c>
      <c r="B216" s="87">
        <v>0.0529256723867131</v>
      </c>
      <c r="C216" s="88">
        <v>0.27</v>
      </c>
      <c r="D216" s="88">
        <v>0.12</v>
      </c>
    </row>
    <row r="217" ht="15.75" customHeight="1" spans="1:4">
      <c r="A217" s="86">
        <v>45261</v>
      </c>
      <c r="B217" s="87">
        <v>0.0458684585417357</v>
      </c>
      <c r="C217" s="88">
        <v>0.27</v>
      </c>
      <c r="D217" s="88">
        <v>0.12</v>
      </c>
    </row>
    <row r="218" ht="15.75" customHeight="1" spans="1:4">
      <c r="A218" s="86">
        <v>45292</v>
      </c>
      <c r="B218" s="87">
        <v>0.0421001468490344</v>
      </c>
      <c r="C218" s="88">
        <v>0.27</v>
      </c>
      <c r="D218" s="88">
        <v>0.12</v>
      </c>
    </row>
    <row r="219" ht="15.75" customHeight="1" spans="1:4">
      <c r="A219" s="86">
        <v>45323</v>
      </c>
      <c r="B219" s="87">
        <v>0.0375761520817388</v>
      </c>
      <c r="C219" s="88">
        <v>0.27</v>
      </c>
      <c r="D219" s="88">
        <v>0.12</v>
      </c>
    </row>
    <row r="220" ht="15.75" customHeight="1" spans="1:4">
      <c r="A220" s="86">
        <v>45352</v>
      </c>
      <c r="B220" s="87">
        <v>0.0277909759100561</v>
      </c>
      <c r="C220" s="88">
        <v>0.27</v>
      </c>
      <c r="D220" s="88">
        <v>0.14</v>
      </c>
    </row>
    <row r="221" ht="15.75" customHeight="1" spans="1:4">
      <c r="A221" s="86">
        <v>45383</v>
      </c>
      <c r="B221" s="87">
        <v>0.0194634416756857</v>
      </c>
      <c r="C221" s="88">
        <v>0.27</v>
      </c>
      <c r="D221" s="88">
        <v>0.14</v>
      </c>
    </row>
    <row r="222" ht="15.75" customHeight="1" spans="1:4">
      <c r="A222" s="86">
        <v>45413</v>
      </c>
      <c r="B222" s="87">
        <v>0.0283426929938656</v>
      </c>
      <c r="C222" s="88">
        <v>0.27</v>
      </c>
      <c r="D222" s="88">
        <v>0.14</v>
      </c>
    </row>
    <row r="223" ht="15.75" customHeight="1" spans="1:4">
      <c r="A223" s="86">
        <v>45444</v>
      </c>
      <c r="B223" s="87">
        <v>0.0364782685575431</v>
      </c>
      <c r="C223" s="88">
        <v>0.27</v>
      </c>
      <c r="D223" s="88">
        <v>0.14</v>
      </c>
    </row>
    <row r="224" ht="15.75" customHeight="1" spans="1:4">
      <c r="A224" s="86">
        <v>45474</v>
      </c>
      <c r="B224" s="87">
        <v>0.0570654802841159</v>
      </c>
      <c r="C224" s="88">
        <v>0.27</v>
      </c>
      <c r="D224" s="88">
        <v>0.14</v>
      </c>
    </row>
    <row r="225" ht="15.75" customHeight="1" spans="1:4">
      <c r="A225" s="86">
        <v>45505</v>
      </c>
      <c r="B225" s="87">
        <v>0.0739041454740318</v>
      </c>
      <c r="C225" s="88">
        <v>0.27</v>
      </c>
      <c r="D225" s="88">
        <v>0.14</v>
      </c>
    </row>
    <row r="226" ht="15.75" customHeight="1" spans="1:4">
      <c r="A226" s="86">
        <v>45536</v>
      </c>
      <c r="B226" s="87">
        <v>0.091656076504075</v>
      </c>
      <c r="C226" s="88">
        <v>0.27</v>
      </c>
      <c r="D226" s="88">
        <v>0.14</v>
      </c>
    </row>
    <row r="227" ht="15.75" customHeight="1" spans="1:4">
      <c r="A227" s="86">
        <v>45566</v>
      </c>
      <c r="B227" s="87">
        <v>0.112727636704924</v>
      </c>
      <c r="C227" s="88">
        <v>0.27</v>
      </c>
      <c r="D227" s="88">
        <v>0.14</v>
      </c>
    </row>
    <row r="228" ht="15.75" customHeight="1" spans="1:4">
      <c r="A228" s="86">
        <v>45597</v>
      </c>
      <c r="B228" s="87">
        <v>0.0700776014017781</v>
      </c>
      <c r="C228" s="88">
        <v>0.27</v>
      </c>
      <c r="D228" s="88">
        <v>0.14</v>
      </c>
    </row>
    <row r="229" ht="15.75" customHeight="1" spans="1:4">
      <c r="A229" s="86">
        <v>45627</v>
      </c>
      <c r="B229" s="87">
        <v>0.0563667543646298</v>
      </c>
      <c r="C229" s="88">
        <v>0.27</v>
      </c>
      <c r="D229" s="88">
        <v>0.14</v>
      </c>
    </row>
    <row r="230" ht="15.75" customHeight="1" spans="1:4">
      <c r="A230" s="86">
        <v>45658</v>
      </c>
      <c r="B230" s="89">
        <v>0.0421001468490344</v>
      </c>
      <c r="C230" s="90">
        <v>0.27</v>
      </c>
      <c r="D230" s="90">
        <v>0.12</v>
      </c>
    </row>
    <row r="231" ht="15.75" customHeight="1" spans="1:4">
      <c r="A231" s="86">
        <v>45689</v>
      </c>
      <c r="B231" s="89">
        <v>0.0375761520817388</v>
      </c>
      <c r="C231" s="90">
        <v>0.27</v>
      </c>
      <c r="D231" s="90">
        <v>0.12</v>
      </c>
    </row>
    <row r="232" ht="15.75" customHeight="1" spans="1:4">
      <c r="A232" s="86">
        <v>45717</v>
      </c>
      <c r="B232" s="89">
        <v>0.0277909759100561</v>
      </c>
      <c r="C232" s="90">
        <v>0.27</v>
      </c>
      <c r="D232" s="90">
        <v>0.14</v>
      </c>
    </row>
    <row r="233" ht="15.75" customHeight="1" spans="1:4">
      <c r="A233" s="86">
        <v>45748</v>
      </c>
      <c r="B233" s="89">
        <v>0.0194634416756857</v>
      </c>
      <c r="C233" s="90">
        <v>0.27</v>
      </c>
      <c r="D233" s="90">
        <v>0.14</v>
      </c>
    </row>
    <row r="234" ht="15.75" customHeight="1" spans="1:4">
      <c r="A234" s="86">
        <v>45778</v>
      </c>
      <c r="B234" s="89">
        <v>0.0283426929938656</v>
      </c>
      <c r="C234" s="90">
        <v>0.27</v>
      </c>
      <c r="D234" s="90">
        <v>0.14</v>
      </c>
    </row>
    <row r="235" ht="15.75" customHeight="1" spans="1:4">
      <c r="A235" s="86">
        <v>45809</v>
      </c>
      <c r="B235" s="89">
        <v>0.0364782685575431</v>
      </c>
      <c r="C235" s="90">
        <v>0.27</v>
      </c>
      <c r="D235" s="90">
        <v>0.14</v>
      </c>
    </row>
    <row r="236" ht="15.75" customHeight="1" spans="1:4">
      <c r="A236" s="86">
        <v>45839</v>
      </c>
      <c r="B236" s="89">
        <v>0.0570654802841159</v>
      </c>
      <c r="C236" s="90">
        <v>0.27</v>
      </c>
      <c r="D236" s="90">
        <v>0.14</v>
      </c>
    </row>
    <row r="237" ht="15.75" customHeight="1" spans="1:4">
      <c r="A237" s="86">
        <v>45870</v>
      </c>
      <c r="B237" s="89">
        <v>0.0739041454740318</v>
      </c>
      <c r="C237" s="90">
        <v>0.27</v>
      </c>
      <c r="D237" s="90">
        <v>0.14</v>
      </c>
    </row>
    <row r="238" ht="15.75" customHeight="1" spans="1:4">
      <c r="A238" s="86">
        <v>45901</v>
      </c>
      <c r="B238" s="89">
        <v>0.091656076504075</v>
      </c>
      <c r="C238" s="90">
        <v>0.27</v>
      </c>
      <c r="D238" s="90">
        <v>0.14</v>
      </c>
    </row>
    <row r="239" ht="15.75" customHeight="1" spans="1:4">
      <c r="A239" s="86">
        <v>45931</v>
      </c>
      <c r="B239" s="89">
        <v>0.112727636704924</v>
      </c>
      <c r="C239" s="90">
        <v>0.27</v>
      </c>
      <c r="D239" s="90">
        <v>0.14</v>
      </c>
    </row>
    <row r="240" ht="15.75" customHeight="1" spans="1:4">
      <c r="A240" s="86">
        <v>45962</v>
      </c>
      <c r="B240" s="89">
        <v>0.0700776014017781</v>
      </c>
      <c r="C240" s="90">
        <v>0.27</v>
      </c>
      <c r="D240" s="90">
        <v>0.14</v>
      </c>
    </row>
    <row r="241" ht="15.75" customHeight="1" spans="1:4">
      <c r="A241" s="86">
        <v>45992</v>
      </c>
      <c r="B241" s="89">
        <v>0.0563667543646298</v>
      </c>
      <c r="C241" s="90">
        <v>0.27</v>
      </c>
      <c r="D241" s="90">
        <v>0.14</v>
      </c>
    </row>
    <row r="242" ht="15.75" customHeight="1" spans="1:4">
      <c r="A242" s="91"/>
      <c r="B242" s="92"/>
      <c r="C242" s="93"/>
      <c r="D242" s="93"/>
    </row>
    <row r="243" ht="15.75" customHeight="1" spans="1:4">
      <c r="A243" s="91"/>
      <c r="B243" s="92"/>
      <c r="C243" s="93"/>
      <c r="D243" s="93"/>
    </row>
    <row r="244" ht="15.75" customHeight="1" spans="1:4">
      <c r="A244" s="91"/>
      <c r="B244" s="92"/>
      <c r="C244" s="93"/>
      <c r="D244" s="93"/>
    </row>
    <row r="245" ht="15.75" customHeight="1" spans="1:4">
      <c r="A245" s="91"/>
      <c r="B245" s="92"/>
      <c r="C245" s="93"/>
      <c r="D245" s="93"/>
    </row>
    <row r="246" ht="15.75" customHeight="1" spans="1:4">
      <c r="A246" s="91"/>
      <c r="B246" s="92"/>
      <c r="C246" s="93"/>
      <c r="D246" s="93"/>
    </row>
    <row r="247" ht="15.75" customHeight="1" spans="1:4">
      <c r="A247" s="91"/>
      <c r="B247" s="92"/>
      <c r="C247" s="93"/>
      <c r="D247" s="93"/>
    </row>
    <row r="248" ht="15.75" customHeight="1" spans="1:4">
      <c r="A248" s="91"/>
      <c r="B248" s="92"/>
      <c r="C248" s="93"/>
      <c r="D248" s="93"/>
    </row>
    <row r="249" ht="15.75" customHeight="1" spans="1:4">
      <c r="A249" s="91"/>
      <c r="B249" s="92"/>
      <c r="C249" s="93"/>
      <c r="D249" s="93"/>
    </row>
    <row r="250" ht="15.75" customHeight="1" spans="1:4">
      <c r="A250" s="91"/>
      <c r="B250" s="92"/>
      <c r="C250" s="93"/>
      <c r="D250" s="93"/>
    </row>
    <row r="251" ht="15.75" customHeight="1" spans="1:4">
      <c r="A251" s="91"/>
      <c r="B251" s="92"/>
      <c r="C251" s="93"/>
      <c r="D251" s="93"/>
    </row>
    <row r="252" ht="15.75" customHeight="1" spans="1:4">
      <c r="A252" s="91"/>
      <c r="B252" s="92"/>
      <c r="C252" s="93"/>
      <c r="D252" s="93"/>
    </row>
    <row r="253" ht="15.75" customHeight="1" spans="1:4">
      <c r="A253" s="91"/>
      <c r="B253" s="92"/>
      <c r="C253" s="93"/>
      <c r="D253" s="93"/>
    </row>
    <row r="254" ht="15.75" customHeight="1" spans="1:4">
      <c r="A254" s="91"/>
      <c r="B254" s="92"/>
      <c r="C254" s="93"/>
      <c r="D254" s="93"/>
    </row>
    <row r="255" ht="15.75" customHeight="1" spans="1:4">
      <c r="A255" s="91"/>
      <c r="B255" s="92"/>
      <c r="C255" s="93"/>
      <c r="D255" s="93"/>
    </row>
    <row r="256" ht="15.75" customHeight="1" spans="1:4">
      <c r="A256" s="91"/>
      <c r="B256" s="92"/>
      <c r="C256" s="93"/>
      <c r="D256" s="93"/>
    </row>
    <row r="257" ht="15.75" customHeight="1" spans="1:4">
      <c r="A257" s="91"/>
      <c r="B257" s="92"/>
      <c r="C257" s="93"/>
      <c r="D257" s="93"/>
    </row>
    <row r="258" ht="15.75" customHeight="1" spans="1:4">
      <c r="A258" s="91"/>
      <c r="B258" s="92"/>
      <c r="C258" s="93"/>
      <c r="D258" s="93"/>
    </row>
    <row r="259" ht="15.75" customHeight="1" spans="1:4">
      <c r="A259" s="91"/>
      <c r="B259" s="92"/>
      <c r="C259" s="93"/>
      <c r="D259" s="93"/>
    </row>
    <row r="260" ht="15.75" customHeight="1" spans="1:4">
      <c r="A260" s="91"/>
      <c r="B260" s="92"/>
      <c r="C260" s="93"/>
      <c r="D260" s="93"/>
    </row>
    <row r="261" ht="15.75" customHeight="1" spans="1:4">
      <c r="A261" s="91"/>
      <c r="B261" s="92"/>
      <c r="C261" s="93"/>
      <c r="D261" s="93"/>
    </row>
    <row r="262" ht="15.75" customHeight="1" spans="1:4">
      <c r="A262" s="91"/>
      <c r="B262" s="92"/>
      <c r="C262" s="93"/>
      <c r="D262" s="93"/>
    </row>
    <row r="263" ht="15.75" customHeight="1" spans="1:4">
      <c r="A263" s="91"/>
      <c r="B263" s="92"/>
      <c r="C263" s="93"/>
      <c r="D263" s="93"/>
    </row>
    <row r="264" ht="15.75" customHeight="1" spans="1:4">
      <c r="A264" s="91"/>
      <c r="B264" s="92"/>
      <c r="C264" s="93"/>
      <c r="D264" s="93"/>
    </row>
    <row r="265" ht="15.75" customHeight="1" spans="1:4">
      <c r="A265" s="91"/>
      <c r="B265" s="92"/>
      <c r="C265" s="93"/>
      <c r="D265" s="93"/>
    </row>
    <row r="266" ht="15.75" customHeight="1" spans="1:4">
      <c r="A266" s="91"/>
      <c r="B266" s="92"/>
      <c r="C266" s="93"/>
      <c r="D266" s="93"/>
    </row>
    <row r="267" ht="15.75" customHeight="1" spans="1:4">
      <c r="A267" s="91"/>
      <c r="B267" s="92"/>
      <c r="C267" s="93"/>
      <c r="D267" s="93"/>
    </row>
    <row r="268" ht="15.75" customHeight="1" spans="1:4">
      <c r="A268" s="91"/>
      <c r="B268" s="92"/>
      <c r="C268" s="93"/>
      <c r="D268" s="93"/>
    </row>
    <row r="269" ht="15.75" customHeight="1" spans="1:4">
      <c r="A269" s="91"/>
      <c r="B269" s="92"/>
      <c r="C269" s="93"/>
      <c r="D269" s="93"/>
    </row>
    <row r="270" ht="15.75" customHeight="1" spans="1:4">
      <c r="A270" s="91"/>
      <c r="B270" s="92"/>
      <c r="C270" s="93"/>
      <c r="D270" s="93"/>
    </row>
    <row r="271" ht="15.75" customHeight="1" spans="1:4">
      <c r="A271" s="91"/>
      <c r="B271" s="92"/>
      <c r="C271" s="93"/>
      <c r="D271" s="93"/>
    </row>
    <row r="272" ht="15.75" customHeight="1" spans="1:4">
      <c r="A272" s="91"/>
      <c r="B272" s="92"/>
      <c r="C272" s="93"/>
      <c r="D272" s="93"/>
    </row>
    <row r="273" ht="15.75" customHeight="1" spans="1:4">
      <c r="A273" s="91"/>
      <c r="B273" s="92"/>
      <c r="C273" s="93"/>
      <c r="D273" s="93"/>
    </row>
    <row r="274" ht="15.75" customHeight="1" spans="1:4">
      <c r="A274" s="91"/>
      <c r="B274" s="92"/>
      <c r="C274" s="93"/>
      <c r="D274" s="93"/>
    </row>
    <row r="275" ht="15.75" customHeight="1" spans="1:4">
      <c r="A275" s="91"/>
      <c r="B275" s="92"/>
      <c r="C275" s="93"/>
      <c r="D275" s="93"/>
    </row>
    <row r="276" ht="15.75" customHeight="1" spans="1:4">
      <c r="A276" s="91"/>
      <c r="B276" s="92"/>
      <c r="C276" s="93"/>
      <c r="D276" s="93"/>
    </row>
    <row r="277" ht="15.75" customHeight="1" spans="1:4">
      <c r="A277" s="91"/>
      <c r="B277" s="92"/>
      <c r="C277" s="93"/>
      <c r="D277" s="93"/>
    </row>
    <row r="278" ht="15.75" customHeight="1" spans="1:4">
      <c r="A278" s="91"/>
      <c r="B278" s="92"/>
      <c r="C278" s="93"/>
      <c r="D278" s="93"/>
    </row>
    <row r="279" ht="15.75" customHeight="1" spans="1:4">
      <c r="A279" s="91"/>
      <c r="B279" s="92"/>
      <c r="C279" s="93"/>
      <c r="D279" s="93"/>
    </row>
    <row r="280" ht="15.75" customHeight="1" spans="1:4">
      <c r="A280" s="91"/>
      <c r="B280" s="92"/>
      <c r="C280" s="93"/>
      <c r="D280" s="93"/>
    </row>
    <row r="281" ht="15.75" customHeight="1" spans="1:4">
      <c r="A281" s="91"/>
      <c r="B281" s="92"/>
      <c r="C281" s="93"/>
      <c r="D281" s="93"/>
    </row>
    <row r="282" ht="15.75" customHeight="1" spans="1:4">
      <c r="A282" s="91"/>
      <c r="B282" s="92"/>
      <c r="C282" s="93"/>
      <c r="D282" s="93"/>
    </row>
    <row r="283" ht="15.75" customHeight="1" spans="1:4">
      <c r="A283" s="91"/>
      <c r="B283" s="92"/>
      <c r="C283" s="93"/>
      <c r="D283" s="93"/>
    </row>
    <row r="284" ht="15.75" customHeight="1" spans="1:4">
      <c r="A284" s="91"/>
      <c r="B284" s="92"/>
      <c r="C284" s="93"/>
      <c r="D284" s="93"/>
    </row>
    <row r="285" ht="15.75" customHeight="1" spans="1:4">
      <c r="A285" s="91"/>
      <c r="B285" s="92"/>
      <c r="C285" s="93"/>
      <c r="D285" s="93"/>
    </row>
    <row r="286" ht="15.75" customHeight="1" spans="1:4">
      <c r="A286" s="91"/>
      <c r="B286" s="92"/>
      <c r="C286" s="93"/>
      <c r="D286" s="93"/>
    </row>
    <row r="287" ht="15.75" customHeight="1" spans="1:4">
      <c r="A287" s="91"/>
      <c r="B287" s="92"/>
      <c r="C287" s="93"/>
      <c r="D287" s="93"/>
    </row>
    <row r="288" ht="15.75" customHeight="1" spans="1:4">
      <c r="A288" s="91"/>
      <c r="B288" s="92"/>
      <c r="C288" s="93"/>
      <c r="D288" s="93"/>
    </row>
    <row r="289" ht="15.75" customHeight="1" spans="1:4">
      <c r="A289" s="91"/>
      <c r="B289" s="92"/>
      <c r="C289" s="93"/>
      <c r="D289" s="93"/>
    </row>
    <row r="290" ht="15.75" customHeight="1" spans="1:4">
      <c r="A290" s="91"/>
      <c r="B290" s="92"/>
      <c r="C290" s="93"/>
      <c r="D290" s="93"/>
    </row>
    <row r="291" ht="15.75" customHeight="1" spans="1:4">
      <c r="A291" s="91"/>
      <c r="B291" s="92"/>
      <c r="C291" s="93"/>
      <c r="D291" s="93"/>
    </row>
    <row r="292" ht="15.75" customHeight="1" spans="1:4">
      <c r="A292" s="91"/>
      <c r="B292" s="92"/>
      <c r="C292" s="93"/>
      <c r="D292" s="93"/>
    </row>
    <row r="293" ht="15.75" customHeight="1" spans="1:4">
      <c r="A293" s="91"/>
      <c r="B293" s="92"/>
      <c r="C293" s="93"/>
      <c r="D293" s="93"/>
    </row>
    <row r="294" ht="15.75" customHeight="1" spans="1:4">
      <c r="A294" s="91"/>
      <c r="B294" s="92"/>
      <c r="C294" s="93"/>
      <c r="D294" s="93"/>
    </row>
    <row r="295" ht="15.75" customHeight="1" spans="1:4">
      <c r="A295" s="91"/>
      <c r="B295" s="92"/>
      <c r="C295" s="93"/>
      <c r="D295" s="93"/>
    </row>
    <row r="296" ht="15.75" customHeight="1" spans="1:4">
      <c r="A296" s="91"/>
      <c r="B296" s="92"/>
      <c r="C296" s="93"/>
      <c r="D296" s="93"/>
    </row>
    <row r="297" ht="15.75" customHeight="1" spans="1:4">
      <c r="A297" s="91"/>
      <c r="B297" s="92"/>
      <c r="C297" s="93"/>
      <c r="D297" s="93"/>
    </row>
    <row r="298" ht="15.75" customHeight="1" spans="1:4">
      <c r="A298" s="91"/>
      <c r="B298" s="92"/>
      <c r="C298" s="93"/>
      <c r="D298" s="93"/>
    </row>
    <row r="299" ht="15.75" customHeight="1" spans="1:4">
      <c r="A299" s="91"/>
      <c r="B299" s="92"/>
      <c r="C299" s="93"/>
      <c r="D299" s="93"/>
    </row>
    <row r="300" ht="15.75" customHeight="1" spans="1:4">
      <c r="A300" s="91"/>
      <c r="B300" s="92"/>
      <c r="C300" s="93"/>
      <c r="D300" s="93"/>
    </row>
    <row r="301" ht="15.75" customHeight="1" spans="1:4">
      <c r="A301" s="91"/>
      <c r="B301" s="92"/>
      <c r="C301" s="93"/>
      <c r="D301" s="93"/>
    </row>
    <row r="302" ht="15.75" customHeight="1" spans="1:4">
      <c r="A302" s="91"/>
      <c r="B302" s="92"/>
      <c r="C302" s="93"/>
      <c r="D302" s="93"/>
    </row>
    <row r="303" ht="15.75" customHeight="1" spans="1:4">
      <c r="A303" s="91"/>
      <c r="B303" s="92"/>
      <c r="C303" s="93"/>
      <c r="D303" s="93"/>
    </row>
    <row r="304" ht="15.75" customHeight="1" spans="1:4">
      <c r="A304" s="91"/>
      <c r="B304" s="92"/>
      <c r="C304" s="93"/>
      <c r="D304" s="93"/>
    </row>
    <row r="305" ht="15.75" customHeight="1" spans="1:4">
      <c r="A305" s="91"/>
      <c r="B305" s="92"/>
      <c r="C305" s="93"/>
      <c r="D305" s="93"/>
    </row>
    <row r="306" ht="15.75" customHeight="1" spans="1:4">
      <c r="A306" s="91"/>
      <c r="B306" s="92"/>
      <c r="C306" s="93"/>
      <c r="D306" s="93"/>
    </row>
    <row r="307" ht="15.75" customHeight="1" spans="1:4">
      <c r="A307" s="91"/>
      <c r="B307" s="92"/>
      <c r="C307" s="93"/>
      <c r="D307" s="93"/>
    </row>
    <row r="308" ht="15.75" customHeight="1" spans="1:4">
      <c r="A308" s="91"/>
      <c r="B308" s="92"/>
      <c r="C308" s="93"/>
      <c r="D308" s="93"/>
    </row>
    <row r="309" ht="15.75" customHeight="1" spans="1:4">
      <c r="A309" s="91"/>
      <c r="B309" s="92"/>
      <c r="C309" s="93"/>
      <c r="D309" s="93"/>
    </row>
    <row r="310" ht="15.75" customHeight="1" spans="1:4">
      <c r="A310" s="91"/>
      <c r="B310" s="92"/>
      <c r="C310" s="93"/>
      <c r="D310" s="93"/>
    </row>
    <row r="311" ht="15.75" customHeight="1" spans="1:4">
      <c r="A311" s="91"/>
      <c r="B311" s="92"/>
      <c r="C311" s="93"/>
      <c r="D311" s="93"/>
    </row>
    <row r="312" ht="15.75" customHeight="1" spans="1:4">
      <c r="A312" s="91"/>
      <c r="B312" s="92"/>
      <c r="C312" s="93"/>
      <c r="D312" s="93"/>
    </row>
    <row r="313" ht="15.75" customHeight="1" spans="1:4">
      <c r="A313" s="91"/>
      <c r="B313" s="92"/>
      <c r="C313" s="93"/>
      <c r="D313" s="93"/>
    </row>
    <row r="314" ht="15.75" customHeight="1" spans="1:4">
      <c r="A314" s="91"/>
      <c r="B314" s="92"/>
      <c r="C314" s="93"/>
      <c r="D314" s="93"/>
    </row>
    <row r="315" ht="15.75" customHeight="1" spans="1:4">
      <c r="A315" s="91"/>
      <c r="B315" s="92"/>
      <c r="C315" s="93"/>
      <c r="D315" s="93"/>
    </row>
    <row r="316" ht="15.75" customHeight="1" spans="1:4">
      <c r="A316" s="91"/>
      <c r="B316" s="92"/>
      <c r="C316" s="93"/>
      <c r="D316" s="93"/>
    </row>
    <row r="317" ht="15.75" customHeight="1" spans="1:4">
      <c r="A317" s="91"/>
      <c r="B317" s="92"/>
      <c r="C317" s="93"/>
      <c r="D317" s="93"/>
    </row>
    <row r="318" ht="15.75" customHeight="1" spans="1:4">
      <c r="A318" s="91"/>
      <c r="B318" s="92"/>
      <c r="C318" s="93"/>
      <c r="D318" s="93"/>
    </row>
    <row r="319" ht="15.75" customHeight="1" spans="1:4">
      <c r="A319" s="91"/>
      <c r="B319" s="92"/>
      <c r="C319" s="93"/>
      <c r="D319" s="93"/>
    </row>
    <row r="320" ht="15.75" customHeight="1" spans="1:4">
      <c r="A320" s="91"/>
      <c r="B320" s="92"/>
      <c r="C320" s="93"/>
      <c r="D320" s="93"/>
    </row>
    <row r="321" ht="15.75" customHeight="1" spans="1:4">
      <c r="A321" s="91"/>
      <c r="B321" s="92"/>
      <c r="C321" s="93"/>
      <c r="D321" s="93"/>
    </row>
    <row r="322" ht="15.75" customHeight="1" spans="1:4">
      <c r="A322" s="91"/>
      <c r="B322" s="92"/>
      <c r="C322" s="93"/>
      <c r="D322" s="93"/>
    </row>
    <row r="323" ht="15.75" customHeight="1" spans="1:4">
      <c r="A323" s="91"/>
      <c r="B323" s="92"/>
      <c r="C323" s="93"/>
      <c r="D323" s="93"/>
    </row>
    <row r="324" ht="15.75" customHeight="1" spans="1:4">
      <c r="A324" s="91"/>
      <c r="B324" s="92"/>
      <c r="C324" s="93"/>
      <c r="D324" s="93"/>
    </row>
    <row r="325" ht="15.75" customHeight="1" spans="1:4">
      <c r="A325" s="91"/>
      <c r="B325" s="92"/>
      <c r="C325" s="93"/>
      <c r="D325" s="93"/>
    </row>
    <row r="326" ht="15.75" customHeight="1" spans="1:4">
      <c r="A326" s="91"/>
      <c r="B326" s="92"/>
      <c r="C326" s="93"/>
      <c r="D326" s="93"/>
    </row>
    <row r="327" ht="15.75" customHeight="1" spans="1:4">
      <c r="A327" s="91"/>
      <c r="B327" s="92"/>
      <c r="C327" s="93"/>
      <c r="D327" s="93"/>
    </row>
    <row r="328" ht="15.75" customHeight="1" spans="1:4">
      <c r="A328" s="91"/>
      <c r="B328" s="92"/>
      <c r="C328" s="93"/>
      <c r="D328" s="93"/>
    </row>
    <row r="329" ht="15.75" customHeight="1" spans="1:4">
      <c r="A329" s="91"/>
      <c r="B329" s="92"/>
      <c r="C329" s="93"/>
      <c r="D329" s="93"/>
    </row>
    <row r="330" ht="15.75" customHeight="1" spans="1:4">
      <c r="A330" s="91"/>
      <c r="B330" s="92"/>
      <c r="C330" s="93"/>
      <c r="D330" s="93"/>
    </row>
    <row r="331" ht="15.75" customHeight="1" spans="1:4">
      <c r="A331" s="91"/>
      <c r="B331" s="92"/>
      <c r="C331" s="93"/>
      <c r="D331" s="93"/>
    </row>
    <row r="332" ht="15.75" customHeight="1" spans="1:4">
      <c r="A332" s="91"/>
      <c r="B332" s="92"/>
      <c r="C332" s="93"/>
      <c r="D332" s="93"/>
    </row>
    <row r="333" ht="15.75" customHeight="1" spans="1:4">
      <c r="A333" s="91"/>
      <c r="B333" s="92"/>
      <c r="C333" s="93"/>
      <c r="D333" s="93"/>
    </row>
    <row r="334" ht="15.75" customHeight="1" spans="1:4">
      <c r="A334" s="91"/>
      <c r="B334" s="92"/>
      <c r="C334" s="93"/>
      <c r="D334" s="93"/>
    </row>
    <row r="335" ht="15.75" customHeight="1" spans="1:4">
      <c r="A335" s="91"/>
      <c r="B335" s="92"/>
      <c r="C335" s="93"/>
      <c r="D335" s="93"/>
    </row>
    <row r="336" ht="15.75" customHeight="1" spans="1:4">
      <c r="A336" s="91"/>
      <c r="B336" s="92"/>
      <c r="C336" s="93"/>
      <c r="D336" s="93"/>
    </row>
    <row r="337" ht="15.75" customHeight="1" spans="1:4">
      <c r="A337" s="91"/>
      <c r="B337" s="92"/>
      <c r="C337" s="93"/>
      <c r="D337" s="93"/>
    </row>
    <row r="338" ht="15.75" customHeight="1" spans="1:4">
      <c r="A338" s="91"/>
      <c r="B338" s="92"/>
      <c r="C338" s="93"/>
      <c r="D338" s="93"/>
    </row>
    <row r="339" ht="15.75" customHeight="1" spans="1:4">
      <c r="A339" s="91"/>
      <c r="B339" s="92"/>
      <c r="C339" s="93"/>
      <c r="D339" s="93"/>
    </row>
    <row r="340" ht="15.75" customHeight="1" spans="1:4">
      <c r="A340" s="91"/>
      <c r="B340" s="92"/>
      <c r="C340" s="93"/>
      <c r="D340" s="93"/>
    </row>
    <row r="341" ht="15.75" customHeight="1" spans="1:4">
      <c r="A341" s="91"/>
      <c r="B341" s="92"/>
      <c r="C341" s="93"/>
      <c r="D341" s="93"/>
    </row>
    <row r="342" ht="15.75" customHeight="1" spans="1:4">
      <c r="A342" s="91"/>
      <c r="B342" s="92"/>
      <c r="C342" s="93"/>
      <c r="D342" s="93"/>
    </row>
    <row r="343" ht="15.75" customHeight="1" spans="1:4">
      <c r="A343" s="91"/>
      <c r="B343" s="92"/>
      <c r="C343" s="93"/>
      <c r="D343" s="93"/>
    </row>
    <row r="344" ht="15.75" customHeight="1" spans="1:4">
      <c r="A344" s="91"/>
      <c r="B344" s="92"/>
      <c r="C344" s="93"/>
      <c r="D344" s="93"/>
    </row>
    <row r="345" ht="15.75" customHeight="1" spans="1:4">
      <c r="A345" s="91"/>
      <c r="B345" s="92"/>
      <c r="C345" s="93"/>
      <c r="D345" s="93"/>
    </row>
    <row r="346" ht="15.75" customHeight="1" spans="1:4">
      <c r="A346" s="91"/>
      <c r="B346" s="92"/>
      <c r="C346" s="93"/>
      <c r="D346" s="93"/>
    </row>
    <row r="347" ht="15.75" customHeight="1" spans="1:4">
      <c r="A347" s="91"/>
      <c r="B347" s="92"/>
      <c r="C347" s="93"/>
      <c r="D347" s="93"/>
    </row>
    <row r="348" ht="15.75" customHeight="1" spans="1:4">
      <c r="A348" s="91"/>
      <c r="B348" s="92"/>
      <c r="C348" s="93"/>
      <c r="D348" s="93"/>
    </row>
    <row r="349" ht="15.75" customHeight="1" spans="1:4">
      <c r="A349" s="91"/>
      <c r="B349" s="92"/>
      <c r="C349" s="93"/>
      <c r="D349" s="93"/>
    </row>
    <row r="350" ht="15.75" customHeight="1" spans="1:4">
      <c r="A350" s="91"/>
      <c r="B350" s="92"/>
      <c r="C350" s="93"/>
      <c r="D350" s="93"/>
    </row>
    <row r="351" ht="15.75" customHeight="1" spans="1:4">
      <c r="A351" s="91"/>
      <c r="B351" s="92"/>
      <c r="C351" s="93"/>
      <c r="D351" s="93"/>
    </row>
    <row r="352" ht="15.75" customHeight="1" spans="1:4">
      <c r="A352" s="91"/>
      <c r="B352" s="92"/>
      <c r="C352" s="93"/>
      <c r="D352" s="93"/>
    </row>
    <row r="353" ht="15.75" customHeight="1" spans="1:4">
      <c r="A353" s="91"/>
      <c r="B353" s="92"/>
      <c r="C353" s="93"/>
      <c r="D353" s="93"/>
    </row>
    <row r="354" ht="15.75" customHeight="1" spans="1:4">
      <c r="A354" s="91"/>
      <c r="B354" s="92"/>
      <c r="C354" s="93"/>
      <c r="D354" s="93"/>
    </row>
    <row r="355" ht="15.75" customHeight="1" spans="1:4">
      <c r="A355" s="91"/>
      <c r="B355" s="92"/>
      <c r="C355" s="93"/>
      <c r="D355" s="93"/>
    </row>
    <row r="356" ht="15.75" customHeight="1" spans="1:4">
      <c r="A356" s="91"/>
      <c r="B356" s="92"/>
      <c r="C356" s="93"/>
      <c r="D356" s="93"/>
    </row>
    <row r="357" ht="15.75" customHeight="1" spans="1:4">
      <c r="A357" s="91"/>
      <c r="B357" s="92"/>
      <c r="C357" s="93"/>
      <c r="D357" s="93"/>
    </row>
    <row r="358" ht="15.75" customHeight="1" spans="1:4">
      <c r="A358" s="91"/>
      <c r="B358" s="92"/>
      <c r="C358" s="93"/>
      <c r="D358" s="93"/>
    </row>
    <row r="359" ht="15.75" customHeight="1" spans="1:4">
      <c r="A359" s="91"/>
      <c r="B359" s="92"/>
      <c r="C359" s="93"/>
      <c r="D359" s="93"/>
    </row>
    <row r="360" ht="15.75" customHeight="1" spans="1:4">
      <c r="A360" s="91"/>
      <c r="B360" s="92"/>
      <c r="C360" s="93"/>
      <c r="D360" s="93"/>
    </row>
    <row r="361" ht="15.75" customHeight="1" spans="1:4">
      <c r="A361" s="91"/>
      <c r="B361" s="92"/>
      <c r="C361" s="93"/>
      <c r="D361" s="93"/>
    </row>
    <row r="362" ht="15.75" customHeight="1" spans="1:4">
      <c r="A362" s="91"/>
      <c r="B362" s="92"/>
      <c r="C362" s="93"/>
      <c r="D362" s="93"/>
    </row>
    <row r="363" ht="15.75" customHeight="1" spans="1:4">
      <c r="A363" s="91"/>
      <c r="B363" s="92"/>
      <c r="C363" s="93"/>
      <c r="D363" s="93"/>
    </row>
    <row r="364" ht="15.75" customHeight="1" spans="1:4">
      <c r="A364" s="91"/>
      <c r="B364" s="92"/>
      <c r="C364" s="93"/>
      <c r="D364" s="93"/>
    </row>
    <row r="365" ht="15.75" customHeight="1" spans="1:4">
      <c r="A365" s="91"/>
      <c r="B365" s="92"/>
      <c r="C365" s="93"/>
      <c r="D365" s="93"/>
    </row>
    <row r="366" ht="15.75" customHeight="1" spans="1:4">
      <c r="A366" s="91"/>
      <c r="B366" s="92"/>
      <c r="C366" s="93"/>
      <c r="D366" s="93"/>
    </row>
    <row r="367" ht="15.75" customHeight="1" spans="1:4">
      <c r="A367" s="91"/>
      <c r="B367" s="92"/>
      <c r="C367" s="93"/>
      <c r="D367" s="93"/>
    </row>
    <row r="368" ht="15.75" customHeight="1" spans="1:4">
      <c r="A368" s="91"/>
      <c r="B368" s="92"/>
      <c r="C368" s="93"/>
      <c r="D368" s="93"/>
    </row>
    <row r="369" ht="15.75" customHeight="1" spans="1:4">
      <c r="A369" s="91"/>
      <c r="B369" s="92"/>
      <c r="C369" s="93"/>
      <c r="D369" s="93"/>
    </row>
    <row r="370" ht="15.75" customHeight="1" spans="1:4">
      <c r="A370" s="91"/>
      <c r="B370" s="92"/>
      <c r="C370" s="93"/>
      <c r="D370" s="93"/>
    </row>
    <row r="371" ht="15.75" customHeight="1" spans="1:4">
      <c r="A371" s="91"/>
      <c r="B371" s="92"/>
      <c r="C371" s="93"/>
      <c r="D371" s="93"/>
    </row>
    <row r="372" ht="15.75" customHeight="1" spans="1:4">
      <c r="A372" s="91"/>
      <c r="B372" s="92"/>
      <c r="C372" s="93"/>
      <c r="D372" s="93"/>
    </row>
    <row r="373" ht="15.75" customHeight="1" spans="1:4">
      <c r="A373" s="91"/>
      <c r="B373" s="92"/>
      <c r="C373" s="93"/>
      <c r="D373" s="93"/>
    </row>
    <row r="374" ht="15.75" customHeight="1" spans="1:4">
      <c r="A374" s="91"/>
      <c r="B374" s="92"/>
      <c r="C374" s="93"/>
      <c r="D374" s="93"/>
    </row>
    <row r="375" ht="15.75" customHeight="1" spans="1:4">
      <c r="A375" s="91"/>
      <c r="B375" s="92"/>
      <c r="C375" s="93"/>
      <c r="D375" s="93"/>
    </row>
    <row r="376" ht="15.75" customHeight="1" spans="1:4">
      <c r="A376" s="91"/>
      <c r="B376" s="92"/>
      <c r="C376" s="93"/>
      <c r="D376" s="93"/>
    </row>
    <row r="377" ht="15.75" customHeight="1" spans="1:4">
      <c r="A377" s="91"/>
      <c r="B377" s="92"/>
      <c r="C377" s="93"/>
      <c r="D377" s="93"/>
    </row>
    <row r="378" ht="15.75" customHeight="1" spans="1:4">
      <c r="A378" s="91"/>
      <c r="B378" s="92"/>
      <c r="C378" s="93"/>
      <c r="D378" s="93"/>
    </row>
    <row r="379" ht="15.75" customHeight="1" spans="1:4">
      <c r="A379" s="91"/>
      <c r="B379" s="92"/>
      <c r="C379" s="93"/>
      <c r="D379" s="93"/>
    </row>
    <row r="380" ht="15.75" customHeight="1" spans="1:4">
      <c r="A380" s="91"/>
      <c r="B380" s="92"/>
      <c r="C380" s="93"/>
      <c r="D380" s="93"/>
    </row>
    <row r="381" ht="15.75" customHeight="1" spans="1:4">
      <c r="A381" s="91"/>
      <c r="B381" s="92"/>
      <c r="C381" s="93"/>
      <c r="D381" s="93"/>
    </row>
    <row r="382" ht="15.75" customHeight="1" spans="1:4">
      <c r="A382" s="91"/>
      <c r="B382" s="92"/>
      <c r="C382" s="93"/>
      <c r="D382" s="93"/>
    </row>
    <row r="383" ht="15.75" customHeight="1" spans="1:4">
      <c r="A383" s="91"/>
      <c r="B383" s="92"/>
      <c r="C383" s="93"/>
      <c r="D383" s="93"/>
    </row>
    <row r="384" ht="15.75" customHeight="1" spans="1:4">
      <c r="A384" s="91"/>
      <c r="B384" s="92"/>
      <c r="C384" s="93"/>
      <c r="D384" s="93"/>
    </row>
    <row r="385" ht="15.75" customHeight="1" spans="1:4">
      <c r="A385" s="91"/>
      <c r="B385" s="92"/>
      <c r="C385" s="93"/>
      <c r="D385" s="93"/>
    </row>
    <row r="386" ht="15.75" customHeight="1" spans="1:4">
      <c r="A386" s="91"/>
      <c r="B386" s="92"/>
      <c r="C386" s="93"/>
      <c r="D386" s="93"/>
    </row>
    <row r="387" ht="15.75" customHeight="1" spans="1:4">
      <c r="A387" s="91"/>
      <c r="B387" s="92"/>
      <c r="C387" s="93"/>
      <c r="D387" s="93"/>
    </row>
    <row r="388" ht="15.75" customHeight="1" spans="1:4">
      <c r="A388" s="91"/>
      <c r="B388" s="92"/>
      <c r="C388" s="93"/>
      <c r="D388" s="93"/>
    </row>
    <row r="389" ht="15.75" customHeight="1" spans="1:4">
      <c r="A389" s="91"/>
      <c r="B389" s="92"/>
      <c r="C389" s="93"/>
      <c r="D389" s="93"/>
    </row>
    <row r="390" ht="15.75" customHeight="1" spans="1:4">
      <c r="A390" s="91"/>
      <c r="B390" s="92"/>
      <c r="C390" s="93"/>
      <c r="D390" s="93"/>
    </row>
    <row r="391" ht="15.75" customHeight="1" spans="1:4">
      <c r="A391" s="91"/>
      <c r="B391" s="92"/>
      <c r="C391" s="93"/>
      <c r="D391" s="93"/>
    </row>
    <row r="392" ht="15.75" customHeight="1" spans="1:4">
      <c r="A392" s="91"/>
      <c r="B392" s="92"/>
      <c r="C392" s="93"/>
      <c r="D392" s="93"/>
    </row>
    <row r="393" ht="15.75" customHeight="1" spans="1:4">
      <c r="A393" s="91"/>
      <c r="B393" s="92"/>
      <c r="C393" s="93"/>
      <c r="D393" s="93"/>
    </row>
    <row r="394" ht="15.75" customHeight="1" spans="1:4">
      <c r="A394" s="91"/>
      <c r="B394" s="92"/>
      <c r="C394" s="93"/>
      <c r="D394" s="93"/>
    </row>
    <row r="395" ht="15.75" customHeight="1" spans="1:4">
      <c r="A395" s="91"/>
      <c r="B395" s="92"/>
      <c r="C395" s="93"/>
      <c r="D395" s="93"/>
    </row>
    <row r="396" ht="15.75" customHeight="1" spans="1:4">
      <c r="A396" s="91"/>
      <c r="B396" s="92"/>
      <c r="C396" s="93"/>
      <c r="D396" s="93"/>
    </row>
    <row r="397" ht="15.75" customHeight="1" spans="1:4">
      <c r="A397" s="91"/>
      <c r="B397" s="92"/>
      <c r="C397" s="93"/>
      <c r="D397" s="93"/>
    </row>
    <row r="398" ht="15.75" customHeight="1" spans="1:4">
      <c r="A398" s="91"/>
      <c r="B398" s="92"/>
      <c r="C398" s="93"/>
      <c r="D398" s="93"/>
    </row>
    <row r="399" ht="15.75" customHeight="1" spans="1:4">
      <c r="A399" s="91"/>
      <c r="B399" s="92"/>
      <c r="C399" s="93"/>
      <c r="D399" s="93"/>
    </row>
    <row r="400" ht="15.75" customHeight="1" spans="1:4">
      <c r="A400" s="91"/>
      <c r="B400" s="92"/>
      <c r="C400" s="93"/>
      <c r="D400" s="93"/>
    </row>
    <row r="401" ht="15.75" customHeight="1" spans="1:4">
      <c r="A401" s="91"/>
      <c r="B401" s="92"/>
      <c r="C401" s="93"/>
      <c r="D401" s="93"/>
    </row>
    <row r="402" ht="15.75" customHeight="1" spans="1:4">
      <c r="A402" s="91"/>
      <c r="B402" s="92"/>
      <c r="C402" s="93"/>
      <c r="D402" s="93"/>
    </row>
    <row r="403" ht="15.75" customHeight="1" spans="1:4">
      <c r="A403" s="91"/>
      <c r="B403" s="92"/>
      <c r="C403" s="93"/>
      <c r="D403" s="93"/>
    </row>
    <row r="404" ht="15.75" customHeight="1" spans="1:4">
      <c r="A404" s="91"/>
      <c r="B404" s="92"/>
      <c r="C404" s="93"/>
      <c r="D404" s="93"/>
    </row>
    <row r="405" ht="15.75" customHeight="1" spans="1:4">
      <c r="A405" s="91"/>
      <c r="B405" s="92"/>
      <c r="C405" s="93"/>
      <c r="D405" s="93"/>
    </row>
    <row r="406" ht="15.75" customHeight="1" spans="1:4">
      <c r="A406" s="91"/>
      <c r="B406" s="92"/>
      <c r="C406" s="93"/>
      <c r="D406" s="93"/>
    </row>
    <row r="407" ht="15.75" customHeight="1" spans="1:4">
      <c r="A407" s="91"/>
      <c r="B407" s="92"/>
      <c r="C407" s="93"/>
      <c r="D407" s="93"/>
    </row>
    <row r="408" ht="15.75" customHeight="1" spans="1:4">
      <c r="A408" s="91"/>
      <c r="B408" s="92"/>
      <c r="C408" s="93"/>
      <c r="D408" s="93"/>
    </row>
    <row r="409" ht="15.75" customHeight="1" spans="1:4">
      <c r="A409" s="91"/>
      <c r="B409" s="92"/>
      <c r="C409" s="93"/>
      <c r="D409" s="93"/>
    </row>
    <row r="410" ht="15.75" customHeight="1" spans="1:4">
      <c r="A410" s="91"/>
      <c r="B410" s="92"/>
      <c r="C410" s="93"/>
      <c r="D410" s="93"/>
    </row>
    <row r="411" ht="15.75" customHeight="1" spans="1:4">
      <c r="A411" s="91"/>
      <c r="B411" s="92"/>
      <c r="C411" s="93"/>
      <c r="D411" s="93"/>
    </row>
    <row r="412" ht="15.75" customHeight="1" spans="1:4">
      <c r="A412" s="91"/>
      <c r="B412" s="92"/>
      <c r="C412" s="93"/>
      <c r="D412" s="93"/>
    </row>
    <row r="413" ht="15.75" customHeight="1" spans="1:4">
      <c r="A413" s="91"/>
      <c r="B413" s="92"/>
      <c r="C413" s="93"/>
      <c r="D413" s="93"/>
    </row>
    <row r="414" ht="15.75" customHeight="1" spans="1:4">
      <c r="A414" s="91"/>
      <c r="B414" s="92"/>
      <c r="C414" s="93"/>
      <c r="D414" s="93"/>
    </row>
    <row r="415" ht="15.75" customHeight="1" spans="1:4">
      <c r="A415" s="91"/>
      <c r="B415" s="92"/>
      <c r="C415" s="93"/>
      <c r="D415" s="93"/>
    </row>
    <row r="416" ht="15.75" customHeight="1" spans="1:4">
      <c r="A416" s="91"/>
      <c r="B416" s="92"/>
      <c r="C416" s="93"/>
      <c r="D416" s="93"/>
    </row>
    <row r="417" ht="15.75" customHeight="1" spans="1:4">
      <c r="A417" s="91"/>
      <c r="B417" s="92"/>
      <c r="C417" s="93"/>
      <c r="D417" s="93"/>
    </row>
    <row r="418" ht="15.75" customHeight="1" spans="1:4">
      <c r="A418" s="91"/>
      <c r="B418" s="92"/>
      <c r="C418" s="93"/>
      <c r="D418" s="93"/>
    </row>
    <row r="419" ht="15.75" customHeight="1" spans="1:4">
      <c r="A419" s="91"/>
      <c r="B419" s="92"/>
      <c r="C419" s="93"/>
      <c r="D419" s="93"/>
    </row>
    <row r="420" ht="15.75" customHeight="1" spans="1:4">
      <c r="A420" s="91"/>
      <c r="B420" s="92"/>
      <c r="C420" s="93"/>
      <c r="D420" s="93"/>
    </row>
    <row r="421" ht="15.75" customHeight="1" spans="1:4">
      <c r="A421" s="91"/>
      <c r="B421" s="92"/>
      <c r="C421" s="93"/>
      <c r="D421" s="93"/>
    </row>
    <row r="422" ht="15.75" customHeight="1" spans="1:4">
      <c r="A422" s="91"/>
      <c r="B422" s="92"/>
      <c r="C422" s="93"/>
      <c r="D422" s="93"/>
    </row>
    <row r="423" ht="15.75" customHeight="1" spans="1:4">
      <c r="A423" s="91"/>
      <c r="B423" s="92"/>
      <c r="C423" s="93"/>
      <c r="D423" s="93"/>
    </row>
    <row r="424" ht="15.75" customHeight="1" spans="1:4">
      <c r="A424" s="91"/>
      <c r="B424" s="92"/>
      <c r="C424" s="93"/>
      <c r="D424" s="93"/>
    </row>
    <row r="425" ht="15.75" customHeight="1" spans="1:4">
      <c r="A425" s="91"/>
      <c r="B425" s="92"/>
      <c r="C425" s="93"/>
      <c r="D425" s="93"/>
    </row>
    <row r="426" ht="15.75" customHeight="1" spans="1:4">
      <c r="A426" s="91"/>
      <c r="B426" s="92"/>
      <c r="C426" s="93"/>
      <c r="D426" s="93"/>
    </row>
    <row r="427" ht="15.75" customHeight="1" spans="1:4">
      <c r="A427" s="91"/>
      <c r="B427" s="92"/>
      <c r="C427" s="93"/>
      <c r="D427" s="93"/>
    </row>
    <row r="428" ht="15.75" customHeight="1" spans="1:4">
      <c r="A428" s="91"/>
      <c r="B428" s="92"/>
      <c r="C428" s="93"/>
      <c r="D428" s="93"/>
    </row>
    <row r="429" ht="15.75" customHeight="1" spans="1:4">
      <c r="A429" s="91"/>
      <c r="B429" s="92"/>
      <c r="C429" s="93"/>
      <c r="D429" s="93"/>
    </row>
    <row r="430" ht="15.75" customHeight="1" spans="1:4">
      <c r="A430" s="91"/>
      <c r="B430" s="92"/>
      <c r="C430" s="93"/>
      <c r="D430" s="93"/>
    </row>
    <row r="431" ht="15.75" customHeight="1" spans="1:4">
      <c r="A431" s="91"/>
      <c r="B431" s="92"/>
      <c r="C431" s="93"/>
      <c r="D431" s="93"/>
    </row>
    <row r="432" ht="15.75" customHeight="1" spans="1:4">
      <c r="A432" s="91"/>
      <c r="B432" s="92"/>
      <c r="C432" s="93"/>
      <c r="D432" s="93"/>
    </row>
    <row r="433" ht="15.75" customHeight="1" spans="1:4">
      <c r="A433" s="91"/>
      <c r="B433" s="92"/>
      <c r="C433" s="93"/>
      <c r="D433" s="93"/>
    </row>
    <row r="434" ht="15.75" customHeight="1" spans="1:4">
      <c r="A434" s="91"/>
      <c r="B434" s="92"/>
      <c r="C434" s="93"/>
      <c r="D434" s="93"/>
    </row>
    <row r="435" ht="15.75" customHeight="1" spans="1:4">
      <c r="A435" s="91"/>
      <c r="B435" s="92"/>
      <c r="C435" s="93"/>
      <c r="D435" s="93"/>
    </row>
    <row r="436" ht="15.75" customHeight="1" spans="1:4">
      <c r="A436" s="91"/>
      <c r="B436" s="92"/>
      <c r="C436" s="93"/>
      <c r="D436" s="93"/>
    </row>
    <row r="437" ht="15.75" customHeight="1" spans="1:4">
      <c r="A437" s="91"/>
      <c r="B437" s="92"/>
      <c r="C437" s="93"/>
      <c r="D437" s="93"/>
    </row>
    <row r="438" ht="15.75" customHeight="1" spans="1:4">
      <c r="A438" s="91"/>
      <c r="B438" s="92"/>
      <c r="C438" s="93"/>
      <c r="D438" s="93"/>
    </row>
    <row r="439" ht="15.75" customHeight="1" spans="1:4">
      <c r="A439" s="91"/>
      <c r="B439" s="92"/>
      <c r="C439" s="93"/>
      <c r="D439" s="93"/>
    </row>
    <row r="440" ht="15.75" customHeight="1" spans="1:4">
      <c r="A440" s="91"/>
      <c r="B440" s="92"/>
      <c r="C440" s="93"/>
      <c r="D440" s="93"/>
    </row>
    <row r="441" ht="15.75" customHeight="1" spans="1:4">
      <c r="A441" s="91"/>
      <c r="B441" s="92"/>
      <c r="C441" s="93"/>
      <c r="D441" s="93"/>
    </row>
    <row r="442" ht="15.75" customHeight="1" spans="1:4">
      <c r="A442" s="91"/>
      <c r="B442" s="92"/>
      <c r="C442" s="93"/>
      <c r="D442" s="93"/>
    </row>
    <row r="443" ht="15.75" customHeight="1" spans="1:4">
      <c r="A443" s="91"/>
      <c r="B443" s="92"/>
      <c r="C443" s="93"/>
      <c r="D443" s="93"/>
    </row>
    <row r="444" ht="15.75" customHeight="1" spans="1:4">
      <c r="A444" s="91"/>
      <c r="B444" s="92"/>
      <c r="C444" s="93"/>
      <c r="D444" s="93"/>
    </row>
    <row r="445" ht="15.75" customHeight="1" spans="1:4">
      <c r="A445" s="91"/>
      <c r="B445" s="92"/>
      <c r="C445" s="93"/>
      <c r="D445" s="93"/>
    </row>
    <row r="446" ht="15.75" customHeight="1" spans="1:4">
      <c r="A446" s="91"/>
      <c r="B446" s="92"/>
      <c r="C446" s="93"/>
      <c r="D446" s="93"/>
    </row>
    <row r="447" ht="15.75" customHeight="1" spans="1:4">
      <c r="A447" s="91"/>
      <c r="B447" s="92"/>
      <c r="C447" s="93"/>
      <c r="D447" s="93"/>
    </row>
    <row r="448" ht="15.75" customHeight="1" spans="1:4">
      <c r="A448" s="91"/>
      <c r="B448" s="92"/>
      <c r="C448" s="93"/>
      <c r="D448" s="93"/>
    </row>
    <row r="449" ht="15.75" customHeight="1" spans="1:4">
      <c r="A449" s="91"/>
      <c r="B449" s="92"/>
      <c r="C449" s="93"/>
      <c r="D449" s="93"/>
    </row>
    <row r="450" ht="15.75" customHeight="1" spans="1:4">
      <c r="A450" s="91"/>
      <c r="B450" s="92"/>
      <c r="C450" s="93"/>
      <c r="D450" s="93"/>
    </row>
    <row r="451" ht="15.75" customHeight="1" spans="1:4">
      <c r="A451" s="91"/>
      <c r="B451" s="92"/>
      <c r="C451" s="93"/>
      <c r="D451" s="93"/>
    </row>
    <row r="452" ht="15.75" customHeight="1" spans="1:4">
      <c r="A452" s="91"/>
      <c r="B452" s="92"/>
      <c r="C452" s="93"/>
      <c r="D452" s="93"/>
    </row>
    <row r="453" ht="15.75" customHeight="1" spans="1:4">
      <c r="A453" s="91"/>
      <c r="B453" s="92"/>
      <c r="C453" s="93"/>
      <c r="D453" s="93"/>
    </row>
    <row r="454" ht="15.75" customHeight="1" spans="1:4">
      <c r="A454" s="91"/>
      <c r="B454" s="92"/>
      <c r="C454" s="93"/>
      <c r="D454" s="93"/>
    </row>
    <row r="455" ht="15.75" customHeight="1" spans="1:4">
      <c r="A455" s="91"/>
      <c r="B455" s="92"/>
      <c r="C455" s="93"/>
      <c r="D455" s="93"/>
    </row>
    <row r="456" ht="15.75" customHeight="1" spans="1:4">
      <c r="A456" s="91"/>
      <c r="B456" s="92"/>
      <c r="C456" s="93"/>
      <c r="D456" s="93"/>
    </row>
    <row r="457" ht="15.75" customHeight="1" spans="1:4">
      <c r="A457" s="91"/>
      <c r="B457" s="92"/>
      <c r="C457" s="93"/>
      <c r="D457" s="93"/>
    </row>
    <row r="458" ht="15.75" customHeight="1" spans="1:4">
      <c r="A458" s="91"/>
      <c r="B458" s="92"/>
      <c r="C458" s="93"/>
      <c r="D458" s="93"/>
    </row>
    <row r="459" ht="15.75" customHeight="1" spans="1:4">
      <c r="A459" s="91"/>
      <c r="B459" s="92"/>
      <c r="C459" s="93"/>
      <c r="D459" s="93"/>
    </row>
    <row r="460" ht="15.75" customHeight="1" spans="1:4">
      <c r="A460" s="91"/>
      <c r="B460" s="92"/>
      <c r="C460" s="93"/>
      <c r="D460" s="93"/>
    </row>
    <row r="461" ht="15.75" customHeight="1" spans="1:4">
      <c r="A461" s="91"/>
      <c r="B461" s="92"/>
      <c r="C461" s="93"/>
      <c r="D461" s="93"/>
    </row>
    <row r="462" ht="15.75" customHeight="1" spans="1:4">
      <c r="A462" s="91"/>
      <c r="B462" s="92"/>
      <c r="C462" s="93"/>
      <c r="D462" s="93"/>
    </row>
    <row r="463" ht="15.75" customHeight="1" spans="1:4">
      <c r="A463" s="91"/>
      <c r="B463" s="92"/>
      <c r="C463" s="93"/>
      <c r="D463" s="93"/>
    </row>
    <row r="464" ht="15.75" customHeight="1" spans="1:4">
      <c r="A464" s="91"/>
      <c r="B464" s="92"/>
      <c r="C464" s="93"/>
      <c r="D464" s="93"/>
    </row>
    <row r="465" ht="15.75" customHeight="1" spans="1:4">
      <c r="A465" s="91"/>
      <c r="B465" s="92"/>
      <c r="C465" s="93"/>
      <c r="D465" s="93"/>
    </row>
    <row r="466" ht="15.75" customHeight="1" spans="1:4">
      <c r="A466" s="91"/>
      <c r="B466" s="92"/>
      <c r="C466" s="93"/>
      <c r="D466" s="93"/>
    </row>
    <row r="467" ht="15.75" customHeight="1" spans="1:4">
      <c r="A467" s="91"/>
      <c r="B467" s="92"/>
      <c r="C467" s="93"/>
      <c r="D467" s="93"/>
    </row>
    <row r="468" ht="15.75" customHeight="1" spans="1:4">
      <c r="A468" s="91"/>
      <c r="B468" s="92"/>
      <c r="C468" s="93"/>
      <c r="D468" s="93"/>
    </row>
    <row r="469" ht="15.75" customHeight="1" spans="1:4">
      <c r="A469" s="91"/>
      <c r="B469" s="92"/>
      <c r="C469" s="93"/>
      <c r="D469" s="93"/>
    </row>
    <row r="470" ht="15.75" customHeight="1" spans="1:4">
      <c r="A470" s="91"/>
      <c r="B470" s="92"/>
      <c r="C470" s="93"/>
      <c r="D470" s="93"/>
    </row>
    <row r="471" ht="15.75" customHeight="1" spans="1:4">
      <c r="A471" s="91"/>
      <c r="B471" s="92"/>
      <c r="C471" s="93"/>
      <c r="D471" s="93"/>
    </row>
    <row r="472" ht="15.75" customHeight="1" spans="1:4">
      <c r="A472" s="91"/>
      <c r="B472" s="92"/>
      <c r="C472" s="93"/>
      <c r="D472" s="93"/>
    </row>
    <row r="473" ht="15.75" customHeight="1" spans="1:4">
      <c r="A473" s="91"/>
      <c r="B473" s="92"/>
      <c r="C473" s="93"/>
      <c r="D473" s="93"/>
    </row>
    <row r="474" ht="15.75" customHeight="1" spans="1:4">
      <c r="A474" s="91"/>
      <c r="B474" s="92"/>
      <c r="C474" s="93"/>
      <c r="D474" s="93"/>
    </row>
    <row r="475" ht="15.75" customHeight="1" spans="1:4">
      <c r="A475" s="91"/>
      <c r="B475" s="92"/>
      <c r="C475" s="93"/>
      <c r="D475" s="93"/>
    </row>
    <row r="476" ht="15.75" customHeight="1" spans="1:4">
      <c r="A476" s="91"/>
      <c r="B476" s="92"/>
      <c r="C476" s="93"/>
      <c r="D476" s="93"/>
    </row>
    <row r="477" ht="15.75" customHeight="1" spans="1:4">
      <c r="A477" s="91"/>
      <c r="B477" s="92"/>
      <c r="C477" s="93"/>
      <c r="D477" s="93"/>
    </row>
    <row r="478" ht="15.75" customHeight="1" spans="1:4">
      <c r="A478" s="91"/>
      <c r="B478" s="92"/>
      <c r="C478" s="93"/>
      <c r="D478" s="93"/>
    </row>
    <row r="479" ht="15.75" customHeight="1" spans="1:4">
      <c r="A479" s="91"/>
      <c r="B479" s="92"/>
      <c r="C479" s="93"/>
      <c r="D479" s="93"/>
    </row>
    <row r="480" ht="15.75" customHeight="1" spans="1:4">
      <c r="A480" s="91"/>
      <c r="B480" s="92"/>
      <c r="C480" s="93"/>
      <c r="D480" s="93"/>
    </row>
    <row r="481" ht="15.75" customHeight="1" spans="1:4">
      <c r="A481" s="91"/>
      <c r="B481" s="92"/>
      <c r="C481" s="93"/>
      <c r="D481" s="93"/>
    </row>
    <row r="482" ht="15.75" customHeight="1" spans="1:4">
      <c r="A482" s="91"/>
      <c r="B482" s="92"/>
      <c r="C482" s="93"/>
      <c r="D482" s="93"/>
    </row>
    <row r="483" ht="15.75" customHeight="1" spans="1:4">
      <c r="A483" s="91"/>
      <c r="B483" s="92"/>
      <c r="C483" s="93"/>
      <c r="D483" s="93"/>
    </row>
    <row r="484" ht="15.75" customHeight="1" spans="1:4">
      <c r="A484" s="91"/>
      <c r="B484" s="92"/>
      <c r="C484" s="93"/>
      <c r="D484" s="93"/>
    </row>
    <row r="485" ht="15.75" customHeight="1" spans="1:4">
      <c r="A485" s="91"/>
      <c r="B485" s="92"/>
      <c r="C485" s="93"/>
      <c r="D485" s="93"/>
    </row>
    <row r="486" ht="15.75" customHeight="1" spans="1:4">
      <c r="A486" s="91"/>
      <c r="B486" s="92"/>
      <c r="C486" s="93"/>
      <c r="D486" s="93"/>
    </row>
    <row r="487" ht="15.75" customHeight="1" spans="1:4">
      <c r="A487" s="91"/>
      <c r="B487" s="92"/>
      <c r="C487" s="93"/>
      <c r="D487" s="93"/>
    </row>
    <row r="488" ht="15.75" customHeight="1" spans="1:4">
      <c r="A488" s="91"/>
      <c r="B488" s="92"/>
      <c r="C488" s="93"/>
      <c r="D488" s="93"/>
    </row>
    <row r="489" ht="15.75" customHeight="1" spans="1:4">
      <c r="A489" s="91"/>
      <c r="B489" s="92"/>
      <c r="C489" s="93"/>
      <c r="D489" s="93"/>
    </row>
    <row r="490" ht="15.75" customHeight="1" spans="1:4">
      <c r="A490" s="91"/>
      <c r="B490" s="92"/>
      <c r="C490" s="93"/>
      <c r="D490" s="93"/>
    </row>
    <row r="491" ht="15.75" customHeight="1" spans="1:4">
      <c r="A491" s="91"/>
      <c r="B491" s="92"/>
      <c r="C491" s="93"/>
      <c r="D491" s="93"/>
    </row>
    <row r="492" ht="15.75" customHeight="1" spans="1:4">
      <c r="A492" s="91"/>
      <c r="B492" s="92"/>
      <c r="C492" s="93"/>
      <c r="D492" s="93"/>
    </row>
    <row r="493" ht="15.75" customHeight="1" spans="1:4">
      <c r="A493" s="91"/>
      <c r="B493" s="92"/>
      <c r="C493" s="93"/>
      <c r="D493" s="93"/>
    </row>
    <row r="494" ht="15.75" customHeight="1" spans="1:4">
      <c r="A494" s="91"/>
      <c r="B494" s="92"/>
      <c r="C494" s="93"/>
      <c r="D494" s="93"/>
    </row>
    <row r="495" ht="15.75" customHeight="1" spans="1:4">
      <c r="A495" s="91"/>
      <c r="B495" s="92"/>
      <c r="C495" s="93"/>
      <c r="D495" s="93"/>
    </row>
    <row r="496" ht="15.75" customHeight="1" spans="1:4">
      <c r="A496" s="91"/>
      <c r="B496" s="92"/>
      <c r="C496" s="93"/>
      <c r="D496" s="93"/>
    </row>
    <row r="497" ht="15.75" customHeight="1" spans="1:4">
      <c r="A497" s="91"/>
      <c r="B497" s="92"/>
      <c r="C497" s="93"/>
      <c r="D497" s="93"/>
    </row>
    <row r="498" ht="15.75" customHeight="1" spans="1:4">
      <c r="A498" s="91"/>
      <c r="B498" s="92"/>
      <c r="C498" s="93"/>
      <c r="D498" s="93"/>
    </row>
    <row r="499" ht="15.75" customHeight="1" spans="1:4">
      <c r="A499" s="91"/>
      <c r="B499" s="92"/>
      <c r="C499" s="93"/>
      <c r="D499" s="93"/>
    </row>
    <row r="500" ht="15.75" customHeight="1" spans="1:4">
      <c r="A500" s="91"/>
      <c r="B500" s="92"/>
      <c r="C500" s="93"/>
      <c r="D500" s="93"/>
    </row>
    <row r="501" ht="15.75" customHeight="1" spans="1:4">
      <c r="A501" s="91"/>
      <c r="B501" s="92"/>
      <c r="C501" s="93"/>
      <c r="D501" s="93"/>
    </row>
    <row r="502" ht="15.75" customHeight="1" spans="1:4">
      <c r="A502" s="91"/>
      <c r="B502" s="92"/>
      <c r="C502" s="93"/>
      <c r="D502" s="93"/>
    </row>
    <row r="503" ht="15.75" customHeight="1" spans="1:4">
      <c r="A503" s="91"/>
      <c r="B503" s="92"/>
      <c r="C503" s="93"/>
      <c r="D503" s="93"/>
    </row>
    <row r="504" ht="15.75" customHeight="1" spans="1:4">
      <c r="A504" s="91"/>
      <c r="B504" s="92"/>
      <c r="C504" s="93"/>
      <c r="D504" s="93"/>
    </row>
    <row r="505" ht="15.75" customHeight="1" spans="1:4">
      <c r="A505" s="91"/>
      <c r="B505" s="92"/>
      <c r="C505" s="93"/>
      <c r="D505" s="93"/>
    </row>
    <row r="506" ht="15.75" customHeight="1" spans="1:4">
      <c r="A506" s="91"/>
      <c r="B506" s="92"/>
      <c r="C506" s="93"/>
      <c r="D506" s="93"/>
    </row>
    <row r="507" ht="15.75" customHeight="1" spans="1:4">
      <c r="A507" s="91"/>
      <c r="B507" s="92"/>
      <c r="C507" s="93"/>
      <c r="D507" s="93"/>
    </row>
    <row r="508" ht="15.75" customHeight="1" spans="1:4">
      <c r="A508" s="91"/>
      <c r="B508" s="92"/>
      <c r="C508" s="93"/>
      <c r="D508" s="93"/>
    </row>
    <row r="509" ht="15.75" customHeight="1" spans="1:4">
      <c r="A509" s="91"/>
      <c r="B509" s="92"/>
      <c r="C509" s="93"/>
      <c r="D509" s="93"/>
    </row>
    <row r="510" ht="15.75" customHeight="1" spans="1:4">
      <c r="A510" s="91"/>
      <c r="B510" s="92"/>
      <c r="C510" s="93"/>
      <c r="D510" s="93"/>
    </row>
    <row r="511" ht="15.75" customHeight="1" spans="1:4">
      <c r="A511" s="91"/>
      <c r="B511" s="92"/>
      <c r="C511" s="93"/>
      <c r="D511" s="93"/>
    </row>
    <row r="512" ht="15.75" customHeight="1" spans="1:4">
      <c r="A512" s="91"/>
      <c r="B512" s="92"/>
      <c r="C512" s="93"/>
      <c r="D512" s="93"/>
    </row>
    <row r="513" ht="15.75" customHeight="1" spans="1:4">
      <c r="A513" s="91"/>
      <c r="B513" s="92"/>
      <c r="C513" s="93"/>
      <c r="D513" s="93"/>
    </row>
    <row r="514" ht="15.75" customHeight="1" spans="1:4">
      <c r="A514" s="91"/>
      <c r="B514" s="92"/>
      <c r="C514" s="93"/>
      <c r="D514" s="93"/>
    </row>
    <row r="515" ht="15.75" customHeight="1" spans="1:4">
      <c r="A515" s="91"/>
      <c r="B515" s="92"/>
      <c r="C515" s="93"/>
      <c r="D515" s="93"/>
    </row>
    <row r="516" ht="15.75" customHeight="1" spans="1:4">
      <c r="A516" s="91"/>
      <c r="B516" s="92"/>
      <c r="C516" s="93"/>
      <c r="D516" s="93"/>
    </row>
    <row r="517" ht="15.75" customHeight="1" spans="1:4">
      <c r="A517" s="91"/>
      <c r="B517" s="92"/>
      <c r="C517" s="93"/>
      <c r="D517" s="93"/>
    </row>
    <row r="518" ht="15.75" customHeight="1" spans="1:4">
      <c r="A518" s="91"/>
      <c r="B518" s="92"/>
      <c r="C518" s="93"/>
      <c r="D518" s="93"/>
    </row>
    <row r="519" ht="15.75" customHeight="1" spans="1:4">
      <c r="A519" s="91"/>
      <c r="B519" s="92"/>
      <c r="C519" s="93"/>
      <c r="D519" s="93"/>
    </row>
    <row r="520" ht="15.75" customHeight="1" spans="1:4">
      <c r="A520" s="91"/>
      <c r="B520" s="92"/>
      <c r="C520" s="93"/>
      <c r="D520" s="93"/>
    </row>
    <row r="521" ht="15.75" customHeight="1" spans="1:4">
      <c r="A521" s="91"/>
      <c r="B521" s="92"/>
      <c r="C521" s="93"/>
      <c r="D521" s="93"/>
    </row>
    <row r="522" ht="15.75" customHeight="1" spans="1:4">
      <c r="A522" s="91"/>
      <c r="B522" s="92"/>
      <c r="C522" s="93"/>
      <c r="D522" s="93"/>
    </row>
    <row r="523" ht="15.75" customHeight="1" spans="1:4">
      <c r="A523" s="91"/>
      <c r="B523" s="92"/>
      <c r="C523" s="93"/>
      <c r="D523" s="93"/>
    </row>
    <row r="524" ht="15.75" customHeight="1" spans="1:4">
      <c r="A524" s="91"/>
      <c r="B524" s="92"/>
      <c r="C524" s="93"/>
      <c r="D524" s="93"/>
    </row>
    <row r="525" ht="15.75" customHeight="1" spans="1:4">
      <c r="A525" s="91"/>
      <c r="B525" s="92"/>
      <c r="C525" s="93"/>
      <c r="D525" s="93"/>
    </row>
    <row r="526" ht="15.75" customHeight="1" spans="1:4">
      <c r="A526" s="91"/>
      <c r="B526" s="92"/>
      <c r="C526" s="93"/>
      <c r="D526" s="93"/>
    </row>
    <row r="527" ht="15.75" customHeight="1" spans="1:4">
      <c r="A527" s="91"/>
      <c r="B527" s="92"/>
      <c r="C527" s="93"/>
      <c r="D527" s="93"/>
    </row>
    <row r="528" ht="15.75" customHeight="1" spans="1:4">
      <c r="A528" s="91"/>
      <c r="B528" s="92"/>
      <c r="C528" s="93"/>
      <c r="D528" s="93"/>
    </row>
    <row r="529" ht="15.75" customHeight="1" spans="1:4">
      <c r="A529" s="91"/>
      <c r="B529" s="92"/>
      <c r="C529" s="93"/>
      <c r="D529" s="93"/>
    </row>
    <row r="530" ht="15.75" customHeight="1" spans="1:4">
      <c r="A530" s="91"/>
      <c r="B530" s="92"/>
      <c r="C530" s="93"/>
      <c r="D530" s="93"/>
    </row>
    <row r="531" ht="15.75" customHeight="1" spans="1:4">
      <c r="A531" s="91"/>
      <c r="B531" s="92"/>
      <c r="C531" s="93"/>
      <c r="D531" s="93"/>
    </row>
    <row r="532" ht="15.75" customHeight="1" spans="1:4">
      <c r="A532" s="91"/>
      <c r="B532" s="92"/>
      <c r="C532" s="93"/>
      <c r="D532" s="93"/>
    </row>
    <row r="533" ht="15.75" customHeight="1" spans="1:4">
      <c r="A533" s="91"/>
      <c r="B533" s="92"/>
      <c r="C533" s="93"/>
      <c r="D533" s="93"/>
    </row>
    <row r="534" ht="15.75" customHeight="1" spans="1:4">
      <c r="A534" s="91"/>
      <c r="B534" s="92"/>
      <c r="C534" s="93"/>
      <c r="D534" s="93"/>
    </row>
    <row r="535" ht="15.75" customHeight="1" spans="1:4">
      <c r="A535" s="91"/>
      <c r="B535" s="92"/>
      <c r="C535" s="93"/>
      <c r="D535" s="93"/>
    </row>
    <row r="536" ht="15.75" customHeight="1" spans="1:4">
      <c r="A536" s="91"/>
      <c r="B536" s="92"/>
      <c r="C536" s="93"/>
      <c r="D536" s="93"/>
    </row>
    <row r="537" ht="15.75" customHeight="1" spans="1:4">
      <c r="A537" s="91"/>
      <c r="B537" s="92"/>
      <c r="C537" s="93"/>
      <c r="D537" s="93"/>
    </row>
    <row r="538" ht="15.75" customHeight="1" spans="1:4">
      <c r="A538" s="91"/>
      <c r="B538" s="92"/>
      <c r="C538" s="93"/>
      <c r="D538" s="93"/>
    </row>
    <row r="539" ht="15.75" customHeight="1" spans="1:4">
      <c r="A539" s="91"/>
      <c r="B539" s="92"/>
      <c r="C539" s="93"/>
      <c r="D539" s="93"/>
    </row>
    <row r="540" ht="15.75" customHeight="1" spans="1:4">
      <c r="A540" s="91"/>
      <c r="B540" s="92"/>
      <c r="C540" s="93"/>
      <c r="D540" s="93"/>
    </row>
    <row r="541" ht="15.75" customHeight="1" spans="1:4">
      <c r="A541" s="91"/>
      <c r="B541" s="92"/>
      <c r="C541" s="93"/>
      <c r="D541" s="93"/>
    </row>
    <row r="542" ht="15.75" customHeight="1" spans="1:4">
      <c r="A542" s="91"/>
      <c r="B542" s="92"/>
      <c r="C542" s="93"/>
      <c r="D542" s="93"/>
    </row>
    <row r="543" ht="15.75" customHeight="1" spans="1:4">
      <c r="A543" s="91"/>
      <c r="B543" s="92"/>
      <c r="C543" s="93"/>
      <c r="D543" s="93"/>
    </row>
    <row r="544" ht="15.75" customHeight="1" spans="1:4">
      <c r="A544" s="91"/>
      <c r="B544" s="92"/>
      <c r="C544" s="93"/>
      <c r="D544" s="93"/>
    </row>
    <row r="545" ht="15.75" customHeight="1" spans="1:4">
      <c r="A545" s="91"/>
      <c r="B545" s="92"/>
      <c r="C545" s="93"/>
      <c r="D545" s="93"/>
    </row>
    <row r="546" ht="15.75" customHeight="1" spans="1:4">
      <c r="A546" s="91"/>
      <c r="B546" s="92"/>
      <c r="C546" s="93"/>
      <c r="D546" s="93"/>
    </row>
    <row r="547" ht="15.75" customHeight="1" spans="1:4">
      <c r="A547" s="91"/>
      <c r="B547" s="92"/>
      <c r="C547" s="93"/>
      <c r="D547" s="93"/>
    </row>
    <row r="548" ht="15.75" customHeight="1" spans="1:4">
      <c r="A548" s="91"/>
      <c r="B548" s="92"/>
      <c r="C548" s="93"/>
      <c r="D548" s="93"/>
    </row>
    <row r="549" ht="15.75" customHeight="1" spans="1:4">
      <c r="A549" s="91"/>
      <c r="B549" s="92"/>
      <c r="C549" s="93"/>
      <c r="D549" s="93"/>
    </row>
    <row r="550" ht="15.75" customHeight="1" spans="1:4">
      <c r="A550" s="91"/>
      <c r="B550" s="92"/>
      <c r="C550" s="93"/>
      <c r="D550" s="93"/>
    </row>
    <row r="551" ht="15.75" customHeight="1" spans="1:4">
      <c r="A551" s="91"/>
      <c r="B551" s="92"/>
      <c r="C551" s="93"/>
      <c r="D551" s="93"/>
    </row>
    <row r="552" ht="15.75" customHeight="1" spans="1:4">
      <c r="A552" s="91"/>
      <c r="B552" s="92"/>
      <c r="C552" s="93"/>
      <c r="D552" s="93"/>
    </row>
    <row r="553" ht="15.75" customHeight="1" spans="1:4">
      <c r="A553" s="91"/>
      <c r="B553" s="92"/>
      <c r="C553" s="93"/>
      <c r="D553" s="93"/>
    </row>
    <row r="554" ht="15.75" customHeight="1" spans="1:4">
      <c r="A554" s="91"/>
      <c r="B554" s="92"/>
      <c r="C554" s="93"/>
      <c r="D554" s="93"/>
    </row>
    <row r="555" ht="15.75" customHeight="1" spans="1:4">
      <c r="A555" s="91"/>
      <c r="B555" s="92"/>
      <c r="C555" s="93"/>
      <c r="D555" s="93"/>
    </row>
    <row r="556" ht="15.75" customHeight="1" spans="1:4">
      <c r="A556" s="91"/>
      <c r="B556" s="92"/>
      <c r="C556" s="93"/>
      <c r="D556" s="93"/>
    </row>
    <row r="557" ht="15.75" customHeight="1" spans="1:4">
      <c r="A557" s="91"/>
      <c r="B557" s="92"/>
      <c r="C557" s="93"/>
      <c r="D557" s="93"/>
    </row>
    <row r="558" ht="15.75" customHeight="1" spans="1:4">
      <c r="A558" s="91"/>
      <c r="B558" s="92"/>
      <c r="C558" s="93"/>
      <c r="D558" s="93"/>
    </row>
    <row r="559" ht="15.75" customHeight="1" spans="1:4">
      <c r="A559" s="91"/>
      <c r="B559" s="92"/>
      <c r="C559" s="93"/>
      <c r="D559" s="93"/>
    </row>
    <row r="560" ht="15.75" customHeight="1" spans="1:4">
      <c r="A560" s="91"/>
      <c r="B560" s="92"/>
      <c r="C560" s="93"/>
      <c r="D560" s="93"/>
    </row>
    <row r="561" ht="15.75" customHeight="1" spans="1:4">
      <c r="A561" s="91"/>
      <c r="B561" s="92"/>
      <c r="C561" s="93"/>
      <c r="D561" s="93"/>
    </row>
    <row r="562" ht="15.75" customHeight="1" spans="1:4">
      <c r="A562" s="91"/>
      <c r="B562" s="92"/>
      <c r="C562" s="93"/>
      <c r="D562" s="93"/>
    </row>
    <row r="563" ht="15.75" customHeight="1" spans="1:4">
      <c r="A563" s="91"/>
      <c r="B563" s="92"/>
      <c r="C563" s="93"/>
      <c r="D563" s="93"/>
    </row>
    <row r="564" ht="15.75" customHeight="1" spans="1:4">
      <c r="A564" s="91"/>
      <c r="B564" s="92"/>
      <c r="C564" s="93"/>
      <c r="D564" s="93"/>
    </row>
    <row r="565" ht="15.75" customHeight="1" spans="1:4">
      <c r="A565" s="91"/>
      <c r="B565" s="92"/>
      <c r="C565" s="93"/>
      <c r="D565" s="93"/>
    </row>
    <row r="566" ht="15.75" customHeight="1" spans="1:4">
      <c r="A566" s="91"/>
      <c r="B566" s="92"/>
      <c r="C566" s="93"/>
      <c r="D566" s="93"/>
    </row>
    <row r="567" ht="15.75" customHeight="1" spans="1:4">
      <c r="A567" s="91"/>
      <c r="B567" s="92"/>
      <c r="C567" s="93"/>
      <c r="D567" s="93"/>
    </row>
    <row r="568" ht="15.75" customHeight="1" spans="1:4">
      <c r="A568" s="91"/>
      <c r="B568" s="92"/>
      <c r="C568" s="93"/>
      <c r="D568" s="93"/>
    </row>
    <row r="569" ht="15.75" customHeight="1" spans="1:4">
      <c r="A569" s="91"/>
      <c r="B569" s="92"/>
      <c r="C569" s="93"/>
      <c r="D569" s="93"/>
    </row>
    <row r="570" ht="15.75" customHeight="1" spans="1:4">
      <c r="A570" s="91"/>
      <c r="B570" s="92"/>
      <c r="C570" s="93"/>
      <c r="D570" s="93"/>
    </row>
    <row r="571" ht="15.75" customHeight="1" spans="1:4">
      <c r="A571" s="91"/>
      <c r="B571" s="92"/>
      <c r="C571" s="93"/>
      <c r="D571" s="93"/>
    </row>
    <row r="572" ht="15.75" customHeight="1" spans="1:4">
      <c r="A572" s="91"/>
      <c r="B572" s="92"/>
      <c r="C572" s="93"/>
      <c r="D572" s="93"/>
    </row>
    <row r="573" ht="15.75" customHeight="1" spans="1:4">
      <c r="A573" s="91"/>
      <c r="B573" s="92"/>
      <c r="C573" s="93"/>
      <c r="D573" s="93"/>
    </row>
    <row r="574" ht="15.75" customHeight="1" spans="1:4">
      <c r="A574" s="91"/>
      <c r="B574" s="92"/>
      <c r="C574" s="93"/>
      <c r="D574" s="93"/>
    </row>
    <row r="575" ht="15.75" customHeight="1" spans="1:4">
      <c r="A575" s="91"/>
      <c r="B575" s="92"/>
      <c r="C575" s="93"/>
      <c r="D575" s="93"/>
    </row>
    <row r="576" ht="15.75" customHeight="1" spans="1:4">
      <c r="A576" s="91"/>
      <c r="B576" s="92"/>
      <c r="C576" s="93"/>
      <c r="D576" s="93"/>
    </row>
    <row r="577" ht="15.75" customHeight="1" spans="1:4">
      <c r="A577" s="91"/>
      <c r="B577" s="92"/>
      <c r="C577" s="93"/>
      <c r="D577" s="93"/>
    </row>
    <row r="578" ht="15.75" customHeight="1" spans="1:4">
      <c r="A578" s="91"/>
      <c r="B578" s="92"/>
      <c r="C578" s="93"/>
      <c r="D578" s="93"/>
    </row>
    <row r="579" ht="15.75" customHeight="1" spans="1:4">
      <c r="A579" s="91"/>
      <c r="B579" s="92"/>
      <c r="C579" s="93"/>
      <c r="D579" s="93"/>
    </row>
    <row r="580" ht="15.75" customHeight="1" spans="1:4">
      <c r="A580" s="91"/>
      <c r="B580" s="92"/>
      <c r="C580" s="93"/>
      <c r="D580" s="93"/>
    </row>
    <row r="581" ht="15.75" customHeight="1" spans="1:4">
      <c r="A581" s="91"/>
      <c r="B581" s="92"/>
      <c r="C581" s="93"/>
      <c r="D581" s="93"/>
    </row>
    <row r="582" ht="15.75" customHeight="1" spans="1:4">
      <c r="A582" s="91"/>
      <c r="B582" s="92"/>
      <c r="C582" s="93"/>
      <c r="D582" s="93"/>
    </row>
    <row r="583" ht="15.75" customHeight="1" spans="1:4">
      <c r="A583" s="91"/>
      <c r="B583" s="92"/>
      <c r="C583" s="93"/>
      <c r="D583" s="93"/>
    </row>
    <row r="584" ht="15.75" customHeight="1" spans="1:4">
      <c r="A584" s="91"/>
      <c r="B584" s="92"/>
      <c r="C584" s="93"/>
      <c r="D584" s="93"/>
    </row>
    <row r="585" ht="15.75" customHeight="1" spans="1:4">
      <c r="A585" s="91"/>
      <c r="B585" s="92"/>
      <c r="C585" s="93"/>
      <c r="D585" s="93"/>
    </row>
    <row r="586" ht="15.75" customHeight="1" spans="1:4">
      <c r="A586" s="91"/>
      <c r="B586" s="92"/>
      <c r="C586" s="93"/>
      <c r="D586" s="93"/>
    </row>
    <row r="587" ht="15.75" customHeight="1" spans="1:4">
      <c r="A587" s="91"/>
      <c r="B587" s="92"/>
      <c r="C587" s="93"/>
      <c r="D587" s="93"/>
    </row>
    <row r="588" ht="15.75" customHeight="1" spans="1:4">
      <c r="A588" s="91"/>
      <c r="B588" s="92"/>
      <c r="C588" s="93"/>
      <c r="D588" s="93"/>
    </row>
    <row r="589" ht="15.75" customHeight="1" spans="1:4">
      <c r="A589" s="91"/>
      <c r="B589" s="92"/>
      <c r="C589" s="93"/>
      <c r="D589" s="93"/>
    </row>
    <row r="590" ht="15.75" customHeight="1" spans="1:4">
      <c r="A590" s="91"/>
      <c r="B590" s="92"/>
      <c r="C590" s="93"/>
      <c r="D590" s="93"/>
    </row>
    <row r="591" ht="15.75" customHeight="1" spans="1:4">
      <c r="A591" s="91"/>
      <c r="B591" s="92"/>
      <c r="C591" s="93"/>
      <c r="D591" s="93"/>
    </row>
    <row r="592" ht="15.75" customHeight="1" spans="1:4">
      <c r="A592" s="91"/>
      <c r="B592" s="92"/>
      <c r="C592" s="93"/>
      <c r="D592" s="93"/>
    </row>
    <row r="593" ht="15.75" customHeight="1" spans="1:4">
      <c r="A593" s="91"/>
      <c r="B593" s="92"/>
      <c r="C593" s="93"/>
      <c r="D593" s="93"/>
    </row>
    <row r="594" ht="15.75" customHeight="1" spans="1:4">
      <c r="A594" s="91"/>
      <c r="B594" s="92"/>
      <c r="C594" s="93"/>
      <c r="D594" s="93"/>
    </row>
    <row r="595" ht="15.75" customHeight="1" spans="1:4">
      <c r="A595" s="91"/>
      <c r="B595" s="92"/>
      <c r="C595" s="93"/>
      <c r="D595" s="93"/>
    </row>
    <row r="596" ht="15.75" customHeight="1" spans="1:4">
      <c r="A596" s="91"/>
      <c r="B596" s="92"/>
      <c r="C596" s="93"/>
      <c r="D596" s="93"/>
    </row>
    <row r="597" ht="15.75" customHeight="1" spans="1:4">
      <c r="A597" s="91"/>
      <c r="B597" s="92"/>
      <c r="C597" s="93"/>
      <c r="D597" s="93"/>
    </row>
    <row r="598" ht="15.75" customHeight="1" spans="1:4">
      <c r="A598" s="91"/>
      <c r="B598" s="92"/>
      <c r="C598" s="93"/>
      <c r="D598" s="93"/>
    </row>
    <row r="599" ht="15.75" customHeight="1" spans="1:4">
      <c r="A599" s="91"/>
      <c r="B599" s="92"/>
      <c r="C599" s="93"/>
      <c r="D599" s="93"/>
    </row>
    <row r="600" ht="15.75" customHeight="1" spans="1:4">
      <c r="A600" s="91"/>
      <c r="B600" s="92"/>
      <c r="C600" s="93"/>
      <c r="D600" s="93"/>
    </row>
    <row r="601" ht="15.75" customHeight="1" spans="1:4">
      <c r="A601" s="91"/>
      <c r="B601" s="92"/>
      <c r="C601" s="93"/>
      <c r="D601" s="93"/>
    </row>
    <row r="602" ht="15.75" customHeight="1" spans="1:4">
      <c r="A602" s="91"/>
      <c r="B602" s="92"/>
      <c r="C602" s="93"/>
      <c r="D602" s="93"/>
    </row>
    <row r="603" ht="15.75" customHeight="1" spans="1:4">
      <c r="A603" s="91"/>
      <c r="B603" s="92"/>
      <c r="C603" s="93"/>
      <c r="D603" s="93"/>
    </row>
    <row r="604" ht="15.75" customHeight="1" spans="1:4">
      <c r="A604" s="91"/>
      <c r="B604" s="92"/>
      <c r="C604" s="93"/>
      <c r="D604" s="93"/>
    </row>
    <row r="605" ht="15.75" customHeight="1" spans="1:4">
      <c r="A605" s="91"/>
      <c r="B605" s="92"/>
      <c r="C605" s="93"/>
      <c r="D605" s="93"/>
    </row>
    <row r="606" ht="15.75" customHeight="1" spans="1:4">
      <c r="A606" s="91"/>
      <c r="B606" s="92"/>
      <c r="C606" s="93"/>
      <c r="D606" s="93"/>
    </row>
    <row r="607" ht="15.75" customHeight="1" spans="1:4">
      <c r="A607" s="91"/>
      <c r="B607" s="92"/>
      <c r="C607" s="93"/>
      <c r="D607" s="93"/>
    </row>
    <row r="608" ht="15.75" customHeight="1" spans="1:4">
      <c r="A608" s="91"/>
      <c r="B608" s="92"/>
      <c r="C608" s="93"/>
      <c r="D608" s="93"/>
    </row>
    <row r="609" ht="15.75" customHeight="1" spans="1:4">
      <c r="A609" s="91"/>
      <c r="B609" s="92"/>
      <c r="C609" s="93"/>
      <c r="D609" s="93"/>
    </row>
    <row r="610" ht="15.75" customHeight="1" spans="1:4">
      <c r="A610" s="91"/>
      <c r="B610" s="92"/>
      <c r="C610" s="93"/>
      <c r="D610" s="93"/>
    </row>
    <row r="611" ht="15.75" customHeight="1" spans="1:4">
      <c r="A611" s="91"/>
      <c r="B611" s="92"/>
      <c r="C611" s="93"/>
      <c r="D611" s="93"/>
    </row>
    <row r="612" ht="15.75" customHeight="1" spans="1:4">
      <c r="A612" s="91"/>
      <c r="B612" s="92"/>
      <c r="C612" s="93"/>
      <c r="D612" s="93"/>
    </row>
    <row r="613" ht="15.75" customHeight="1" spans="1:4">
      <c r="A613" s="91"/>
      <c r="B613" s="92"/>
      <c r="C613" s="93"/>
      <c r="D613" s="93"/>
    </row>
    <row r="614" ht="15.75" customHeight="1" spans="1:4">
      <c r="A614" s="91"/>
      <c r="B614" s="92"/>
      <c r="C614" s="93"/>
      <c r="D614" s="93"/>
    </row>
    <row r="615" ht="15.75" customHeight="1" spans="1:4">
      <c r="A615" s="91"/>
      <c r="B615" s="92"/>
      <c r="C615" s="93"/>
      <c r="D615" s="93"/>
    </row>
    <row r="616" ht="15.75" customHeight="1" spans="1:4">
      <c r="A616" s="91"/>
      <c r="B616" s="92"/>
      <c r="C616" s="93"/>
      <c r="D616" s="93"/>
    </row>
    <row r="617" ht="15.75" customHeight="1" spans="1:4">
      <c r="A617" s="91"/>
      <c r="B617" s="92"/>
      <c r="C617" s="93"/>
      <c r="D617" s="93"/>
    </row>
    <row r="618" ht="15.75" customHeight="1" spans="1:4">
      <c r="A618" s="91"/>
      <c r="B618" s="92"/>
      <c r="C618" s="93"/>
      <c r="D618" s="93"/>
    </row>
    <row r="619" ht="15.75" customHeight="1" spans="1:4">
      <c r="A619" s="91"/>
      <c r="B619" s="92"/>
      <c r="C619" s="93"/>
      <c r="D619" s="93"/>
    </row>
    <row r="620" ht="15.75" customHeight="1" spans="1:4">
      <c r="A620" s="91"/>
      <c r="B620" s="92"/>
      <c r="C620" s="93"/>
      <c r="D620" s="93"/>
    </row>
    <row r="621" ht="15.75" customHeight="1" spans="1:4">
      <c r="A621" s="91"/>
      <c r="B621" s="92"/>
      <c r="C621" s="93"/>
      <c r="D621" s="93"/>
    </row>
    <row r="622" ht="15.75" customHeight="1" spans="1:4">
      <c r="A622" s="91"/>
      <c r="B622" s="92"/>
      <c r="C622" s="93"/>
      <c r="D622" s="93"/>
    </row>
    <row r="623" ht="15.75" customHeight="1" spans="1:4">
      <c r="A623" s="91"/>
      <c r="B623" s="92"/>
      <c r="C623" s="93"/>
      <c r="D623" s="93"/>
    </row>
    <row r="624" ht="15.75" customHeight="1" spans="1:4">
      <c r="A624" s="91"/>
      <c r="B624" s="92"/>
      <c r="C624" s="93"/>
      <c r="D624" s="93"/>
    </row>
    <row r="625" ht="15.75" customHeight="1" spans="1:4">
      <c r="A625" s="91"/>
      <c r="B625" s="92"/>
      <c r="C625" s="93"/>
      <c r="D625" s="93"/>
    </row>
    <row r="626" ht="15.75" customHeight="1" spans="1:4">
      <c r="A626" s="91"/>
      <c r="B626" s="92"/>
      <c r="C626" s="93"/>
      <c r="D626" s="93"/>
    </row>
    <row r="627" ht="15.75" customHeight="1" spans="1:4">
      <c r="A627" s="91"/>
      <c r="B627" s="92"/>
      <c r="C627" s="93"/>
      <c r="D627" s="93"/>
    </row>
    <row r="628" ht="15.75" customHeight="1" spans="1:4">
      <c r="A628" s="91"/>
      <c r="B628" s="92"/>
      <c r="C628" s="93"/>
      <c r="D628" s="93"/>
    </row>
    <row r="629" ht="15.75" customHeight="1" spans="1:4">
      <c r="A629" s="91"/>
      <c r="B629" s="92"/>
      <c r="C629" s="93"/>
      <c r="D629" s="93"/>
    </row>
    <row r="630" ht="15.75" customHeight="1" spans="1:4">
      <c r="A630" s="91"/>
      <c r="B630" s="92"/>
      <c r="C630" s="93"/>
      <c r="D630" s="93"/>
    </row>
    <row r="631" ht="15.75" customHeight="1" spans="1:4">
      <c r="A631" s="91"/>
      <c r="B631" s="92"/>
      <c r="C631" s="93"/>
      <c r="D631" s="93"/>
    </row>
    <row r="632" ht="15.75" customHeight="1" spans="1:4">
      <c r="A632" s="91"/>
      <c r="B632" s="92"/>
      <c r="C632" s="93"/>
      <c r="D632" s="93"/>
    </row>
    <row r="633" ht="15.75" customHeight="1" spans="1:4">
      <c r="A633" s="91"/>
      <c r="B633" s="92"/>
      <c r="C633" s="93"/>
      <c r="D633" s="93"/>
    </row>
    <row r="634" ht="15.75" customHeight="1" spans="1:4">
      <c r="A634" s="91"/>
      <c r="B634" s="92"/>
      <c r="C634" s="93"/>
      <c r="D634" s="93"/>
    </row>
    <row r="635" ht="15.75" customHeight="1" spans="1:4">
      <c r="A635" s="91"/>
      <c r="B635" s="92"/>
      <c r="C635" s="93"/>
      <c r="D635" s="93"/>
    </row>
    <row r="636" ht="15.75" customHeight="1" spans="1:4">
      <c r="A636" s="91"/>
      <c r="B636" s="92"/>
      <c r="C636" s="93"/>
      <c r="D636" s="93"/>
    </row>
    <row r="637" ht="15.75" customHeight="1" spans="1:4">
      <c r="A637" s="91"/>
      <c r="B637" s="92"/>
      <c r="C637" s="93"/>
      <c r="D637" s="93"/>
    </row>
    <row r="638" ht="15.75" customHeight="1" spans="1:4">
      <c r="A638" s="91"/>
      <c r="B638" s="92"/>
      <c r="C638" s="93"/>
      <c r="D638" s="93"/>
    </row>
    <row r="639" ht="15.75" customHeight="1" spans="1:4">
      <c r="A639" s="91"/>
      <c r="B639" s="92"/>
      <c r="C639" s="93"/>
      <c r="D639" s="93"/>
    </row>
    <row r="640" ht="15.75" customHeight="1" spans="1:4">
      <c r="A640" s="91"/>
      <c r="B640" s="92"/>
      <c r="C640" s="93"/>
      <c r="D640" s="93"/>
    </row>
    <row r="641" ht="15.75" customHeight="1" spans="1:4">
      <c r="A641" s="91"/>
      <c r="B641" s="92"/>
      <c r="C641" s="93"/>
      <c r="D641" s="93"/>
    </row>
    <row r="642" ht="15.75" customHeight="1" spans="1:4">
      <c r="A642" s="91"/>
      <c r="B642" s="92"/>
      <c r="C642" s="93"/>
      <c r="D642" s="93"/>
    </row>
    <row r="643" ht="15.75" customHeight="1" spans="1:4">
      <c r="A643" s="91"/>
      <c r="B643" s="92"/>
      <c r="C643" s="93"/>
      <c r="D643" s="93"/>
    </row>
    <row r="644" ht="15.75" customHeight="1" spans="1:4">
      <c r="A644" s="91"/>
      <c r="B644" s="92"/>
      <c r="C644" s="93"/>
      <c r="D644" s="93"/>
    </row>
    <row r="645" ht="15.75" customHeight="1" spans="1:4">
      <c r="A645" s="91"/>
      <c r="B645" s="92"/>
      <c r="C645" s="93"/>
      <c r="D645" s="93"/>
    </row>
    <row r="646" ht="15.75" customHeight="1" spans="1:4">
      <c r="A646" s="91"/>
      <c r="B646" s="92"/>
      <c r="C646" s="93"/>
      <c r="D646" s="93"/>
    </row>
    <row r="647" ht="15.75" customHeight="1" spans="1:4">
      <c r="A647" s="91"/>
      <c r="B647" s="92"/>
      <c r="C647" s="93"/>
      <c r="D647" s="93"/>
    </row>
    <row r="648" ht="15.75" customHeight="1" spans="1:4">
      <c r="A648" s="91"/>
      <c r="B648" s="92"/>
      <c r="C648" s="93"/>
      <c r="D648" s="93"/>
    </row>
    <row r="649" ht="15.75" customHeight="1" spans="1:4">
      <c r="A649" s="91"/>
      <c r="B649" s="92"/>
      <c r="C649" s="93"/>
      <c r="D649" s="93"/>
    </row>
    <row r="650" ht="15.75" customHeight="1" spans="1:4">
      <c r="A650" s="91"/>
      <c r="B650" s="92"/>
      <c r="C650" s="93"/>
      <c r="D650" s="93"/>
    </row>
    <row r="651" ht="15.75" customHeight="1" spans="1:4">
      <c r="A651" s="91"/>
      <c r="B651" s="92"/>
      <c r="C651" s="93"/>
      <c r="D651" s="93"/>
    </row>
    <row r="652" ht="15.75" customHeight="1" spans="1:4">
      <c r="A652" s="91"/>
      <c r="B652" s="92"/>
      <c r="C652" s="93"/>
      <c r="D652" s="93"/>
    </row>
    <row r="653" ht="15.75" customHeight="1" spans="1:4">
      <c r="A653" s="91"/>
      <c r="B653" s="92"/>
      <c r="C653" s="93"/>
      <c r="D653" s="93"/>
    </row>
    <row r="654" ht="15.75" customHeight="1" spans="1:4">
      <c r="A654" s="91"/>
      <c r="B654" s="92"/>
      <c r="C654" s="93"/>
      <c r="D654" s="93"/>
    </row>
    <row r="655" ht="15.75" customHeight="1" spans="1:4">
      <c r="A655" s="91"/>
      <c r="B655" s="92"/>
      <c r="C655" s="93"/>
      <c r="D655" s="93"/>
    </row>
    <row r="656" ht="15.75" customHeight="1" spans="1:4">
      <c r="A656" s="91"/>
      <c r="B656" s="92"/>
      <c r="C656" s="93"/>
      <c r="D656" s="93"/>
    </row>
    <row r="657" ht="15.75" customHeight="1" spans="1:4">
      <c r="A657" s="91"/>
      <c r="B657" s="92"/>
      <c r="C657" s="93"/>
      <c r="D657" s="93"/>
    </row>
    <row r="658" ht="15.75" customHeight="1" spans="1:4">
      <c r="A658" s="91"/>
      <c r="B658" s="92"/>
      <c r="C658" s="93"/>
      <c r="D658" s="93"/>
    </row>
    <row r="659" ht="15.75" customHeight="1" spans="1:4">
      <c r="A659" s="91"/>
      <c r="B659" s="92"/>
      <c r="C659" s="93"/>
      <c r="D659" s="93"/>
    </row>
    <row r="660" ht="15.75" customHeight="1" spans="1:4">
      <c r="A660" s="91"/>
      <c r="B660" s="92"/>
      <c r="C660" s="93"/>
      <c r="D660" s="93"/>
    </row>
    <row r="661" ht="15.75" customHeight="1" spans="1:4">
      <c r="A661" s="91"/>
      <c r="B661" s="92"/>
      <c r="C661" s="93"/>
      <c r="D661" s="93"/>
    </row>
    <row r="662" ht="15.75" customHeight="1" spans="1:4">
      <c r="A662" s="91"/>
      <c r="B662" s="92"/>
      <c r="C662" s="93"/>
      <c r="D662" s="93"/>
    </row>
    <row r="663" ht="15.75" customHeight="1" spans="1:4">
      <c r="A663" s="91"/>
      <c r="B663" s="92"/>
      <c r="C663" s="93"/>
      <c r="D663" s="93"/>
    </row>
    <row r="664" ht="15.75" customHeight="1" spans="1:4">
      <c r="A664" s="91"/>
      <c r="B664" s="92"/>
      <c r="C664" s="93"/>
      <c r="D664" s="93"/>
    </row>
    <row r="665" ht="15.75" customHeight="1" spans="1:4">
      <c r="A665" s="91"/>
      <c r="B665" s="92"/>
      <c r="C665" s="93"/>
      <c r="D665" s="93"/>
    </row>
    <row r="666" ht="15.75" customHeight="1" spans="1:4">
      <c r="A666" s="91"/>
      <c r="B666" s="92"/>
      <c r="C666" s="93"/>
      <c r="D666" s="93"/>
    </row>
    <row r="667" ht="15.75" customHeight="1" spans="1:4">
      <c r="A667" s="91"/>
      <c r="B667" s="92"/>
      <c r="C667" s="93"/>
      <c r="D667" s="93"/>
    </row>
    <row r="668" ht="15.75" customHeight="1" spans="1:4">
      <c r="A668" s="91"/>
      <c r="B668" s="92"/>
      <c r="C668" s="93"/>
      <c r="D668" s="93"/>
    </row>
    <row r="669" ht="15.75" customHeight="1" spans="1:4">
      <c r="A669" s="91"/>
      <c r="B669" s="92"/>
      <c r="C669" s="93"/>
      <c r="D669" s="93"/>
    </row>
    <row r="670" ht="15.75" customHeight="1" spans="1:4">
      <c r="A670" s="91"/>
      <c r="B670" s="92"/>
      <c r="C670" s="93"/>
      <c r="D670" s="93"/>
    </row>
    <row r="671" ht="15.75" customHeight="1" spans="1:4">
      <c r="A671" s="91"/>
      <c r="B671" s="92"/>
      <c r="C671" s="93"/>
      <c r="D671" s="93"/>
    </row>
    <row r="672" ht="15.75" customHeight="1" spans="1:4">
      <c r="A672" s="91"/>
      <c r="B672" s="92"/>
      <c r="C672" s="93"/>
      <c r="D672" s="93"/>
    </row>
    <row r="673" ht="15.75" customHeight="1" spans="1:4">
      <c r="A673" s="91"/>
      <c r="B673" s="92"/>
      <c r="C673" s="93"/>
      <c r="D673" s="93"/>
    </row>
    <row r="674" ht="15.75" customHeight="1" spans="1:4">
      <c r="A674" s="91"/>
      <c r="B674" s="92"/>
      <c r="C674" s="93"/>
      <c r="D674" s="93"/>
    </row>
    <row r="675" ht="15.75" customHeight="1" spans="1:4">
      <c r="A675" s="91"/>
      <c r="B675" s="92"/>
      <c r="C675" s="93"/>
      <c r="D675" s="93"/>
    </row>
    <row r="676" ht="15.75" customHeight="1" spans="1:4">
      <c r="A676" s="91"/>
      <c r="B676" s="92"/>
      <c r="C676" s="93"/>
      <c r="D676" s="93"/>
    </row>
    <row r="677" ht="15.75" customHeight="1" spans="1:4">
      <c r="A677" s="91"/>
      <c r="B677" s="92"/>
      <c r="C677" s="93"/>
      <c r="D677" s="93"/>
    </row>
    <row r="678" ht="15.75" customHeight="1" spans="1:4">
      <c r="A678" s="91"/>
      <c r="B678" s="92"/>
      <c r="C678" s="93"/>
      <c r="D678" s="93"/>
    </row>
    <row r="679" ht="15.75" customHeight="1" spans="1:4">
      <c r="A679" s="91"/>
      <c r="B679" s="92"/>
      <c r="C679" s="93"/>
      <c r="D679" s="93"/>
    </row>
    <row r="680" ht="15.75" customHeight="1" spans="1:4">
      <c r="A680" s="91"/>
      <c r="B680" s="92"/>
      <c r="C680" s="93"/>
      <c r="D680" s="93"/>
    </row>
    <row r="681" ht="15.75" customHeight="1" spans="1:4">
      <c r="A681" s="91"/>
      <c r="B681" s="92"/>
      <c r="C681" s="93"/>
      <c r="D681" s="93"/>
    </row>
    <row r="682" ht="15.75" customHeight="1" spans="1:4">
      <c r="A682" s="91"/>
      <c r="B682" s="92"/>
      <c r="C682" s="93"/>
      <c r="D682" s="93"/>
    </row>
    <row r="683" ht="15.75" customHeight="1" spans="1:4">
      <c r="A683" s="91"/>
      <c r="B683" s="92"/>
      <c r="C683" s="93"/>
      <c r="D683" s="93"/>
    </row>
    <row r="684" ht="15.75" customHeight="1" spans="1:4">
      <c r="A684" s="91"/>
      <c r="B684" s="92"/>
      <c r="C684" s="93"/>
      <c r="D684" s="93"/>
    </row>
    <row r="685" ht="15.75" customHeight="1" spans="1:4">
      <c r="A685" s="91"/>
      <c r="B685" s="92"/>
      <c r="C685" s="93"/>
      <c r="D685" s="93"/>
    </row>
    <row r="686" ht="15.75" customHeight="1" spans="1:4">
      <c r="A686" s="91"/>
      <c r="B686" s="92"/>
      <c r="C686" s="93"/>
      <c r="D686" s="93"/>
    </row>
    <row r="687" ht="15.75" customHeight="1" spans="1:4">
      <c r="A687" s="91"/>
      <c r="B687" s="92"/>
      <c r="C687" s="93"/>
      <c r="D687" s="93"/>
    </row>
    <row r="688" ht="15.75" customHeight="1" spans="1:4">
      <c r="A688" s="91"/>
      <c r="B688" s="92"/>
      <c r="C688" s="93"/>
      <c r="D688" s="93"/>
    </row>
    <row r="689" ht="15.75" customHeight="1" spans="1:4">
      <c r="A689" s="91"/>
      <c r="B689" s="92"/>
      <c r="C689" s="93"/>
      <c r="D689" s="93"/>
    </row>
    <row r="690" ht="15.75" customHeight="1" spans="1:4">
      <c r="A690" s="91"/>
      <c r="B690" s="92"/>
      <c r="C690" s="93"/>
      <c r="D690" s="93"/>
    </row>
    <row r="691" ht="15.75" customHeight="1" spans="1:4">
      <c r="A691" s="91"/>
      <c r="B691" s="92"/>
      <c r="C691" s="93"/>
      <c r="D691" s="93"/>
    </row>
    <row r="692" ht="15.75" customHeight="1" spans="1:4">
      <c r="A692" s="91"/>
      <c r="B692" s="92"/>
      <c r="C692" s="93"/>
      <c r="D692" s="93"/>
    </row>
    <row r="693" ht="15.75" customHeight="1" spans="1:4">
      <c r="A693" s="91"/>
      <c r="B693" s="92"/>
      <c r="C693" s="93"/>
      <c r="D693" s="93"/>
    </row>
    <row r="694" ht="15.75" customHeight="1" spans="1:4">
      <c r="A694" s="91"/>
      <c r="B694" s="92"/>
      <c r="C694" s="93"/>
      <c r="D694" s="93"/>
    </row>
    <row r="695" ht="15.75" customHeight="1" spans="1:4">
      <c r="A695" s="91"/>
      <c r="B695" s="92"/>
      <c r="C695" s="93"/>
      <c r="D695" s="93"/>
    </row>
    <row r="696" ht="15.75" customHeight="1" spans="1:4">
      <c r="A696" s="91"/>
      <c r="B696" s="92"/>
      <c r="C696" s="93"/>
      <c r="D696" s="93"/>
    </row>
    <row r="697" ht="15.75" customHeight="1" spans="1:4">
      <c r="A697" s="91"/>
      <c r="B697" s="92"/>
      <c r="C697" s="93"/>
      <c r="D697" s="93"/>
    </row>
    <row r="698" ht="15.75" customHeight="1" spans="1:4">
      <c r="A698" s="91"/>
      <c r="B698" s="92"/>
      <c r="C698" s="93"/>
      <c r="D698" s="93"/>
    </row>
    <row r="699" ht="15.75" customHeight="1" spans="1:4">
      <c r="A699" s="91"/>
      <c r="B699" s="92"/>
      <c r="C699" s="93"/>
      <c r="D699" s="93"/>
    </row>
    <row r="700" ht="15.75" customHeight="1" spans="1:4">
      <c r="A700" s="91"/>
      <c r="B700" s="92"/>
      <c r="C700" s="93"/>
      <c r="D700" s="93"/>
    </row>
    <row r="701" ht="15.75" customHeight="1" spans="1:4">
      <c r="A701" s="91"/>
      <c r="B701" s="92"/>
      <c r="C701" s="93"/>
      <c r="D701" s="93"/>
    </row>
    <row r="702" ht="15.75" customHeight="1" spans="1:4">
      <c r="A702" s="91"/>
      <c r="B702" s="92"/>
      <c r="C702" s="93"/>
      <c r="D702" s="93"/>
    </row>
    <row r="703" ht="15.75" customHeight="1" spans="1:4">
      <c r="A703" s="91"/>
      <c r="B703" s="92"/>
      <c r="C703" s="93"/>
      <c r="D703" s="93"/>
    </row>
    <row r="704" ht="15.75" customHeight="1" spans="1:4">
      <c r="A704" s="91"/>
      <c r="B704" s="92"/>
      <c r="C704" s="93"/>
      <c r="D704" s="93"/>
    </row>
    <row r="705" ht="15.75" customHeight="1" spans="1:4">
      <c r="A705" s="91"/>
      <c r="B705" s="92"/>
      <c r="C705" s="93"/>
      <c r="D705" s="93"/>
    </row>
    <row r="706" ht="15.75" customHeight="1" spans="1:4">
      <c r="A706" s="91"/>
      <c r="B706" s="92"/>
      <c r="C706" s="93"/>
      <c r="D706" s="93"/>
    </row>
    <row r="707" ht="15.75" customHeight="1" spans="1:4">
      <c r="A707" s="91"/>
      <c r="B707" s="92"/>
      <c r="C707" s="93"/>
      <c r="D707" s="93"/>
    </row>
    <row r="708" ht="15.75" customHeight="1" spans="1:4">
      <c r="A708" s="91"/>
      <c r="B708" s="92"/>
      <c r="C708" s="93"/>
      <c r="D708" s="93"/>
    </row>
    <row r="709" ht="15.75" customHeight="1" spans="1:4">
      <c r="A709" s="91"/>
      <c r="B709" s="92"/>
      <c r="C709" s="93"/>
      <c r="D709" s="93"/>
    </row>
    <row r="710" ht="15.75" customHeight="1" spans="1:4">
      <c r="A710" s="91"/>
      <c r="B710" s="92"/>
      <c r="C710" s="93"/>
      <c r="D710" s="93"/>
    </row>
    <row r="711" ht="15.75" customHeight="1" spans="1:4">
      <c r="A711" s="91"/>
      <c r="B711" s="92"/>
      <c r="C711" s="93"/>
      <c r="D711" s="93"/>
    </row>
    <row r="712" ht="15.75" customHeight="1" spans="1:4">
      <c r="A712" s="91"/>
      <c r="B712" s="92"/>
      <c r="C712" s="93"/>
      <c r="D712" s="93"/>
    </row>
    <row r="713" ht="15.75" customHeight="1" spans="1:4">
      <c r="A713" s="91"/>
      <c r="B713" s="92"/>
      <c r="C713" s="93"/>
      <c r="D713" s="93"/>
    </row>
    <row r="714" ht="15.75" customHeight="1" spans="1:4">
      <c r="A714" s="91"/>
      <c r="B714" s="92"/>
      <c r="C714" s="93"/>
      <c r="D714" s="93"/>
    </row>
    <row r="715" ht="15.75" customHeight="1" spans="1:4">
      <c r="A715" s="91"/>
      <c r="B715" s="92"/>
      <c r="C715" s="93"/>
      <c r="D715" s="93"/>
    </row>
    <row r="716" ht="15.75" customHeight="1" spans="1:4">
      <c r="A716" s="91"/>
      <c r="B716" s="92"/>
      <c r="C716" s="93"/>
      <c r="D716" s="93"/>
    </row>
    <row r="717" ht="15.75" customHeight="1" spans="1:4">
      <c r="A717" s="91"/>
      <c r="B717" s="92"/>
      <c r="C717" s="93"/>
      <c r="D717" s="93"/>
    </row>
    <row r="718" ht="15.75" customHeight="1" spans="1:4">
      <c r="A718" s="91"/>
      <c r="B718" s="92"/>
      <c r="C718" s="93"/>
      <c r="D718" s="93"/>
    </row>
    <row r="719" ht="15.75" customHeight="1" spans="1:4">
      <c r="A719" s="91"/>
      <c r="B719" s="92"/>
      <c r="C719" s="93"/>
      <c r="D719" s="93"/>
    </row>
    <row r="720" ht="15.75" customHeight="1" spans="1:4">
      <c r="A720" s="91"/>
      <c r="B720" s="92"/>
      <c r="C720" s="93"/>
      <c r="D720" s="93"/>
    </row>
    <row r="721" ht="15.75" customHeight="1" spans="1:4">
      <c r="A721" s="91"/>
      <c r="B721" s="92"/>
      <c r="C721" s="93"/>
      <c r="D721" s="93"/>
    </row>
    <row r="722" ht="15.75" customHeight="1" spans="1:4">
      <c r="A722" s="91"/>
      <c r="B722" s="92"/>
      <c r="C722" s="93"/>
      <c r="D722" s="93"/>
    </row>
    <row r="723" ht="15.75" customHeight="1" spans="1:4">
      <c r="A723" s="91"/>
      <c r="B723" s="92"/>
      <c r="C723" s="93"/>
      <c r="D723" s="93"/>
    </row>
    <row r="724" ht="15.75" customHeight="1" spans="1:4">
      <c r="A724" s="91"/>
      <c r="B724" s="92"/>
      <c r="C724" s="93"/>
      <c r="D724" s="93"/>
    </row>
    <row r="725" ht="15.75" customHeight="1" spans="1:4">
      <c r="A725" s="91"/>
      <c r="B725" s="92"/>
      <c r="C725" s="93"/>
      <c r="D725" s="93"/>
    </row>
    <row r="726" ht="15.75" customHeight="1" spans="1:4">
      <c r="A726" s="91"/>
      <c r="B726" s="92"/>
      <c r="C726" s="93"/>
      <c r="D726" s="93"/>
    </row>
    <row r="727" ht="15.75" customHeight="1" spans="1:4">
      <c r="A727" s="91"/>
      <c r="B727" s="92"/>
      <c r="C727" s="93"/>
      <c r="D727" s="93"/>
    </row>
    <row r="728" ht="15.75" customHeight="1" spans="1:4">
      <c r="A728" s="91"/>
      <c r="B728" s="92"/>
      <c r="C728" s="93"/>
      <c r="D728" s="93"/>
    </row>
    <row r="729" ht="15.75" customHeight="1" spans="1:4">
      <c r="A729" s="91"/>
      <c r="B729" s="92"/>
      <c r="C729" s="93"/>
      <c r="D729" s="93"/>
    </row>
    <row r="730" ht="15.75" customHeight="1" spans="1:4">
      <c r="A730" s="91"/>
      <c r="B730" s="92"/>
      <c r="C730" s="93"/>
      <c r="D730" s="93"/>
    </row>
    <row r="731" ht="15.75" customHeight="1" spans="1:4">
      <c r="A731" s="91"/>
      <c r="B731" s="92"/>
      <c r="C731" s="93"/>
      <c r="D731" s="93"/>
    </row>
    <row r="732" ht="15.75" customHeight="1" spans="1:4">
      <c r="A732" s="91"/>
      <c r="B732" s="92"/>
      <c r="C732" s="93"/>
      <c r="D732" s="93"/>
    </row>
    <row r="733" ht="15.75" customHeight="1" spans="1:4">
      <c r="A733" s="91"/>
      <c r="B733" s="92"/>
      <c r="C733" s="93"/>
      <c r="D733" s="93"/>
    </row>
    <row r="734" ht="15.75" customHeight="1" spans="1:4">
      <c r="A734" s="91"/>
      <c r="B734" s="92"/>
      <c r="C734" s="93"/>
      <c r="D734" s="93"/>
    </row>
    <row r="735" ht="15.75" customHeight="1" spans="1:4">
      <c r="A735" s="91"/>
      <c r="B735" s="92"/>
      <c r="C735" s="93"/>
      <c r="D735" s="93"/>
    </row>
    <row r="736" ht="15.75" customHeight="1" spans="1:4">
      <c r="A736" s="91"/>
      <c r="B736" s="92"/>
      <c r="C736" s="93"/>
      <c r="D736" s="93"/>
    </row>
    <row r="737" ht="15.75" customHeight="1" spans="1:4">
      <c r="A737" s="91"/>
      <c r="B737" s="92"/>
      <c r="C737" s="93"/>
      <c r="D737" s="93"/>
    </row>
    <row r="738" ht="15.75" customHeight="1" spans="1:4">
      <c r="A738" s="91"/>
      <c r="B738" s="92"/>
      <c r="C738" s="93"/>
      <c r="D738" s="93"/>
    </row>
    <row r="739" ht="15.75" customHeight="1" spans="1:4">
      <c r="A739" s="91"/>
      <c r="B739" s="92"/>
      <c r="C739" s="93"/>
      <c r="D739" s="93"/>
    </row>
    <row r="740" ht="15.75" customHeight="1" spans="1:4">
      <c r="A740" s="91"/>
      <c r="B740" s="92"/>
      <c r="C740" s="93"/>
      <c r="D740" s="93"/>
    </row>
    <row r="741" ht="15.75" customHeight="1" spans="1:4">
      <c r="A741" s="91"/>
      <c r="B741" s="92"/>
      <c r="C741" s="93"/>
      <c r="D741" s="93"/>
    </row>
    <row r="742" ht="15.75" customHeight="1" spans="1:4">
      <c r="A742" s="91"/>
      <c r="B742" s="92"/>
      <c r="C742" s="93"/>
      <c r="D742" s="93"/>
    </row>
    <row r="743" ht="15.75" customHeight="1" spans="1:4">
      <c r="A743" s="91"/>
      <c r="B743" s="92"/>
      <c r="C743" s="93"/>
      <c r="D743" s="93"/>
    </row>
    <row r="744" ht="15.75" customHeight="1" spans="1:4">
      <c r="A744" s="91"/>
      <c r="B744" s="92"/>
      <c r="C744" s="93"/>
      <c r="D744" s="93"/>
    </row>
    <row r="745" ht="15.75" customHeight="1" spans="1:4">
      <c r="A745" s="91"/>
      <c r="B745" s="92"/>
      <c r="C745" s="93"/>
      <c r="D745" s="93"/>
    </row>
    <row r="746" ht="15.75" customHeight="1" spans="1:4">
      <c r="A746" s="91"/>
      <c r="B746" s="92"/>
      <c r="C746" s="93"/>
      <c r="D746" s="93"/>
    </row>
    <row r="747" ht="15.75" customHeight="1" spans="1:4">
      <c r="A747" s="91"/>
      <c r="B747" s="92"/>
      <c r="C747" s="93"/>
      <c r="D747" s="93"/>
    </row>
    <row r="748" ht="15.75" customHeight="1" spans="1:4">
      <c r="A748" s="91"/>
      <c r="B748" s="92"/>
      <c r="C748" s="93"/>
      <c r="D748" s="93"/>
    </row>
    <row r="749" ht="15.75" customHeight="1" spans="1:4">
      <c r="A749" s="91"/>
      <c r="B749" s="92"/>
      <c r="C749" s="93"/>
      <c r="D749" s="93"/>
    </row>
    <row r="750" ht="15.75" customHeight="1" spans="1:4">
      <c r="A750" s="91"/>
      <c r="B750" s="92"/>
      <c r="C750" s="93"/>
      <c r="D750" s="93"/>
    </row>
    <row r="751" ht="15.75" customHeight="1" spans="1:4">
      <c r="A751" s="91"/>
      <c r="B751" s="92"/>
      <c r="C751" s="93"/>
      <c r="D751" s="93"/>
    </row>
    <row r="752" ht="15.75" customHeight="1" spans="1:4">
      <c r="A752" s="91"/>
      <c r="B752" s="92"/>
      <c r="C752" s="93"/>
      <c r="D752" s="93"/>
    </row>
    <row r="753" ht="15.75" customHeight="1" spans="1:4">
      <c r="A753" s="91"/>
      <c r="B753" s="92"/>
      <c r="C753" s="93"/>
      <c r="D753" s="93"/>
    </row>
    <row r="754" ht="15.75" customHeight="1" spans="1:4">
      <c r="A754" s="91"/>
      <c r="B754" s="92"/>
      <c r="C754" s="93"/>
      <c r="D754" s="93"/>
    </row>
    <row r="755" ht="15.75" customHeight="1" spans="1:4">
      <c r="A755" s="91"/>
      <c r="B755" s="92"/>
      <c r="C755" s="93"/>
      <c r="D755" s="93"/>
    </row>
    <row r="756" ht="15.75" customHeight="1" spans="1:4">
      <c r="A756" s="91"/>
      <c r="B756" s="92"/>
      <c r="C756" s="93"/>
      <c r="D756" s="93"/>
    </row>
    <row r="757" ht="15.75" customHeight="1" spans="1:4">
      <c r="A757" s="91"/>
      <c r="B757" s="92"/>
      <c r="C757" s="93"/>
      <c r="D757" s="93"/>
    </row>
    <row r="758" ht="15.75" customHeight="1" spans="1:4">
      <c r="A758" s="91"/>
      <c r="B758" s="92"/>
      <c r="C758" s="93"/>
      <c r="D758" s="93"/>
    </row>
    <row r="759" ht="15.75" customHeight="1" spans="1:4">
      <c r="A759" s="91"/>
      <c r="B759" s="92"/>
      <c r="C759" s="93"/>
      <c r="D759" s="93"/>
    </row>
    <row r="760" ht="15.75" customHeight="1" spans="1:4">
      <c r="A760" s="91"/>
      <c r="B760" s="92"/>
      <c r="C760" s="93"/>
      <c r="D760" s="93"/>
    </row>
    <row r="761" ht="15.75" customHeight="1" spans="1:4">
      <c r="A761" s="91"/>
      <c r="B761" s="92"/>
      <c r="C761" s="93"/>
      <c r="D761" s="93"/>
    </row>
    <row r="762" ht="15.75" customHeight="1" spans="1:4">
      <c r="A762" s="91"/>
      <c r="B762" s="92"/>
      <c r="C762" s="93"/>
      <c r="D762" s="93"/>
    </row>
    <row r="763" ht="15.75" customHeight="1" spans="1:4">
      <c r="A763" s="91"/>
      <c r="B763" s="92"/>
      <c r="C763" s="93"/>
      <c r="D763" s="93"/>
    </row>
    <row r="764" ht="15.75" customHeight="1" spans="1:4">
      <c r="A764" s="91"/>
      <c r="B764" s="92"/>
      <c r="C764" s="93"/>
      <c r="D764" s="93"/>
    </row>
    <row r="765" ht="15.75" customHeight="1" spans="1:4">
      <c r="A765" s="91"/>
      <c r="B765" s="92"/>
      <c r="C765" s="93"/>
      <c r="D765" s="93"/>
    </row>
    <row r="766" ht="15.75" customHeight="1" spans="1:4">
      <c r="A766" s="91"/>
      <c r="B766" s="92"/>
      <c r="C766" s="93"/>
      <c r="D766" s="93"/>
    </row>
    <row r="767" ht="15.75" customHeight="1" spans="1:4">
      <c r="A767" s="91"/>
      <c r="B767" s="92"/>
      <c r="C767" s="93"/>
      <c r="D767" s="93"/>
    </row>
    <row r="768" ht="15.75" customHeight="1" spans="1:4">
      <c r="A768" s="91"/>
      <c r="B768" s="92"/>
      <c r="C768" s="93"/>
      <c r="D768" s="93"/>
    </row>
    <row r="769" ht="15.75" customHeight="1" spans="1:4">
      <c r="A769" s="91"/>
      <c r="B769" s="92"/>
      <c r="C769" s="93"/>
      <c r="D769" s="93"/>
    </row>
    <row r="770" ht="15.75" customHeight="1" spans="1:4">
      <c r="A770" s="91"/>
      <c r="B770" s="92"/>
      <c r="C770" s="93"/>
      <c r="D770" s="93"/>
    </row>
    <row r="771" ht="15.75" customHeight="1" spans="1:4">
      <c r="A771" s="91"/>
      <c r="B771" s="92"/>
      <c r="C771" s="93"/>
      <c r="D771" s="93"/>
    </row>
    <row r="772" ht="15.75" customHeight="1" spans="1:4">
      <c r="A772" s="91"/>
      <c r="B772" s="92"/>
      <c r="C772" s="93"/>
      <c r="D772" s="93"/>
    </row>
    <row r="773" ht="15.75" customHeight="1" spans="1:4">
      <c r="A773" s="91"/>
      <c r="B773" s="92"/>
      <c r="C773" s="93"/>
      <c r="D773" s="93"/>
    </row>
    <row r="774" ht="15.75" customHeight="1" spans="1:4">
      <c r="A774" s="91"/>
      <c r="B774" s="92"/>
      <c r="C774" s="93"/>
      <c r="D774" s="93"/>
    </row>
    <row r="775" ht="15.75" customHeight="1" spans="1:4">
      <c r="A775" s="91"/>
      <c r="B775" s="92"/>
      <c r="C775" s="93"/>
      <c r="D775" s="93"/>
    </row>
    <row r="776" ht="15.75" customHeight="1" spans="1:4">
      <c r="A776" s="91"/>
      <c r="B776" s="92"/>
      <c r="C776" s="93"/>
      <c r="D776" s="93"/>
    </row>
    <row r="777" ht="15.75" customHeight="1" spans="1:4">
      <c r="A777" s="91"/>
      <c r="B777" s="92"/>
      <c r="C777" s="93"/>
      <c r="D777" s="93"/>
    </row>
    <row r="778" ht="15.75" customHeight="1" spans="1:4">
      <c r="A778" s="91"/>
      <c r="B778" s="92"/>
      <c r="C778" s="93"/>
      <c r="D778" s="93"/>
    </row>
    <row r="779" ht="15.75" customHeight="1" spans="1:4">
      <c r="A779" s="91"/>
      <c r="B779" s="92"/>
      <c r="C779" s="93"/>
      <c r="D779" s="93"/>
    </row>
    <row r="780" ht="15.75" customHeight="1" spans="1:4">
      <c r="A780" s="91"/>
      <c r="B780" s="92"/>
      <c r="C780" s="93"/>
      <c r="D780" s="93"/>
    </row>
    <row r="781" ht="15.75" customHeight="1" spans="1:4">
      <c r="A781" s="91"/>
      <c r="B781" s="92"/>
      <c r="C781" s="93"/>
      <c r="D781" s="93"/>
    </row>
    <row r="782" ht="15.75" customHeight="1" spans="1:4">
      <c r="A782" s="91"/>
      <c r="B782" s="92"/>
      <c r="C782" s="93"/>
      <c r="D782" s="93"/>
    </row>
    <row r="783" ht="15.75" customHeight="1" spans="1:4">
      <c r="A783" s="91"/>
      <c r="B783" s="92"/>
      <c r="C783" s="93"/>
      <c r="D783" s="93"/>
    </row>
    <row r="784" ht="15.75" customHeight="1" spans="1:4">
      <c r="A784" s="91"/>
      <c r="B784" s="92"/>
      <c r="C784" s="93"/>
      <c r="D784" s="93"/>
    </row>
    <row r="785" ht="15.75" customHeight="1" spans="1:4">
      <c r="A785" s="91"/>
      <c r="B785" s="92"/>
      <c r="C785" s="93"/>
      <c r="D785" s="93"/>
    </row>
    <row r="786" ht="15.75" customHeight="1" spans="1:4">
      <c r="A786" s="91"/>
      <c r="B786" s="92"/>
      <c r="C786" s="93"/>
      <c r="D786" s="93"/>
    </row>
    <row r="787" ht="15.75" customHeight="1" spans="1:4">
      <c r="A787" s="91"/>
      <c r="B787" s="92"/>
      <c r="C787" s="93"/>
      <c r="D787" s="93"/>
    </row>
    <row r="788" ht="15.75" customHeight="1" spans="1:4">
      <c r="A788" s="91"/>
      <c r="B788" s="92"/>
      <c r="C788" s="93"/>
      <c r="D788" s="93"/>
    </row>
    <row r="789" ht="15.75" customHeight="1" spans="1:4">
      <c r="A789" s="91"/>
      <c r="B789" s="92"/>
      <c r="C789" s="93"/>
      <c r="D789" s="93"/>
    </row>
    <row r="790" ht="15.75" customHeight="1" spans="1:4">
      <c r="A790" s="91"/>
      <c r="B790" s="92"/>
      <c r="C790" s="93"/>
      <c r="D790" s="93"/>
    </row>
    <row r="791" ht="15.75" customHeight="1" spans="1:4">
      <c r="A791" s="91"/>
      <c r="B791" s="92"/>
      <c r="C791" s="93"/>
      <c r="D791" s="93"/>
    </row>
    <row r="792" ht="15.75" customHeight="1" spans="1:4">
      <c r="A792" s="91"/>
      <c r="B792" s="92"/>
      <c r="C792" s="93"/>
      <c r="D792" s="93"/>
    </row>
    <row r="793" ht="15.75" customHeight="1" spans="1:4">
      <c r="A793" s="91"/>
      <c r="B793" s="92"/>
      <c r="C793" s="93"/>
      <c r="D793" s="93"/>
    </row>
    <row r="794" ht="15.75" customHeight="1" spans="1:4">
      <c r="A794" s="91"/>
      <c r="B794" s="92"/>
      <c r="C794" s="93"/>
      <c r="D794" s="93"/>
    </row>
    <row r="795" ht="15.75" customHeight="1" spans="1:4">
      <c r="A795" s="91"/>
      <c r="B795" s="92"/>
      <c r="C795" s="93"/>
      <c r="D795" s="93"/>
    </row>
    <row r="796" ht="15.75" customHeight="1" spans="1:4">
      <c r="A796" s="91"/>
      <c r="B796" s="92"/>
      <c r="C796" s="93"/>
      <c r="D796" s="93"/>
    </row>
    <row r="797" ht="15.75" customHeight="1" spans="1:4">
      <c r="A797" s="91"/>
      <c r="B797" s="92"/>
      <c r="C797" s="93"/>
      <c r="D797" s="93"/>
    </row>
    <row r="798" ht="15.75" customHeight="1" spans="1:4">
      <c r="A798" s="91"/>
      <c r="B798" s="92"/>
      <c r="C798" s="93"/>
      <c r="D798" s="93"/>
    </row>
    <row r="799" ht="15.75" customHeight="1" spans="1:4">
      <c r="A799" s="91"/>
      <c r="B799" s="92"/>
      <c r="C799" s="93"/>
      <c r="D799" s="93"/>
    </row>
    <row r="800" ht="15.75" customHeight="1" spans="1:4">
      <c r="A800" s="91"/>
      <c r="B800" s="92"/>
      <c r="C800" s="93"/>
      <c r="D800" s="93"/>
    </row>
    <row r="801" ht="15.75" customHeight="1" spans="1:4">
      <c r="A801" s="91"/>
      <c r="B801" s="92"/>
      <c r="C801" s="93"/>
      <c r="D801" s="93"/>
    </row>
    <row r="802" ht="15.75" customHeight="1" spans="1:4">
      <c r="A802" s="91"/>
      <c r="B802" s="92"/>
      <c r="C802" s="93"/>
      <c r="D802" s="93"/>
    </row>
    <row r="803" ht="15.75" customHeight="1" spans="1:4">
      <c r="A803" s="91"/>
      <c r="B803" s="92"/>
      <c r="C803" s="93"/>
      <c r="D803" s="93"/>
    </row>
    <row r="804" ht="15.75" customHeight="1" spans="1:4">
      <c r="A804" s="91"/>
      <c r="B804" s="92"/>
      <c r="C804" s="93"/>
      <c r="D804" s="93"/>
    </row>
    <row r="805" ht="15.75" customHeight="1" spans="1:4">
      <c r="A805" s="91"/>
      <c r="B805" s="92"/>
      <c r="C805" s="93"/>
      <c r="D805" s="93"/>
    </row>
    <row r="806" ht="15.75" customHeight="1" spans="1:4">
      <c r="A806" s="91"/>
      <c r="B806" s="92"/>
      <c r="C806" s="93"/>
      <c r="D806" s="93"/>
    </row>
    <row r="807" ht="15.75" customHeight="1" spans="1:4">
      <c r="A807" s="91"/>
      <c r="B807" s="92"/>
      <c r="C807" s="93"/>
      <c r="D807" s="93"/>
    </row>
    <row r="808" ht="15.75" customHeight="1" spans="1:4">
      <c r="A808" s="91"/>
      <c r="B808" s="92"/>
      <c r="C808" s="93"/>
      <c r="D808" s="93"/>
    </row>
    <row r="809" ht="15.75" customHeight="1" spans="1:4">
      <c r="A809" s="91"/>
      <c r="B809" s="92"/>
      <c r="C809" s="93"/>
      <c r="D809" s="93"/>
    </row>
    <row r="810" ht="15.75" customHeight="1" spans="1:4">
      <c r="A810" s="91"/>
      <c r="B810" s="92"/>
      <c r="C810" s="93"/>
      <c r="D810" s="93"/>
    </row>
    <row r="811" ht="15.75" customHeight="1" spans="1:4">
      <c r="A811" s="91"/>
      <c r="B811" s="92"/>
      <c r="C811" s="93"/>
      <c r="D811" s="93"/>
    </row>
    <row r="812" ht="15.75" customHeight="1" spans="1:4">
      <c r="A812" s="91"/>
      <c r="B812" s="92"/>
      <c r="C812" s="93"/>
      <c r="D812" s="93"/>
    </row>
    <row r="813" ht="15.75" customHeight="1" spans="1:4">
      <c r="A813" s="91"/>
      <c r="B813" s="92"/>
      <c r="C813" s="93"/>
      <c r="D813" s="93"/>
    </row>
    <row r="814" ht="15.75" customHeight="1" spans="1:4">
      <c r="A814" s="91"/>
      <c r="B814" s="92"/>
      <c r="C814" s="93"/>
      <c r="D814" s="93"/>
    </row>
    <row r="815" ht="15.75" customHeight="1" spans="1:4">
      <c r="A815" s="91"/>
      <c r="B815" s="92"/>
      <c r="C815" s="93"/>
      <c r="D815" s="93"/>
    </row>
    <row r="816" ht="15.75" customHeight="1" spans="1:4">
      <c r="A816" s="91"/>
      <c r="B816" s="92"/>
      <c r="C816" s="93"/>
      <c r="D816" s="93"/>
    </row>
    <row r="817" ht="15.75" customHeight="1" spans="1:4">
      <c r="A817" s="91"/>
      <c r="B817" s="92"/>
      <c r="C817" s="93"/>
      <c r="D817" s="93"/>
    </row>
    <row r="818" ht="15.75" customHeight="1" spans="1:4">
      <c r="A818" s="91"/>
      <c r="B818" s="92"/>
      <c r="C818" s="93"/>
      <c r="D818" s="93"/>
    </row>
    <row r="819" ht="15.75" customHeight="1" spans="1:4">
      <c r="A819" s="91"/>
      <c r="B819" s="92"/>
      <c r="C819" s="93"/>
      <c r="D819" s="93"/>
    </row>
    <row r="820" ht="15.75" customHeight="1" spans="1:4">
      <c r="A820" s="91"/>
      <c r="B820" s="92"/>
      <c r="C820" s="93"/>
      <c r="D820" s="93"/>
    </row>
    <row r="821" ht="15.75" customHeight="1" spans="1:4">
      <c r="A821" s="91"/>
      <c r="B821" s="92"/>
      <c r="C821" s="93"/>
      <c r="D821" s="93"/>
    </row>
    <row r="822" ht="15.75" customHeight="1" spans="1:4">
      <c r="A822" s="91"/>
      <c r="B822" s="92"/>
      <c r="C822" s="93"/>
      <c r="D822" s="93"/>
    </row>
    <row r="823" ht="15.75" customHeight="1" spans="1:4">
      <c r="A823" s="91"/>
      <c r="B823" s="92"/>
      <c r="C823" s="93"/>
      <c r="D823" s="93"/>
    </row>
    <row r="824" ht="15.75" customHeight="1" spans="1:4">
      <c r="A824" s="91"/>
      <c r="B824" s="92"/>
      <c r="C824" s="93"/>
      <c r="D824" s="93"/>
    </row>
    <row r="825" ht="15.75" customHeight="1" spans="1:4">
      <c r="A825" s="91"/>
      <c r="B825" s="92"/>
      <c r="C825" s="93"/>
      <c r="D825" s="93"/>
    </row>
    <row r="826" ht="15.75" customHeight="1" spans="1:4">
      <c r="A826" s="91"/>
      <c r="B826" s="92"/>
      <c r="C826" s="93"/>
      <c r="D826" s="93"/>
    </row>
    <row r="827" ht="15.75" customHeight="1" spans="1:4">
      <c r="A827" s="91"/>
      <c r="B827" s="92"/>
      <c r="C827" s="93"/>
      <c r="D827" s="93"/>
    </row>
    <row r="828" ht="15.75" customHeight="1" spans="1:4">
      <c r="A828" s="91"/>
      <c r="B828" s="92"/>
      <c r="C828" s="93"/>
      <c r="D828" s="93"/>
    </row>
    <row r="829" ht="15.75" customHeight="1" spans="1:4">
      <c r="A829" s="91"/>
      <c r="B829" s="92"/>
      <c r="C829" s="93"/>
      <c r="D829" s="93"/>
    </row>
    <row r="830" ht="15.75" customHeight="1" spans="1:4">
      <c r="A830" s="91"/>
      <c r="B830" s="92"/>
      <c r="C830" s="93"/>
      <c r="D830" s="93"/>
    </row>
    <row r="831" ht="15.75" customHeight="1" spans="1:4">
      <c r="A831" s="91"/>
      <c r="B831" s="92"/>
      <c r="C831" s="93"/>
      <c r="D831" s="93"/>
    </row>
    <row r="832" ht="15.75" customHeight="1" spans="1:4">
      <c r="A832" s="91"/>
      <c r="B832" s="92"/>
      <c r="C832" s="93"/>
      <c r="D832" s="93"/>
    </row>
    <row r="833" ht="15.75" customHeight="1" spans="1:4">
      <c r="A833" s="91"/>
      <c r="B833" s="92"/>
      <c r="C833" s="93"/>
      <c r="D833" s="93"/>
    </row>
    <row r="834" ht="15.75" customHeight="1" spans="1:4">
      <c r="A834" s="91"/>
      <c r="B834" s="92"/>
      <c r="C834" s="93"/>
      <c r="D834" s="93"/>
    </row>
    <row r="835" ht="15.75" customHeight="1" spans="1:4">
      <c r="A835" s="91"/>
      <c r="B835" s="92"/>
      <c r="C835" s="93"/>
      <c r="D835" s="93"/>
    </row>
    <row r="836" ht="15.75" customHeight="1" spans="1:4">
      <c r="A836" s="91"/>
      <c r="B836" s="92"/>
      <c r="C836" s="93"/>
      <c r="D836" s="93"/>
    </row>
    <row r="837" ht="15.75" customHeight="1" spans="1:4">
      <c r="A837" s="91"/>
      <c r="B837" s="92"/>
      <c r="C837" s="93"/>
      <c r="D837" s="93"/>
    </row>
    <row r="838" ht="15.75" customHeight="1" spans="1:4">
      <c r="A838" s="91"/>
      <c r="B838" s="92"/>
      <c r="C838" s="93"/>
      <c r="D838" s="93"/>
    </row>
    <row r="839" ht="15.75" customHeight="1" spans="1:4">
      <c r="A839" s="91"/>
      <c r="B839" s="92"/>
      <c r="C839" s="93"/>
      <c r="D839" s="93"/>
    </row>
    <row r="840" ht="15.75" customHeight="1" spans="1:4">
      <c r="A840" s="91"/>
      <c r="B840" s="92"/>
      <c r="C840" s="93"/>
      <c r="D840" s="93"/>
    </row>
    <row r="841" ht="15.75" customHeight="1" spans="1:4">
      <c r="A841" s="91"/>
      <c r="B841" s="92"/>
      <c r="C841" s="93"/>
      <c r="D841" s="93"/>
    </row>
    <row r="842" ht="15.75" customHeight="1" spans="1:4">
      <c r="A842" s="91"/>
      <c r="B842" s="92"/>
      <c r="C842" s="93"/>
      <c r="D842" s="93"/>
    </row>
    <row r="843" ht="15.75" customHeight="1" spans="1:4">
      <c r="A843" s="91"/>
      <c r="B843" s="92"/>
      <c r="C843" s="93"/>
      <c r="D843" s="93"/>
    </row>
    <row r="844" ht="15.75" customHeight="1" spans="1:4">
      <c r="A844" s="91"/>
      <c r="B844" s="92"/>
      <c r="C844" s="93"/>
      <c r="D844" s="93"/>
    </row>
    <row r="845" ht="15.75" customHeight="1" spans="1:4">
      <c r="A845" s="91"/>
      <c r="B845" s="92"/>
      <c r="C845" s="93"/>
      <c r="D845" s="93"/>
    </row>
    <row r="846" ht="15.75" customHeight="1" spans="1:4">
      <c r="A846" s="91"/>
      <c r="B846" s="92"/>
      <c r="C846" s="93"/>
      <c r="D846" s="93"/>
    </row>
    <row r="847" ht="15.75" customHeight="1" spans="1:4">
      <c r="A847" s="91"/>
      <c r="B847" s="92"/>
      <c r="C847" s="93"/>
      <c r="D847" s="93"/>
    </row>
    <row r="848" ht="15.75" customHeight="1" spans="1:4">
      <c r="A848" s="91"/>
      <c r="B848" s="92"/>
      <c r="C848" s="93"/>
      <c r="D848" s="93"/>
    </row>
    <row r="849" ht="15.75" customHeight="1" spans="1:4">
      <c r="A849" s="91"/>
      <c r="B849" s="92"/>
      <c r="C849" s="93"/>
      <c r="D849" s="93"/>
    </row>
    <row r="850" ht="15.75" customHeight="1" spans="1:4">
      <c r="A850" s="91"/>
      <c r="B850" s="92"/>
      <c r="C850" s="93"/>
      <c r="D850" s="93"/>
    </row>
    <row r="851" ht="15.75" customHeight="1" spans="1:4">
      <c r="A851" s="91"/>
      <c r="B851" s="92"/>
      <c r="C851" s="93"/>
      <c r="D851" s="93"/>
    </row>
    <row r="852" ht="15.75" customHeight="1" spans="1:4">
      <c r="A852" s="91"/>
      <c r="B852" s="92"/>
      <c r="C852" s="93"/>
      <c r="D852" s="93"/>
    </row>
    <row r="853" ht="15.75" customHeight="1" spans="1:4">
      <c r="A853" s="91"/>
      <c r="B853" s="92"/>
      <c r="C853" s="93"/>
      <c r="D853" s="93"/>
    </row>
    <row r="854" ht="15.75" customHeight="1" spans="1:4">
      <c r="A854" s="91"/>
      <c r="B854" s="92"/>
      <c r="C854" s="93"/>
      <c r="D854" s="93"/>
    </row>
    <row r="855" ht="15.75" customHeight="1" spans="1:4">
      <c r="A855" s="91"/>
      <c r="B855" s="92"/>
      <c r="C855" s="93"/>
      <c r="D855" s="93"/>
    </row>
    <row r="856" ht="15.75" customHeight="1" spans="1:4">
      <c r="A856" s="91"/>
      <c r="B856" s="92"/>
      <c r="C856" s="93"/>
      <c r="D856" s="93"/>
    </row>
    <row r="857" ht="15.75" customHeight="1" spans="1:4">
      <c r="A857" s="91"/>
      <c r="B857" s="92"/>
      <c r="C857" s="93"/>
      <c r="D857" s="93"/>
    </row>
    <row r="858" ht="15.75" customHeight="1" spans="1:4">
      <c r="A858" s="91"/>
      <c r="B858" s="92"/>
      <c r="C858" s="93"/>
      <c r="D858" s="93"/>
    </row>
    <row r="859" ht="15.75" customHeight="1" spans="1:4">
      <c r="A859" s="91"/>
      <c r="B859" s="92"/>
      <c r="C859" s="93"/>
      <c r="D859" s="93"/>
    </row>
    <row r="860" ht="15.75" customHeight="1" spans="1:4">
      <c r="A860" s="91"/>
      <c r="B860" s="92"/>
      <c r="C860" s="93"/>
      <c r="D860" s="93"/>
    </row>
    <row r="861" ht="15.75" customHeight="1" spans="1:4">
      <c r="A861" s="91"/>
      <c r="B861" s="92"/>
      <c r="C861" s="93"/>
      <c r="D861" s="93"/>
    </row>
    <row r="862" ht="15.75" customHeight="1" spans="1:4">
      <c r="A862" s="91"/>
      <c r="B862" s="92"/>
      <c r="C862" s="93"/>
      <c r="D862" s="93"/>
    </row>
    <row r="863" ht="15.75" customHeight="1" spans="1:4">
      <c r="A863" s="91"/>
      <c r="B863" s="92"/>
      <c r="C863" s="93"/>
      <c r="D863" s="93"/>
    </row>
    <row r="864" ht="15.75" customHeight="1" spans="1:4">
      <c r="A864" s="91"/>
      <c r="B864" s="92"/>
      <c r="C864" s="93"/>
      <c r="D864" s="93"/>
    </row>
    <row r="865" ht="15.75" customHeight="1" spans="1:4">
      <c r="A865" s="91"/>
      <c r="B865" s="92"/>
      <c r="C865" s="93"/>
      <c r="D865" s="93"/>
    </row>
    <row r="866" ht="15.75" customHeight="1" spans="1:4">
      <c r="A866" s="91"/>
      <c r="B866" s="92"/>
      <c r="C866" s="93"/>
      <c r="D866" s="93"/>
    </row>
    <row r="867" ht="15.75" customHeight="1" spans="1:4">
      <c r="A867" s="91"/>
      <c r="B867" s="92"/>
      <c r="C867" s="93"/>
      <c r="D867" s="93"/>
    </row>
    <row r="868" ht="15.75" customHeight="1" spans="1:4">
      <c r="A868" s="91"/>
      <c r="B868" s="92"/>
      <c r="C868" s="93"/>
      <c r="D868" s="93"/>
    </row>
    <row r="869" ht="15.75" customHeight="1" spans="1:4">
      <c r="A869" s="91"/>
      <c r="B869" s="92"/>
      <c r="C869" s="93"/>
      <c r="D869" s="93"/>
    </row>
    <row r="870" ht="15.75" customHeight="1" spans="1:4">
      <c r="A870" s="91"/>
      <c r="B870" s="92"/>
      <c r="C870" s="93"/>
      <c r="D870" s="93"/>
    </row>
    <row r="871" ht="15.75" customHeight="1" spans="1:4">
      <c r="A871" s="91"/>
      <c r="B871" s="92"/>
      <c r="C871" s="93"/>
      <c r="D871" s="93"/>
    </row>
    <row r="872" ht="15.75" customHeight="1" spans="1:4">
      <c r="A872" s="91"/>
      <c r="B872" s="92"/>
      <c r="C872" s="93"/>
      <c r="D872" s="93"/>
    </row>
    <row r="873" ht="15.75" customHeight="1" spans="1:4">
      <c r="A873" s="91"/>
      <c r="B873" s="92"/>
      <c r="C873" s="93"/>
      <c r="D873" s="93"/>
    </row>
    <row r="874" ht="15.75" customHeight="1" spans="1:4">
      <c r="A874" s="91"/>
      <c r="B874" s="92"/>
      <c r="C874" s="93"/>
      <c r="D874" s="93"/>
    </row>
    <row r="875" ht="15.75" customHeight="1" spans="1:4">
      <c r="A875" s="91"/>
      <c r="B875" s="92"/>
      <c r="C875" s="93"/>
      <c r="D875" s="93"/>
    </row>
    <row r="876" ht="15.75" customHeight="1" spans="1:4">
      <c r="A876" s="91"/>
      <c r="B876" s="92"/>
      <c r="C876" s="93"/>
      <c r="D876" s="93"/>
    </row>
    <row r="877" ht="15.75" customHeight="1" spans="1:4">
      <c r="A877" s="91"/>
      <c r="B877" s="92"/>
      <c r="C877" s="93"/>
      <c r="D877" s="93"/>
    </row>
    <row r="878" ht="15.75" customHeight="1" spans="1:4">
      <c r="A878" s="91"/>
      <c r="B878" s="92"/>
      <c r="C878" s="93"/>
      <c r="D878" s="93"/>
    </row>
    <row r="879" ht="15.75" customHeight="1" spans="1:4">
      <c r="A879" s="91"/>
      <c r="B879" s="92"/>
      <c r="C879" s="93"/>
      <c r="D879" s="93"/>
    </row>
    <row r="880" ht="15.75" customHeight="1" spans="1:4">
      <c r="A880" s="91"/>
      <c r="B880" s="92"/>
      <c r="C880" s="93"/>
      <c r="D880" s="93"/>
    </row>
    <row r="881" ht="15.75" customHeight="1" spans="1:4">
      <c r="A881" s="91"/>
      <c r="B881" s="92"/>
      <c r="C881" s="93"/>
      <c r="D881" s="93"/>
    </row>
    <row r="882" ht="15.75" customHeight="1" spans="1:4">
      <c r="A882" s="91"/>
      <c r="B882" s="92"/>
      <c r="C882" s="93"/>
      <c r="D882" s="93"/>
    </row>
    <row r="883" ht="15.75" customHeight="1" spans="1:4">
      <c r="A883" s="91"/>
      <c r="B883" s="92"/>
      <c r="C883" s="93"/>
      <c r="D883" s="93"/>
    </row>
    <row r="884" ht="15.75" customHeight="1" spans="1:4">
      <c r="A884" s="91"/>
      <c r="B884" s="92"/>
      <c r="C884" s="93"/>
      <c r="D884" s="93"/>
    </row>
    <row r="885" ht="15.75" customHeight="1" spans="1:4">
      <c r="A885" s="91"/>
      <c r="B885" s="92"/>
      <c r="C885" s="93"/>
      <c r="D885" s="93"/>
    </row>
    <row r="886" ht="15.75" customHeight="1" spans="1:4">
      <c r="A886" s="91"/>
      <c r="B886" s="92"/>
      <c r="C886" s="93"/>
      <c r="D886" s="93"/>
    </row>
    <row r="887" ht="15.75" customHeight="1" spans="1:4">
      <c r="A887" s="91"/>
      <c r="B887" s="92"/>
      <c r="C887" s="93"/>
      <c r="D887" s="93"/>
    </row>
    <row r="888" ht="15.75" customHeight="1" spans="1:4">
      <c r="A888" s="91"/>
      <c r="B888" s="92"/>
      <c r="C888" s="93"/>
      <c r="D888" s="93"/>
    </row>
    <row r="889" ht="15.75" customHeight="1" spans="1:4">
      <c r="A889" s="91"/>
      <c r="B889" s="92"/>
      <c r="C889" s="93"/>
      <c r="D889" s="93"/>
    </row>
    <row r="890" ht="15.75" customHeight="1" spans="1:4">
      <c r="A890" s="91"/>
      <c r="B890" s="92"/>
      <c r="C890" s="93"/>
      <c r="D890" s="93"/>
    </row>
    <row r="891" ht="15.75" customHeight="1" spans="1:4">
      <c r="A891" s="91"/>
      <c r="B891" s="92"/>
      <c r="C891" s="93"/>
      <c r="D891" s="93"/>
    </row>
    <row r="892" ht="15.75" customHeight="1" spans="1:4">
      <c r="A892" s="91"/>
      <c r="B892" s="92"/>
      <c r="C892" s="93"/>
      <c r="D892" s="93"/>
    </row>
    <row r="893" ht="15.75" customHeight="1" spans="1:4">
      <c r="A893" s="91"/>
      <c r="B893" s="92"/>
      <c r="C893" s="93"/>
      <c r="D893" s="93"/>
    </row>
    <row r="894" ht="15.75" customHeight="1" spans="1:4">
      <c r="A894" s="91"/>
      <c r="B894" s="92"/>
      <c r="C894" s="93"/>
      <c r="D894" s="93"/>
    </row>
    <row r="895" ht="15.75" customHeight="1" spans="1:4">
      <c r="A895" s="91"/>
      <c r="B895" s="92"/>
      <c r="C895" s="93"/>
      <c r="D895" s="93"/>
    </row>
    <row r="896" ht="15.75" customHeight="1" spans="1:4">
      <c r="A896" s="91"/>
      <c r="B896" s="92"/>
      <c r="C896" s="93"/>
      <c r="D896" s="93"/>
    </row>
    <row r="897" ht="15.75" customHeight="1" spans="1:4">
      <c r="A897" s="91"/>
      <c r="B897" s="92"/>
      <c r="C897" s="93"/>
      <c r="D897" s="93"/>
    </row>
    <row r="898" ht="15.75" customHeight="1" spans="1:4">
      <c r="A898" s="91"/>
      <c r="B898" s="92"/>
      <c r="C898" s="93"/>
      <c r="D898" s="93"/>
    </row>
    <row r="899" ht="15.75" customHeight="1" spans="1:4">
      <c r="A899" s="91"/>
      <c r="B899" s="92"/>
      <c r="C899" s="93"/>
      <c r="D899" s="93"/>
    </row>
    <row r="900" ht="15.75" customHeight="1" spans="1:4">
      <c r="A900" s="91"/>
      <c r="B900" s="92"/>
      <c r="C900" s="93"/>
      <c r="D900" s="93"/>
    </row>
    <row r="901" ht="15.75" customHeight="1" spans="1:4">
      <c r="A901" s="91"/>
      <c r="B901" s="92"/>
      <c r="C901" s="93"/>
      <c r="D901" s="93"/>
    </row>
    <row r="902" ht="15.75" customHeight="1" spans="1:4">
      <c r="A902" s="91"/>
      <c r="B902" s="92"/>
      <c r="C902" s="93"/>
      <c r="D902" s="93"/>
    </row>
    <row r="903" ht="15.75" customHeight="1" spans="1:4">
      <c r="A903" s="91"/>
      <c r="B903" s="92"/>
      <c r="C903" s="93"/>
      <c r="D903" s="93"/>
    </row>
    <row r="904" ht="15.75" customHeight="1" spans="1:4">
      <c r="A904" s="91"/>
      <c r="B904" s="92"/>
      <c r="C904" s="93"/>
      <c r="D904" s="93"/>
    </row>
    <row r="905" ht="15.75" customHeight="1" spans="1:4">
      <c r="A905" s="91"/>
      <c r="B905" s="92"/>
      <c r="C905" s="93"/>
      <c r="D905" s="93"/>
    </row>
    <row r="906" ht="15.75" customHeight="1" spans="1:4">
      <c r="A906" s="91"/>
      <c r="B906" s="92"/>
      <c r="C906" s="93"/>
      <c r="D906" s="93"/>
    </row>
    <row r="907" ht="15.75" customHeight="1" spans="1:4">
      <c r="A907" s="91"/>
      <c r="B907" s="92"/>
      <c r="C907" s="93"/>
      <c r="D907" s="93"/>
    </row>
    <row r="908" ht="15.75" customHeight="1" spans="1:4">
      <c r="A908" s="91"/>
      <c r="B908" s="92"/>
      <c r="C908" s="93"/>
      <c r="D908" s="93"/>
    </row>
    <row r="909" ht="15.75" customHeight="1" spans="1:4">
      <c r="A909" s="91"/>
      <c r="B909" s="92"/>
      <c r="C909" s="93"/>
      <c r="D909" s="93"/>
    </row>
    <row r="910" ht="15.75" customHeight="1" spans="1:4">
      <c r="A910" s="91"/>
      <c r="B910" s="92"/>
      <c r="C910" s="93"/>
      <c r="D910" s="93"/>
    </row>
    <row r="911" ht="15.75" customHeight="1" spans="1:4">
      <c r="A911" s="91"/>
      <c r="B911" s="92"/>
      <c r="C911" s="93"/>
      <c r="D911" s="93"/>
    </row>
    <row r="912" ht="15.75" customHeight="1" spans="1:4">
      <c r="A912" s="91"/>
      <c r="B912" s="92"/>
      <c r="C912" s="93"/>
      <c r="D912" s="93"/>
    </row>
    <row r="913" ht="15.75" customHeight="1" spans="1:4">
      <c r="A913" s="91"/>
      <c r="B913" s="92"/>
      <c r="C913" s="93"/>
      <c r="D913" s="93"/>
    </row>
    <row r="914" ht="15.75" customHeight="1" spans="1:4">
      <c r="A914" s="91"/>
      <c r="B914" s="92"/>
      <c r="C914" s="93"/>
      <c r="D914" s="93"/>
    </row>
    <row r="915" ht="15.75" customHeight="1" spans="1:4">
      <c r="A915" s="91"/>
      <c r="B915" s="92"/>
      <c r="C915" s="93"/>
      <c r="D915" s="93"/>
    </row>
    <row r="916" ht="15.75" customHeight="1" spans="1:4">
      <c r="A916" s="91"/>
      <c r="B916" s="92"/>
      <c r="C916" s="93"/>
      <c r="D916" s="93"/>
    </row>
    <row r="917" ht="15.75" customHeight="1" spans="1:4">
      <c r="A917" s="91"/>
      <c r="B917" s="92"/>
      <c r="C917" s="93"/>
      <c r="D917" s="93"/>
    </row>
    <row r="918" ht="15.75" customHeight="1" spans="1:4">
      <c r="A918" s="91"/>
      <c r="B918" s="92"/>
      <c r="C918" s="93"/>
      <c r="D918" s="93"/>
    </row>
    <row r="919" ht="15.75" customHeight="1" spans="1:4">
      <c r="A919" s="91"/>
      <c r="B919" s="92"/>
      <c r="C919" s="93"/>
      <c r="D919" s="93"/>
    </row>
    <row r="920" ht="15.75" customHeight="1" spans="1:4">
      <c r="A920" s="91"/>
      <c r="B920" s="92"/>
      <c r="C920" s="93"/>
      <c r="D920" s="93"/>
    </row>
    <row r="921" ht="15.75" customHeight="1" spans="1:4">
      <c r="A921" s="91"/>
      <c r="B921" s="92"/>
      <c r="C921" s="93"/>
      <c r="D921" s="93"/>
    </row>
    <row r="922" ht="15.75" customHeight="1" spans="1:4">
      <c r="A922" s="91"/>
      <c r="B922" s="92"/>
      <c r="C922" s="93"/>
      <c r="D922" s="93"/>
    </row>
    <row r="923" ht="15.75" customHeight="1" spans="1:4">
      <c r="A923" s="91"/>
      <c r="B923" s="92"/>
      <c r="C923" s="93"/>
      <c r="D923" s="93"/>
    </row>
    <row r="924" ht="15.75" customHeight="1" spans="1:4">
      <c r="A924" s="91"/>
      <c r="B924" s="92"/>
      <c r="C924" s="93"/>
      <c r="D924" s="93"/>
    </row>
    <row r="925" ht="15.75" customHeight="1" spans="1:4">
      <c r="A925" s="91"/>
      <c r="B925" s="92"/>
      <c r="C925" s="93"/>
      <c r="D925" s="93"/>
    </row>
    <row r="926" ht="15.75" customHeight="1" spans="1:4">
      <c r="A926" s="91"/>
      <c r="B926" s="92"/>
      <c r="C926" s="93"/>
      <c r="D926" s="93"/>
    </row>
    <row r="927" ht="15.75" customHeight="1" spans="1:4">
      <c r="A927" s="91"/>
      <c r="B927" s="92"/>
      <c r="C927" s="93"/>
      <c r="D927" s="93"/>
    </row>
    <row r="928" ht="15.75" customHeight="1" spans="1:4">
      <c r="A928" s="91"/>
      <c r="B928" s="92"/>
      <c r="C928" s="93"/>
      <c r="D928" s="93"/>
    </row>
    <row r="929" ht="15.75" customHeight="1" spans="1:4">
      <c r="A929" s="91"/>
      <c r="B929" s="92"/>
      <c r="C929" s="93"/>
      <c r="D929" s="93"/>
    </row>
    <row r="930" ht="15.75" customHeight="1" spans="1:4">
      <c r="A930" s="91"/>
      <c r="B930" s="92"/>
      <c r="C930" s="93"/>
      <c r="D930" s="93"/>
    </row>
    <row r="931" ht="15.75" customHeight="1" spans="1:4">
      <c r="A931" s="91"/>
      <c r="B931" s="92"/>
      <c r="C931" s="93"/>
      <c r="D931" s="93"/>
    </row>
    <row r="932" ht="15.75" customHeight="1" spans="1:4">
      <c r="A932" s="91"/>
      <c r="B932" s="92"/>
      <c r="C932" s="93"/>
      <c r="D932" s="93"/>
    </row>
    <row r="933" ht="15.75" customHeight="1" spans="1:4">
      <c r="A933" s="91"/>
      <c r="B933" s="92"/>
      <c r="C933" s="93"/>
      <c r="D933" s="93"/>
    </row>
    <row r="934" ht="15.75" customHeight="1" spans="1:4">
      <c r="A934" s="91"/>
      <c r="B934" s="92"/>
      <c r="C934" s="93"/>
      <c r="D934" s="93"/>
    </row>
    <row r="935" ht="15.75" customHeight="1" spans="1:4">
      <c r="A935" s="91"/>
      <c r="B935" s="92"/>
      <c r="C935" s="93"/>
      <c r="D935" s="93"/>
    </row>
    <row r="936" ht="15.75" customHeight="1" spans="1:4">
      <c r="A936" s="91"/>
      <c r="B936" s="92"/>
      <c r="C936" s="93"/>
      <c r="D936" s="93"/>
    </row>
    <row r="937" ht="15.75" customHeight="1" spans="1:4">
      <c r="A937" s="91"/>
      <c r="B937" s="92"/>
      <c r="C937" s="93"/>
      <c r="D937" s="93"/>
    </row>
    <row r="938" ht="15.75" customHeight="1" spans="1:4">
      <c r="A938" s="91"/>
      <c r="B938" s="92"/>
      <c r="C938" s="93"/>
      <c r="D938" s="93"/>
    </row>
    <row r="939" ht="15.75" customHeight="1" spans="1:4">
      <c r="A939" s="91"/>
      <c r="B939" s="92"/>
      <c r="C939" s="93"/>
      <c r="D939" s="93"/>
    </row>
    <row r="940" ht="15.75" customHeight="1" spans="1:4">
      <c r="A940" s="91"/>
      <c r="B940" s="92"/>
      <c r="C940" s="93"/>
      <c r="D940" s="93"/>
    </row>
    <row r="941" ht="15.75" customHeight="1" spans="1:4">
      <c r="A941" s="91"/>
      <c r="B941" s="92"/>
      <c r="C941" s="93"/>
      <c r="D941" s="93"/>
    </row>
    <row r="942" ht="15.75" customHeight="1" spans="1:4">
      <c r="A942" s="91"/>
      <c r="B942" s="92"/>
      <c r="C942" s="93"/>
      <c r="D942" s="93"/>
    </row>
    <row r="943" ht="15.75" customHeight="1" spans="1:4">
      <c r="A943" s="91"/>
      <c r="B943" s="92"/>
      <c r="C943" s="93"/>
      <c r="D943" s="93"/>
    </row>
    <row r="944" ht="15.75" customHeight="1" spans="1:4">
      <c r="A944" s="91"/>
      <c r="B944" s="92"/>
      <c r="C944" s="93"/>
      <c r="D944" s="93"/>
    </row>
    <row r="945" ht="15.75" customHeight="1" spans="1:4">
      <c r="A945" s="91"/>
      <c r="B945" s="92"/>
      <c r="C945" s="93"/>
      <c r="D945" s="93"/>
    </row>
    <row r="946" ht="15.75" customHeight="1" spans="1:4">
      <c r="A946" s="91"/>
      <c r="B946" s="92"/>
      <c r="C946" s="93"/>
      <c r="D946" s="93"/>
    </row>
    <row r="947" ht="15.75" customHeight="1" spans="1:4">
      <c r="A947" s="91"/>
      <c r="B947" s="92"/>
      <c r="C947" s="93"/>
      <c r="D947" s="93"/>
    </row>
    <row r="948" ht="15.75" customHeight="1" spans="1:4">
      <c r="A948" s="91"/>
      <c r="B948" s="92"/>
      <c r="C948" s="93"/>
      <c r="D948" s="93"/>
    </row>
    <row r="949" ht="15.75" customHeight="1" spans="1:4">
      <c r="A949" s="91"/>
      <c r="B949" s="92"/>
      <c r="C949" s="93"/>
      <c r="D949" s="93"/>
    </row>
    <row r="950" ht="15.75" customHeight="1" spans="1:4">
      <c r="A950" s="91"/>
      <c r="B950" s="92"/>
      <c r="C950" s="93"/>
      <c r="D950" s="93"/>
    </row>
    <row r="951" ht="15.75" customHeight="1" spans="1:4">
      <c r="A951" s="91"/>
      <c r="B951" s="92"/>
      <c r="C951" s="93"/>
      <c r="D951" s="93"/>
    </row>
    <row r="952" ht="15.75" customHeight="1" spans="1:4">
      <c r="A952" s="91"/>
      <c r="B952" s="92"/>
      <c r="C952" s="93"/>
      <c r="D952" s="93"/>
    </row>
    <row r="953" ht="15.75" customHeight="1" spans="1:4">
      <c r="A953" s="91"/>
      <c r="B953" s="92"/>
      <c r="C953" s="93"/>
      <c r="D953" s="93"/>
    </row>
    <row r="954" ht="15.75" customHeight="1" spans="1:4">
      <c r="A954" s="91"/>
      <c r="B954" s="92"/>
      <c r="C954" s="93"/>
      <c r="D954" s="93"/>
    </row>
    <row r="955" ht="15.75" customHeight="1" spans="1:4">
      <c r="A955" s="91"/>
      <c r="B955" s="92"/>
      <c r="C955" s="93"/>
      <c r="D955" s="93"/>
    </row>
    <row r="956" ht="15.75" customHeight="1" spans="1:4">
      <c r="A956" s="91"/>
      <c r="B956" s="92"/>
      <c r="C956" s="93"/>
      <c r="D956" s="93"/>
    </row>
    <row r="957" ht="15.75" customHeight="1" spans="1:4">
      <c r="A957" s="91"/>
      <c r="B957" s="92"/>
      <c r="C957" s="93"/>
      <c r="D957" s="93"/>
    </row>
    <row r="958" ht="15.75" customHeight="1" spans="1:4">
      <c r="A958" s="91"/>
      <c r="B958" s="92"/>
      <c r="C958" s="93"/>
      <c r="D958" s="93"/>
    </row>
    <row r="959" ht="15.75" customHeight="1" spans="1:4">
      <c r="A959" s="91"/>
      <c r="B959" s="92"/>
      <c r="C959" s="93"/>
      <c r="D959" s="93"/>
    </row>
    <row r="960" ht="15.75" customHeight="1" spans="1:4">
      <c r="A960" s="91"/>
      <c r="B960" s="92"/>
      <c r="C960" s="93"/>
      <c r="D960" s="93"/>
    </row>
    <row r="961" ht="15.75" customHeight="1" spans="1:4">
      <c r="A961" s="91"/>
      <c r="B961" s="92"/>
      <c r="C961" s="93"/>
      <c r="D961" s="93"/>
    </row>
    <row r="962" ht="15.75" customHeight="1" spans="1:4">
      <c r="A962" s="91"/>
      <c r="B962" s="92"/>
      <c r="C962" s="93"/>
      <c r="D962" s="93"/>
    </row>
    <row r="963" ht="15.75" customHeight="1" spans="1:4">
      <c r="A963" s="91"/>
      <c r="B963" s="92"/>
      <c r="C963" s="93"/>
      <c r="D963" s="93"/>
    </row>
    <row r="964" ht="15.75" customHeight="1" spans="1:4">
      <c r="A964" s="91"/>
      <c r="B964" s="92"/>
      <c r="C964" s="93"/>
      <c r="D964" s="93"/>
    </row>
    <row r="965" ht="15.75" customHeight="1" spans="1:4">
      <c r="A965" s="91"/>
      <c r="B965" s="92"/>
      <c r="C965" s="93"/>
      <c r="D965" s="93"/>
    </row>
    <row r="966" ht="15.75" customHeight="1" spans="1:4">
      <c r="A966" s="91"/>
      <c r="B966" s="92"/>
      <c r="C966" s="93"/>
      <c r="D966" s="93"/>
    </row>
    <row r="967" ht="15.75" customHeight="1" spans="1:4">
      <c r="A967" s="91"/>
      <c r="B967" s="92"/>
      <c r="C967" s="93"/>
      <c r="D967" s="93"/>
    </row>
    <row r="968" ht="15.75" customHeight="1" spans="1:4">
      <c r="A968" s="91"/>
      <c r="B968" s="92"/>
      <c r="C968" s="93"/>
      <c r="D968" s="93"/>
    </row>
    <row r="969" ht="15.75" customHeight="1" spans="1:4">
      <c r="A969" s="91"/>
      <c r="B969" s="92"/>
      <c r="C969" s="93"/>
      <c r="D969" s="93"/>
    </row>
    <row r="970" ht="15.75" customHeight="1" spans="1:4">
      <c r="A970" s="91"/>
      <c r="B970" s="92"/>
      <c r="C970" s="93"/>
      <c r="D970" s="93"/>
    </row>
    <row r="971" ht="15.75" customHeight="1" spans="1:4">
      <c r="A971" s="91"/>
      <c r="B971" s="92"/>
      <c r="C971" s="93"/>
      <c r="D971" s="93"/>
    </row>
    <row r="972" ht="15.75" customHeight="1" spans="1:4">
      <c r="A972" s="91"/>
      <c r="B972" s="92"/>
      <c r="C972" s="93"/>
      <c r="D972" s="93"/>
    </row>
    <row r="973" ht="15.75" customHeight="1" spans="1:4">
      <c r="A973" s="91"/>
      <c r="B973" s="92"/>
      <c r="C973" s="93"/>
      <c r="D973" s="93"/>
    </row>
    <row r="974" ht="15.75" customHeight="1" spans="1:4">
      <c r="A974" s="91"/>
      <c r="B974" s="92"/>
      <c r="C974" s="93"/>
      <c r="D974" s="93"/>
    </row>
    <row r="975" ht="15.75" customHeight="1" spans="1:4">
      <c r="A975" s="91"/>
      <c r="B975" s="92"/>
      <c r="C975" s="93"/>
      <c r="D975" s="93"/>
    </row>
    <row r="976" ht="15.75" customHeight="1" spans="1:4">
      <c r="A976" s="91"/>
      <c r="B976" s="92"/>
      <c r="C976" s="93"/>
      <c r="D976" s="93"/>
    </row>
    <row r="977" ht="15.75" customHeight="1" spans="1:4">
      <c r="A977" s="91"/>
      <c r="B977" s="92"/>
      <c r="C977" s="93"/>
      <c r="D977" s="93"/>
    </row>
    <row r="978" ht="15.75" customHeight="1" spans="1:4">
      <c r="A978" s="91"/>
      <c r="B978" s="92"/>
      <c r="C978" s="93"/>
      <c r="D978" s="93"/>
    </row>
    <row r="979" ht="15.75" customHeight="1" spans="1:4">
      <c r="A979" s="91"/>
      <c r="B979" s="92"/>
      <c r="C979" s="93"/>
      <c r="D979" s="93"/>
    </row>
    <row r="980" ht="15.75" customHeight="1" spans="1:4">
      <c r="A980" s="91"/>
      <c r="B980" s="92"/>
      <c r="C980" s="93"/>
      <c r="D980" s="93"/>
    </row>
    <row r="981" ht="15.75" customHeight="1" spans="1:4">
      <c r="A981" s="91"/>
      <c r="B981" s="92"/>
      <c r="C981" s="93"/>
      <c r="D981" s="93"/>
    </row>
    <row r="982" ht="15.75" customHeight="1" spans="1:4">
      <c r="A982" s="91"/>
      <c r="B982" s="92"/>
      <c r="C982" s="93"/>
      <c r="D982" s="93"/>
    </row>
    <row r="983" ht="15.75" customHeight="1" spans="1:4">
      <c r="A983" s="91"/>
      <c r="B983" s="92"/>
      <c r="C983" s="93"/>
      <c r="D983" s="93"/>
    </row>
    <row r="984" ht="15.75" customHeight="1" spans="1:4">
      <c r="A984" s="91"/>
      <c r="B984" s="92"/>
      <c r="C984" s="93"/>
      <c r="D984" s="93"/>
    </row>
    <row r="985" ht="15.75" customHeight="1" spans="1:4">
      <c r="A985" s="91"/>
      <c r="B985" s="92"/>
      <c r="C985" s="93"/>
      <c r="D985" s="93"/>
    </row>
    <row r="986" ht="15.75" customHeight="1" spans="1:4">
      <c r="A986" s="91"/>
      <c r="B986" s="92"/>
      <c r="C986" s="93"/>
      <c r="D986" s="93"/>
    </row>
    <row r="987" ht="15.75" customHeight="1" spans="1:4">
      <c r="A987" s="91"/>
      <c r="B987" s="92"/>
      <c r="C987" s="93"/>
      <c r="D987" s="93"/>
    </row>
    <row r="988" ht="15.75" customHeight="1" spans="1:4">
      <c r="A988" s="91"/>
      <c r="B988" s="92"/>
      <c r="C988" s="93"/>
      <c r="D988" s="93"/>
    </row>
    <row r="989" ht="15.75" customHeight="1" spans="1:4">
      <c r="A989" s="91"/>
      <c r="B989" s="92"/>
      <c r="C989" s="93"/>
      <c r="D989" s="93"/>
    </row>
    <row r="990" ht="15.75" customHeight="1" spans="1:4">
      <c r="A990" s="91"/>
      <c r="B990" s="92"/>
      <c r="C990" s="93"/>
      <c r="D990" s="93"/>
    </row>
    <row r="991" ht="15.75" customHeight="1" spans="1:4">
      <c r="A991" s="91"/>
      <c r="B991" s="92"/>
      <c r="C991" s="93"/>
      <c r="D991" s="93"/>
    </row>
    <row r="992" ht="15.75" customHeight="1" spans="1:4">
      <c r="A992" s="91"/>
      <c r="B992" s="92"/>
      <c r="C992" s="93"/>
      <c r="D992" s="93"/>
    </row>
    <row r="993" ht="15.75" customHeight="1" spans="1:4">
      <c r="A993" s="91"/>
      <c r="B993" s="92"/>
      <c r="C993" s="93"/>
      <c r="D993" s="93"/>
    </row>
    <row r="994" ht="15.75" customHeight="1" spans="1:4">
      <c r="A994" s="91"/>
      <c r="B994" s="92"/>
      <c r="C994" s="93"/>
      <c r="D994" s="93"/>
    </row>
    <row r="995" ht="15.75" customHeight="1" spans="1:4">
      <c r="A995" s="91"/>
      <c r="B995" s="92"/>
      <c r="C995" s="93"/>
      <c r="D995" s="93"/>
    </row>
    <row r="996" ht="15.75" customHeight="1" spans="1:4">
      <c r="A996" s="91"/>
      <c r="B996" s="92"/>
      <c r="C996" s="93"/>
      <c r="D996" s="93"/>
    </row>
    <row r="997" ht="15.75" customHeight="1" spans="1:4">
      <c r="A997" s="91"/>
      <c r="B997" s="92"/>
      <c r="C997" s="93"/>
      <c r="D997" s="93"/>
    </row>
    <row r="998" ht="15.75" customHeight="1" spans="1:4">
      <c r="A998" s="91"/>
      <c r="B998" s="92"/>
      <c r="C998" s="93"/>
      <c r="D998" s="93"/>
    </row>
    <row r="999" ht="15.75" customHeight="1" spans="1:4">
      <c r="A999" s="91"/>
      <c r="B999" s="92"/>
      <c r="C999" s="93"/>
      <c r="D999" s="93"/>
    </row>
    <row r="1000" ht="15.75" customHeight="1" spans="1:4">
      <c r="A1000" s="91"/>
      <c r="B1000" s="92"/>
      <c r="C1000" s="93"/>
      <c r="D1000" s="93"/>
    </row>
  </sheetData>
  <conditionalFormatting sqref="A1:A1000">
    <cfRule type="notContainsBlanks" dxfId="0" priority="1">
      <formula>LEN(TRIM(A1))&gt;0</formula>
    </cfRule>
  </conditionalFormatting>
  <pageMargins left="0.511811024" right="0.511811024" top="0.787401575" bottom="0.787401575" header="0" footer="0"/>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30.5714285714286" customWidth="1"/>
    <col min="2" max="2" width="25.8571428571429" customWidth="1"/>
    <col min="3" max="3" width="18.1428571428571" customWidth="1"/>
    <col min="4" max="6" width="9.14285714285714" customWidth="1"/>
    <col min="7" max="26" width="8.71428571428571" customWidth="1"/>
  </cols>
  <sheetData>
    <row r="1" spans="1:26">
      <c r="A1" s="80" t="s">
        <v>1221</v>
      </c>
      <c r="B1" s="80" t="s">
        <v>1222</v>
      </c>
      <c r="C1" s="80" t="s">
        <v>1223</v>
      </c>
      <c r="D1" s="81"/>
      <c r="E1" s="81"/>
      <c r="F1" s="81"/>
      <c r="G1" s="81"/>
      <c r="H1" s="81"/>
      <c r="I1" s="81"/>
      <c r="J1" s="81"/>
      <c r="K1" s="81"/>
      <c r="L1" s="81"/>
      <c r="M1" s="81"/>
      <c r="N1" s="81"/>
      <c r="O1" s="81"/>
      <c r="P1" s="81"/>
      <c r="Q1" s="81"/>
      <c r="R1" s="81"/>
      <c r="S1" s="81"/>
      <c r="T1" s="81"/>
      <c r="U1" s="81"/>
      <c r="V1" s="81"/>
      <c r="W1" s="81"/>
      <c r="X1" s="81"/>
      <c r="Y1" s="81"/>
      <c r="Z1" s="81"/>
    </row>
    <row r="2" spans="1:26">
      <c r="A2" s="82" t="s">
        <v>1224</v>
      </c>
      <c r="B2" s="82" t="s">
        <v>1172</v>
      </c>
      <c r="C2" s="82" t="s">
        <v>1200</v>
      </c>
      <c r="D2" s="81"/>
      <c r="E2" s="81"/>
      <c r="F2" s="81"/>
      <c r="G2" s="81"/>
      <c r="H2" s="81"/>
      <c r="I2" s="81"/>
      <c r="J2" s="81"/>
      <c r="K2" s="81"/>
      <c r="L2" s="81"/>
      <c r="M2" s="81"/>
      <c r="N2" s="81"/>
      <c r="O2" s="81"/>
      <c r="P2" s="81"/>
      <c r="Q2" s="81"/>
      <c r="R2" s="81"/>
      <c r="S2" s="81"/>
      <c r="T2" s="81"/>
      <c r="U2" s="81"/>
      <c r="V2" s="81"/>
      <c r="W2" s="81"/>
      <c r="X2" s="81"/>
      <c r="Y2" s="81"/>
      <c r="Z2" s="81"/>
    </row>
    <row r="3" spans="1:26">
      <c r="A3" s="81" t="s">
        <v>1225</v>
      </c>
      <c r="B3" s="81" t="s">
        <v>1157</v>
      </c>
      <c r="C3" s="81" t="s">
        <v>1196</v>
      </c>
      <c r="D3" s="81"/>
      <c r="E3" s="81"/>
      <c r="F3" s="81"/>
      <c r="G3" s="81"/>
      <c r="H3" s="81"/>
      <c r="I3" s="81"/>
      <c r="J3" s="81"/>
      <c r="K3" s="81"/>
      <c r="L3" s="81"/>
      <c r="M3" s="81"/>
      <c r="N3" s="81"/>
      <c r="O3" s="81"/>
      <c r="P3" s="81"/>
      <c r="Q3" s="81"/>
      <c r="R3" s="81"/>
      <c r="S3" s="81"/>
      <c r="T3" s="81"/>
      <c r="U3" s="81"/>
      <c r="V3" s="81"/>
      <c r="W3" s="81"/>
      <c r="X3" s="81"/>
      <c r="Y3" s="81"/>
      <c r="Z3" s="81"/>
    </row>
    <row r="4" spans="1:26">
      <c r="A4" s="81" t="s">
        <v>1200</v>
      </c>
      <c r="B4" s="81" t="s">
        <v>1060</v>
      </c>
      <c r="C4" s="81" t="s">
        <v>1200</v>
      </c>
      <c r="D4" s="81"/>
      <c r="E4" s="81"/>
      <c r="F4" s="81"/>
      <c r="G4" s="81"/>
      <c r="H4" s="81"/>
      <c r="I4" s="81"/>
      <c r="J4" s="81"/>
      <c r="K4" s="81"/>
      <c r="L4" s="81"/>
      <c r="M4" s="81"/>
      <c r="N4" s="81"/>
      <c r="O4" s="81"/>
      <c r="P4" s="81"/>
      <c r="Q4" s="81"/>
      <c r="R4" s="81"/>
      <c r="S4" s="81"/>
      <c r="T4" s="81"/>
      <c r="U4" s="81"/>
      <c r="V4" s="81"/>
      <c r="W4" s="81"/>
      <c r="X4" s="81"/>
      <c r="Y4" s="81"/>
      <c r="Z4" s="81"/>
    </row>
    <row r="5" spans="1:26">
      <c r="A5" s="81" t="s">
        <v>1226</v>
      </c>
      <c r="B5" s="81" t="s">
        <v>1060</v>
      </c>
      <c r="C5" s="81" t="s">
        <v>1058</v>
      </c>
      <c r="D5" s="81"/>
      <c r="E5" s="81"/>
      <c r="F5" s="81"/>
      <c r="G5" s="81"/>
      <c r="H5" s="81"/>
      <c r="I5" s="81"/>
      <c r="J5" s="81"/>
      <c r="K5" s="81"/>
      <c r="L5" s="81"/>
      <c r="M5" s="81"/>
      <c r="N5" s="81"/>
      <c r="O5" s="81"/>
      <c r="P5" s="81"/>
      <c r="Q5" s="81"/>
      <c r="R5" s="81"/>
      <c r="S5" s="81"/>
      <c r="T5" s="81"/>
      <c r="U5" s="81"/>
      <c r="V5" s="81"/>
      <c r="W5" s="81"/>
      <c r="X5" s="81"/>
      <c r="Y5" s="81"/>
      <c r="Z5" s="81"/>
    </row>
    <row r="6" spans="1:26">
      <c r="A6" s="81" t="s">
        <v>1227</v>
      </c>
      <c r="B6" s="81" t="s">
        <v>1227</v>
      </c>
      <c r="C6" s="81" t="s">
        <v>1060</v>
      </c>
      <c r="D6" s="81"/>
      <c r="E6" s="81"/>
      <c r="F6" s="81"/>
      <c r="G6" s="81"/>
      <c r="H6" s="81"/>
      <c r="I6" s="81"/>
      <c r="J6" s="81"/>
      <c r="K6" s="81"/>
      <c r="L6" s="81"/>
      <c r="M6" s="81"/>
      <c r="N6" s="81"/>
      <c r="O6" s="81"/>
      <c r="P6" s="81"/>
      <c r="Q6" s="81"/>
      <c r="R6" s="81"/>
      <c r="S6" s="81"/>
      <c r="T6" s="81"/>
      <c r="U6" s="81"/>
      <c r="V6" s="81"/>
      <c r="W6" s="81"/>
      <c r="X6" s="81"/>
      <c r="Y6" s="81"/>
      <c r="Z6" s="81"/>
    </row>
    <row r="7" spans="1:26">
      <c r="A7" s="81" t="s">
        <v>1228</v>
      </c>
      <c r="B7" s="81" t="s">
        <v>1060</v>
      </c>
      <c r="C7" s="81" t="s">
        <v>1228</v>
      </c>
      <c r="D7" s="81"/>
      <c r="E7" s="81"/>
      <c r="F7" s="81"/>
      <c r="G7" s="81"/>
      <c r="H7" s="81"/>
      <c r="I7" s="81"/>
      <c r="J7" s="81"/>
      <c r="K7" s="81"/>
      <c r="L7" s="81"/>
      <c r="M7" s="81"/>
      <c r="N7" s="81"/>
      <c r="O7" s="81"/>
      <c r="P7" s="81"/>
      <c r="Q7" s="81"/>
      <c r="R7" s="81"/>
      <c r="S7" s="81"/>
      <c r="T7" s="81"/>
      <c r="U7" s="81"/>
      <c r="V7" s="81"/>
      <c r="W7" s="81"/>
      <c r="X7" s="81"/>
      <c r="Y7" s="81"/>
      <c r="Z7" s="81"/>
    </row>
    <row r="8" spans="1:26">
      <c r="A8" s="81" t="s">
        <v>1067</v>
      </c>
      <c r="B8" s="81" t="s">
        <v>1060</v>
      </c>
      <c r="C8" s="81" t="s">
        <v>1067</v>
      </c>
      <c r="D8" s="81"/>
      <c r="E8" s="81"/>
      <c r="F8" s="81"/>
      <c r="G8" s="81"/>
      <c r="H8" s="81"/>
      <c r="I8" s="81"/>
      <c r="J8" s="81"/>
      <c r="K8" s="81"/>
      <c r="L8" s="81"/>
      <c r="M8" s="81"/>
      <c r="N8" s="81"/>
      <c r="O8" s="81"/>
      <c r="P8" s="81"/>
      <c r="Q8" s="81"/>
      <c r="R8" s="81"/>
      <c r="S8" s="81"/>
      <c r="T8" s="81"/>
      <c r="U8" s="81"/>
      <c r="V8" s="81"/>
      <c r="W8" s="81"/>
      <c r="X8" s="81"/>
      <c r="Y8" s="81"/>
      <c r="Z8" s="81"/>
    </row>
    <row r="9" spans="1:26">
      <c r="A9" s="81" t="s">
        <v>1229</v>
      </c>
      <c r="B9" s="81" t="s">
        <v>1229</v>
      </c>
      <c r="C9" s="81" t="s">
        <v>1060</v>
      </c>
      <c r="D9" s="81"/>
      <c r="E9" s="81"/>
      <c r="F9" s="81"/>
      <c r="G9" s="81"/>
      <c r="H9" s="81"/>
      <c r="I9" s="81"/>
      <c r="J9" s="81"/>
      <c r="K9" s="81"/>
      <c r="L9" s="81"/>
      <c r="M9" s="81"/>
      <c r="N9" s="81"/>
      <c r="O9" s="81"/>
      <c r="P9" s="81"/>
      <c r="Q9" s="81"/>
      <c r="R9" s="81"/>
      <c r="S9" s="81"/>
      <c r="T9" s="81"/>
      <c r="U9" s="81"/>
      <c r="V9" s="81"/>
      <c r="W9" s="81"/>
      <c r="X9" s="81"/>
      <c r="Y9" s="81"/>
      <c r="Z9" s="81"/>
    </row>
    <row r="10" spans="1:26">
      <c r="A10" s="81" t="s">
        <v>1230</v>
      </c>
      <c r="B10" s="81" t="s">
        <v>1157</v>
      </c>
      <c r="C10" s="81" t="s">
        <v>1196</v>
      </c>
      <c r="D10" s="81"/>
      <c r="E10" s="81"/>
      <c r="F10" s="81"/>
      <c r="G10" s="81"/>
      <c r="H10" s="81"/>
      <c r="I10" s="81"/>
      <c r="J10" s="81"/>
      <c r="K10" s="81"/>
      <c r="L10" s="81"/>
      <c r="M10" s="81"/>
      <c r="N10" s="81"/>
      <c r="O10" s="81"/>
      <c r="P10" s="81"/>
      <c r="Q10" s="81"/>
      <c r="R10" s="81"/>
      <c r="S10" s="81"/>
      <c r="T10" s="81"/>
      <c r="U10" s="81"/>
      <c r="V10" s="81"/>
      <c r="W10" s="81"/>
      <c r="X10" s="81"/>
      <c r="Y10" s="81"/>
      <c r="Z10" s="81"/>
    </row>
    <row r="11" spans="1:26">
      <c r="A11" s="81" t="s">
        <v>1231</v>
      </c>
      <c r="B11" s="81" t="s">
        <v>1060</v>
      </c>
      <c r="C11" s="81" t="s">
        <v>1058</v>
      </c>
      <c r="D11" s="81"/>
      <c r="E11" s="81"/>
      <c r="F11" s="81"/>
      <c r="G11" s="81"/>
      <c r="H11" s="81"/>
      <c r="I11" s="81"/>
      <c r="J11" s="81"/>
      <c r="K11" s="81"/>
      <c r="L11" s="81"/>
      <c r="M11" s="81"/>
      <c r="N11" s="81"/>
      <c r="O11" s="81"/>
      <c r="P11" s="81"/>
      <c r="Q11" s="81"/>
      <c r="R11" s="81"/>
      <c r="S11" s="81"/>
      <c r="T11" s="81"/>
      <c r="U11" s="81"/>
      <c r="V11" s="81"/>
      <c r="W11" s="81"/>
      <c r="X11" s="81"/>
      <c r="Y11" s="81"/>
      <c r="Z11" s="81"/>
    </row>
    <row r="12" spans="1:26">
      <c r="A12" s="81" t="s">
        <v>1058</v>
      </c>
      <c r="B12" s="81" t="s">
        <v>1060</v>
      </c>
      <c r="C12" s="81" t="s">
        <v>1058</v>
      </c>
      <c r="D12" s="81"/>
      <c r="E12" s="81"/>
      <c r="F12" s="81"/>
      <c r="G12" s="81"/>
      <c r="H12" s="81"/>
      <c r="I12" s="81"/>
      <c r="J12" s="81"/>
      <c r="K12" s="81"/>
      <c r="L12" s="81"/>
      <c r="M12" s="81"/>
      <c r="N12" s="81"/>
      <c r="O12" s="81"/>
      <c r="P12" s="81"/>
      <c r="Q12" s="81"/>
      <c r="R12" s="81"/>
      <c r="S12" s="81"/>
      <c r="T12" s="81"/>
      <c r="U12" s="81"/>
      <c r="V12" s="81"/>
      <c r="W12" s="81"/>
      <c r="X12" s="81"/>
      <c r="Y12" s="81"/>
      <c r="Z12" s="81"/>
    </row>
    <row r="13" spans="1:26">
      <c r="A13" s="81"/>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spans="1:26">
      <c r="A16" s="81"/>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spans="1:26">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spans="1:26">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ht="15.75" customHeight="1" spans="1:26">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ht="15.75" customHeight="1" spans="1:26">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ht="15.75" customHeight="1" spans="1:26">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ht="15.75" customHeight="1" spans="1:26">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ht="15.75" customHeight="1" spans="1:26">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ht="15.75" customHeight="1" spans="1: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ht="15.75" customHeight="1" spans="1:26">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ht="15.75" customHeight="1" spans="1:26">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ht="15.75" customHeight="1" spans="1:26">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ht="15.75" customHeight="1" spans="1:26">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ht="15.75" customHeight="1" spans="1:26">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ht="15.75" customHeight="1" spans="1:26">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ht="15.75" customHeight="1" spans="1:26">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ht="15.75" customHeight="1" spans="1:26">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ht="15.75" customHeight="1" spans="1:26">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ht="15.75" customHeight="1" spans="1:2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ht="15.75" customHeight="1" spans="1:26">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ht="15.75" customHeight="1" spans="1:26">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ht="15.75" customHeight="1" spans="1:26">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ht="15.75" customHeight="1" spans="1:26">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ht="15.75" customHeight="1" spans="1:26">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ht="15.75" customHeight="1" spans="1:26">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ht="15.75" customHeight="1" spans="1:26">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ht="15.75" customHeight="1" spans="1:26">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ht="15.75" customHeight="1" spans="1:26">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ht="15.75" customHeight="1" spans="1:2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5.75" customHeight="1" spans="1:26">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5.75" customHeight="1" spans="1:26">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5.75" customHeight="1" spans="1:26">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5.75" customHeight="1" spans="1:26">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5.75" customHeight="1" spans="1:26">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5.75" customHeight="1" spans="1:26">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5.75" customHeight="1" spans="1:26">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5.75" customHeight="1" spans="1:26">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5.75" customHeight="1" spans="1:26">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5.75" customHeight="1" spans="1:2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5.75" customHeight="1" spans="1:26">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5.75" customHeight="1" spans="1:26">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5.75" customHeight="1" spans="1:26">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5.75" customHeight="1" spans="1:26">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5.75" customHeight="1" spans="1:26">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5.75" customHeight="1" spans="1:26">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5.75" customHeight="1" spans="1:26">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5.75" customHeight="1" spans="1:26">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5.75" customHeight="1" spans="1:26">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5.75" customHeight="1" spans="1:2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5.75" customHeight="1" spans="1:26">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5.75" customHeight="1" spans="1:26">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5.75" customHeight="1" spans="1:26">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5.75" customHeight="1" spans="1:26">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5.75" customHeight="1" spans="1:26">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5.75" customHeight="1" spans="1:26">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5.75" customHeight="1" spans="1:26">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5.75" customHeight="1" spans="1:26">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5.75" customHeight="1" spans="1:26">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5.75" customHeight="1" spans="1:2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5.75" customHeight="1" spans="1:26">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5.75" customHeight="1" spans="1:26">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5.75" customHeight="1" spans="1:26">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5.75" customHeight="1" spans="1:26">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5.75" customHeight="1" spans="1:26">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5.75" customHeight="1" spans="1:26">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5.75" customHeight="1" spans="1:26">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5.75" customHeight="1" spans="1:26">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5.75" customHeight="1" spans="1:26">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5.75" customHeight="1" spans="1:2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5.75" customHeight="1" spans="1:26">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5.75" customHeight="1" spans="1:26">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5.75" customHeight="1" spans="1:26">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5.75" customHeight="1" spans="1:26">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5.75" customHeight="1" spans="1:26">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5.75" customHeight="1" spans="1:26">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5.75" customHeight="1" spans="1:26">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5.75" customHeight="1" spans="1:26">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5.75" customHeight="1" spans="1:26">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5.75" customHeight="1" spans="1:2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5.75" customHeight="1" spans="1:26">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5.75" customHeight="1" spans="1:26">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5.75" customHeight="1" spans="1:26">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5.75" customHeight="1" spans="1:26">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5.75" customHeight="1" spans="1:26">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5.75" customHeight="1" spans="1:26">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5.75" customHeight="1" spans="1:26">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5.75" customHeight="1" spans="1:26">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5.75" customHeight="1" spans="1:26">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5.75" customHeight="1" spans="1:2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5.75" customHeight="1" spans="1:26">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5.75" customHeight="1" spans="1:26">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5.75" customHeight="1" spans="1:26">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5.75" customHeight="1" spans="1:26">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5.75" customHeight="1" spans="1:26">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5.75" customHeight="1" spans="1:26">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5.75" customHeight="1" spans="1:26">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5.75" customHeight="1" spans="1:26">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5.75" customHeight="1" spans="1:26">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5.75" customHeight="1" spans="1:2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5.75" customHeight="1" spans="1:26">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5.75" customHeight="1" spans="1:26">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5.75" customHeight="1" spans="1:26">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5.75" customHeight="1" spans="1:26">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5.75" customHeight="1" spans="1:26">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5.75" customHeight="1" spans="1:26">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5.75" customHeight="1" spans="1:26">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5.75" customHeight="1" spans="1:26">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5.75" customHeight="1" spans="1:26">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5.75" customHeight="1" spans="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5.75" customHeight="1" spans="1:26">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5.75" customHeight="1" spans="1:26">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5.75" customHeight="1" spans="1:26">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5.75" customHeight="1" spans="1:26">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5.75" customHeight="1" spans="1:26">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5.75" customHeight="1" spans="1:26">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5.75" customHeight="1" spans="1:26">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5.75" customHeight="1" spans="1:26">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5.75" customHeight="1" spans="1:26">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5.75" customHeight="1" spans="1:2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5.75" customHeight="1" spans="1:26">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5.75" customHeight="1" spans="1:26">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5.75" customHeight="1" spans="1:26">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5.75" customHeight="1" spans="1:26">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5.75" customHeight="1" spans="1:26">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5.75" customHeight="1" spans="1:26">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5.75" customHeight="1" spans="1:26">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5.75" customHeight="1" spans="1:26">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5.75" customHeight="1" spans="1:26">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5.75" customHeight="1" spans="1:2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5.75" customHeight="1" spans="1:26">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5.75" customHeight="1" spans="1:26">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5.75" customHeight="1" spans="1:26">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5.75" customHeight="1" spans="1:26">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5.75" customHeight="1" spans="1:26">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5.75" customHeight="1" spans="1:26">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5.75" customHeight="1" spans="1:26">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5.75" customHeight="1" spans="1:26">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5.75" customHeight="1" spans="1:26">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5.75" customHeight="1" spans="1:2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5.75" customHeight="1" spans="1:26">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5.75" customHeight="1" spans="1:26">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5.75" customHeight="1" spans="1:26">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5.75" customHeight="1" spans="1:26">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5.75" customHeight="1" spans="1:26">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5.75" customHeight="1" spans="1:26">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5.75" customHeight="1" spans="1:26">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5.75" customHeight="1" spans="1:26">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5.75" customHeight="1" spans="1:26">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5.75" customHeight="1" spans="1:2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5.75" customHeight="1" spans="1:26">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5.75" customHeight="1" spans="1:26">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5.75" customHeight="1" spans="1:26">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5.75" customHeight="1" spans="1:26">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5.75" customHeight="1" spans="1:26">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5.75" customHeight="1" spans="1:26">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5.75" customHeight="1" spans="1:26">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5.75" customHeight="1" spans="1:26">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5.75" customHeight="1" spans="1:26">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5.75" customHeight="1" spans="1:2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5.75" customHeight="1" spans="1:26">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5.75" customHeight="1" spans="1:26">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5.75" customHeight="1" spans="1:26">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5.75" customHeight="1" spans="1:26">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5.75" customHeight="1" spans="1:26">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5.75" customHeight="1" spans="1:26">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5.75" customHeight="1" spans="1:26">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5.75" customHeight="1" spans="1:26">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5.75" customHeight="1" spans="1:26">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5.75" customHeight="1" spans="1:2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5.75" customHeight="1" spans="1:26">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5.75" customHeight="1" spans="1:26">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5.75" customHeight="1" spans="1:26">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5.75" customHeight="1" spans="1:26">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5.75" customHeight="1" spans="1:26">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5.75" customHeight="1" spans="1:26">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5.75" customHeight="1" spans="1:26">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5.75" customHeight="1" spans="1:26">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5.75" customHeight="1" spans="1:26">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5.75" customHeight="1" spans="1:2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5.75" customHeight="1" spans="1:26">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5.75" customHeight="1" spans="1:26">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5.75" customHeight="1" spans="1:26">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5.75" customHeight="1" spans="1:26">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5.75" customHeight="1" spans="1:26">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5.75" customHeight="1" spans="1:26">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5.75" customHeight="1" spans="1:26">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5.75" customHeight="1" spans="1:26">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5.75" customHeight="1" spans="1:26">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5.75" customHeight="1" spans="1:2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5.75" customHeight="1" spans="1:26">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5.75" customHeight="1" spans="1:26">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5.75" customHeight="1" spans="1:26">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5.75" customHeight="1" spans="1:26">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5.75" customHeight="1" spans="1:26">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5.75" customHeight="1" spans="1:26">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5.75" customHeight="1" spans="1:26">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5.75" customHeight="1" spans="1:26">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5.75" customHeight="1" spans="1:26">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5.75" customHeight="1" spans="1:2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5.75" customHeight="1" spans="1:26">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5.75" customHeight="1" spans="1:26">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5.75" customHeight="1" spans="1:26">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5.75" customHeight="1" spans="1:26">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5.75" customHeight="1" spans="1:26">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5.75" customHeight="1" spans="1:26">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5.75" customHeight="1" spans="1:26">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5.75" customHeight="1" spans="1:26">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5.75" customHeight="1" spans="1:26">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5.75" customHeight="1" spans="1: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5.75" customHeight="1" spans="1:26">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5.75" customHeight="1" spans="1:26">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5.75" customHeight="1" spans="1:26">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5.75" customHeight="1" spans="1:26">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5.75" customHeight="1" spans="1:26">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5.75" customHeight="1" spans="1:26">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5.75" customHeight="1" spans="1:26">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5.75" customHeight="1" spans="1:26">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5.75" customHeight="1" spans="1:26">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5.75" customHeight="1" spans="1:2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5.75" customHeight="1" spans="1:26">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5.75" customHeight="1" spans="1:26">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5.75" customHeight="1" spans="1:26">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5.75" customHeight="1" spans="1:26">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5.75" customHeight="1" spans="1:26">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5.75" customHeight="1" spans="1:26">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5.75" customHeight="1" spans="1:26">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5.75" customHeight="1" spans="1:26">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5.75" customHeight="1" spans="1:26">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5.75" customHeight="1" spans="1:2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5.75" customHeight="1" spans="1:26">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5.75" customHeight="1" spans="1:26">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5.75" customHeight="1" spans="1:26">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5.75" customHeight="1" spans="1:26">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5.75" customHeight="1" spans="1:26">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5.75" customHeight="1" spans="1:26">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5.75" customHeight="1" spans="1:26">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5.75" customHeight="1" spans="1:26">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5.75" customHeight="1" spans="1:26">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5.75" customHeight="1" spans="1:2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5.75" customHeight="1" spans="1:26">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5.75" customHeight="1" spans="1:26">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5.75" customHeight="1" spans="1:26">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5.75" customHeight="1" spans="1:26">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5.75" customHeight="1" spans="1:26">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5.75" customHeight="1" spans="1:26">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5.75" customHeight="1" spans="1:26">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5.75" customHeight="1" spans="1:26">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5.75" customHeight="1" spans="1:26">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5.75" customHeight="1" spans="1:2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5.75" customHeight="1" spans="1:26">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5.75" customHeight="1" spans="1:26">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5.75" customHeight="1" spans="1:26">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5.75" customHeight="1" spans="1:26">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5.75" customHeight="1" spans="1:26">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5.75" customHeight="1" spans="1:26">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5.75" customHeight="1" spans="1:26">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5.75" customHeight="1" spans="1:26">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5.75" customHeight="1" spans="1:26">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5.75" customHeight="1" spans="1:2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5.75" customHeight="1" spans="1:26">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5.75" customHeight="1" spans="1:26">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5.75" customHeight="1" spans="1:26">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5.75" customHeight="1" spans="1:26">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5.75" customHeight="1" spans="1:26">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5.75" customHeight="1" spans="1:26">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5.75" customHeight="1" spans="1:26">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5.75" customHeight="1" spans="1:26">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5.75" customHeight="1" spans="1:26">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5.75" customHeight="1" spans="1:2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5.75" customHeight="1" spans="1:26">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5.75" customHeight="1" spans="1:26">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5.75" customHeight="1" spans="1:26">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5.75" customHeight="1" spans="1:26">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5.75" customHeight="1" spans="1:26">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5.75" customHeight="1" spans="1:26">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5.75" customHeight="1" spans="1:26">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5.75" customHeight="1" spans="1:26">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5.75" customHeight="1" spans="1:26">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5.75" customHeight="1" spans="1:2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5.75" customHeight="1" spans="1:26">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5.75" customHeight="1" spans="1:26">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5.75" customHeight="1" spans="1:26">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5.75" customHeight="1" spans="1:26">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5.75" customHeight="1" spans="1:26">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5.75" customHeight="1" spans="1:26">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5.75" customHeight="1" spans="1:26">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5.75" customHeight="1" spans="1:26">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5.75" customHeight="1" spans="1:26">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5.75" customHeight="1" spans="1:2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5.75" customHeight="1" spans="1:26">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5.75" customHeight="1" spans="1:26">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5.75" customHeight="1" spans="1:26">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5.75" customHeight="1" spans="1:26">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5.75" customHeight="1" spans="1:26">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5.75" customHeight="1" spans="1:26">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5.75" customHeight="1" spans="1:26">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5.75" customHeight="1" spans="1:26">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5.75" customHeight="1" spans="1:26">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5.75" customHeight="1" spans="1:2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5.75" customHeight="1" spans="1:26">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5.75" customHeight="1" spans="1:26">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5.75" customHeight="1" spans="1:26">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5.75" customHeight="1" spans="1:26">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5.75" customHeight="1" spans="1:26">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5.75" customHeight="1" spans="1:26">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5.75" customHeight="1" spans="1:26">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5.75" customHeight="1" spans="1:26">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5.75" customHeight="1" spans="1:26">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5.75" customHeight="1" spans="1: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5.75" customHeight="1" spans="1:26">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5.75" customHeight="1" spans="1:26">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5.75" customHeight="1" spans="1:26">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5.75" customHeight="1" spans="1:26">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5.75" customHeight="1" spans="1:26">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5.75" customHeight="1" spans="1:26">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5.75" customHeight="1" spans="1:26">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5.75" customHeight="1" spans="1:26">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5.75" customHeight="1" spans="1:26">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5.75" customHeight="1" spans="1:2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5.75" customHeight="1" spans="1:26">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5.75" customHeight="1" spans="1:26">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5.75" customHeight="1" spans="1:26">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5.75" customHeight="1" spans="1:26">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5.75" customHeight="1" spans="1:26">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5.75" customHeight="1" spans="1:26">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5.75" customHeight="1" spans="1:26">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5.75" customHeight="1" spans="1:26">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5.75" customHeight="1" spans="1:26">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5.75" customHeight="1" spans="1:2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5.75" customHeight="1" spans="1:26">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5.75" customHeight="1" spans="1:26">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5.75" customHeight="1" spans="1:26">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5.75" customHeight="1" spans="1:26">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5.75" customHeight="1" spans="1:26">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5.75" customHeight="1" spans="1:26">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5.75" customHeight="1" spans="1:26">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5.75" customHeight="1" spans="1:26">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5.75" customHeight="1" spans="1:26">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5.75" customHeight="1" spans="1:2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5.75" customHeight="1" spans="1:26">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5.75" customHeight="1" spans="1:26">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5.75" customHeight="1" spans="1:26">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5.75" customHeight="1" spans="1:26">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5.75" customHeight="1" spans="1:26">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5.75" customHeight="1" spans="1:26">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5.75" customHeight="1" spans="1:26">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5.75" customHeight="1" spans="1:26">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5.75" customHeight="1" spans="1:26">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5.75" customHeight="1" spans="1:2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5.75" customHeight="1" spans="1:26">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5.75" customHeight="1" spans="1:26">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5.75" customHeight="1" spans="1:26">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5.75" customHeight="1" spans="1:26">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5.75" customHeight="1" spans="1:26">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5.75" customHeight="1" spans="1:26">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5.75" customHeight="1" spans="1:26">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5.75" customHeight="1" spans="1:26">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5.75" customHeight="1" spans="1:26">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5.75" customHeight="1" spans="1:2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5.75" customHeight="1" spans="1:26">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5.75" customHeight="1" spans="1:26">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5.75" customHeight="1" spans="1:26">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5.75" customHeight="1" spans="1:26">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5.75" customHeight="1" spans="1:26">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5.75" customHeight="1" spans="1:26">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5.75" customHeight="1" spans="1:26">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5.75" customHeight="1" spans="1:26">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5.75" customHeight="1" spans="1:26">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5.75" customHeight="1" spans="1:2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5.75" customHeight="1" spans="1:26">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5.75" customHeight="1" spans="1:26">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5.75" customHeight="1" spans="1:26">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5.75" customHeight="1" spans="1:26">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5.75" customHeight="1" spans="1:26">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5.75" customHeight="1" spans="1:26">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5.75" customHeight="1" spans="1:26">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5.75" customHeight="1" spans="1:26">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5.75" customHeight="1" spans="1:26">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5.75" customHeight="1" spans="1:2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5.75" customHeight="1" spans="1:26">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5.75" customHeight="1" spans="1:26">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5.75" customHeight="1" spans="1:26">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5.75" customHeight="1" spans="1:26">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5.75" customHeight="1" spans="1:26">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5.75" customHeight="1" spans="1:26">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5.75" customHeight="1" spans="1:26">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5.75" customHeight="1" spans="1:26">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5.75" customHeight="1" spans="1:26">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5.75" customHeight="1" spans="1:2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5.75" customHeight="1" spans="1:26">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5.75" customHeight="1" spans="1:26">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5.75" customHeight="1" spans="1:26">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5.75" customHeight="1" spans="1:26">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5.75" customHeight="1" spans="1:26">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5.75" customHeight="1" spans="1:26">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5.75" customHeight="1" spans="1:26">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5.75" customHeight="1" spans="1:26">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5.75" customHeight="1" spans="1:26">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5.75" customHeight="1" spans="1:2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5.75" customHeight="1" spans="1:26">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5.75" customHeight="1" spans="1:26">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5.75" customHeight="1" spans="1:26">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5.75" customHeight="1" spans="1:26">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5.75" customHeight="1" spans="1:26">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5.75" customHeight="1" spans="1:26">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5.75" customHeight="1" spans="1:26">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5.75" customHeight="1" spans="1:26">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5.75" customHeight="1" spans="1:26">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5.75" customHeight="1" spans="1: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5.75" customHeight="1" spans="1:26">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5.75" customHeight="1" spans="1:26">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5.75" customHeight="1" spans="1:26">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5.75" customHeight="1" spans="1:26">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5.75" customHeight="1" spans="1:26">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5.75" customHeight="1" spans="1:26">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5.75" customHeight="1" spans="1:26">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5.75" customHeight="1" spans="1:26">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5.75" customHeight="1" spans="1:26">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5.75" customHeight="1" spans="1:2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5.75" customHeight="1" spans="1:26">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5.75" customHeight="1" spans="1:26">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5.75" customHeight="1" spans="1:26">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5.75" customHeight="1" spans="1:26">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5.75" customHeight="1" spans="1:26">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5.75" customHeight="1" spans="1:26">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5.75" customHeight="1" spans="1:26">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5.75" customHeight="1" spans="1:26">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5.75" customHeight="1" spans="1:26">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5.75" customHeight="1" spans="1:2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5.75" customHeight="1" spans="1:26">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5.75" customHeight="1" spans="1:26">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5.75" customHeight="1" spans="1:26">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5.75" customHeight="1" spans="1:26">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5.75" customHeight="1" spans="1:26">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5.75" customHeight="1" spans="1:26">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5.75" customHeight="1" spans="1:26">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5.75" customHeight="1" spans="1:26">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5.75" customHeight="1" spans="1:26">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5.75" customHeight="1" spans="1:2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5.75" customHeight="1" spans="1:26">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5.75" customHeight="1" spans="1:26">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5.75" customHeight="1" spans="1:26">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5.75" customHeight="1" spans="1:26">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5.75" customHeight="1" spans="1:26">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5.75" customHeight="1" spans="1:26">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5.75" customHeight="1" spans="1:26">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5.75" customHeight="1" spans="1:26">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5.75" customHeight="1" spans="1:26">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5.75" customHeight="1" spans="1:2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5.75" customHeight="1" spans="1:26">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5.75" customHeight="1" spans="1:26">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5.75" customHeight="1" spans="1:26">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5.75" customHeight="1" spans="1:26">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5.75" customHeight="1" spans="1:26">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5.75" customHeight="1" spans="1:26">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5.75" customHeight="1" spans="1:26">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5.75" customHeight="1" spans="1:26">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5.75" customHeight="1" spans="1:26">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5.75" customHeight="1" spans="1:2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5.75" customHeight="1" spans="1:26">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5.75" customHeight="1" spans="1:26">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5.75" customHeight="1" spans="1:26">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5.75" customHeight="1" spans="1:26">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5.75" customHeight="1" spans="1:26">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5.75" customHeight="1" spans="1:26">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5.75" customHeight="1" spans="1:26">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5.75" customHeight="1" spans="1:26">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5.75" customHeight="1" spans="1:26">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5.75" customHeight="1" spans="1:2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5.75" customHeight="1" spans="1:26">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5.75" customHeight="1" spans="1:26">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5.75" customHeight="1" spans="1:26">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5.75" customHeight="1" spans="1:26">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5.75" customHeight="1" spans="1:26">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5.75" customHeight="1" spans="1:26">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5.75" customHeight="1" spans="1:26">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5.75" customHeight="1" spans="1:26">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5.75" customHeight="1" spans="1:26">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5.75" customHeight="1" spans="1:2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5.75" customHeight="1" spans="1:26">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5.75" customHeight="1" spans="1:26">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5.75" customHeight="1" spans="1:26">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5.75" customHeight="1" spans="1:26">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5.75" customHeight="1" spans="1:26">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5.75" customHeight="1" spans="1:26">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5.75" customHeight="1" spans="1:26">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5.75" customHeight="1" spans="1:26">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5.75" customHeight="1" spans="1:26">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5.75" customHeight="1" spans="1:2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5.75" customHeight="1" spans="1:26">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5.75" customHeight="1" spans="1:26">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5.75" customHeight="1" spans="1:26">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5.75" customHeight="1" spans="1:26">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5.75" customHeight="1" spans="1:26">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5.75" customHeight="1" spans="1:26">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5.75" customHeight="1" spans="1:26">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5.75" customHeight="1" spans="1:26">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5.75" customHeight="1" spans="1:26">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5.75" customHeight="1" spans="1:2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5.75" customHeight="1" spans="1:26">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5.75" customHeight="1" spans="1:26">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5.75" customHeight="1" spans="1:26">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5.75" customHeight="1" spans="1:26">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5.75" customHeight="1" spans="1:26">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5.75" customHeight="1" spans="1:26">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5.75" customHeight="1" spans="1:26">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5.75" customHeight="1" spans="1:26">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5.75" customHeight="1" spans="1:26">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5.75" customHeight="1" spans="1: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5.75" customHeight="1" spans="1:26">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5.75" customHeight="1" spans="1:26">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5.75" customHeight="1" spans="1:26">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5.75" customHeight="1" spans="1:26">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5.75" customHeight="1" spans="1:26">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5.75" customHeight="1" spans="1:26">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5.75" customHeight="1" spans="1:26">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5.75" customHeight="1" spans="1:26">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5.75" customHeight="1" spans="1:26">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5.75" customHeight="1" spans="1:2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5.75" customHeight="1" spans="1:26">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5.75" customHeight="1" spans="1:26">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5.75" customHeight="1" spans="1:26">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5.75" customHeight="1" spans="1:26">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5.75" customHeight="1" spans="1:26">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5.75" customHeight="1" spans="1:26">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5.75" customHeight="1" spans="1:26">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5.75" customHeight="1" spans="1:26">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5.75" customHeight="1" spans="1:26">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5.75" customHeight="1" spans="1:2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5.75" customHeight="1" spans="1:26">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5.75" customHeight="1" spans="1:26">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5.75" customHeight="1" spans="1:26">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5.75" customHeight="1" spans="1:26">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5.75" customHeight="1" spans="1:26">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5.75" customHeight="1" spans="1:26">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5.75" customHeight="1" spans="1:26">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5.75" customHeight="1" spans="1:26">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5.75" customHeight="1" spans="1:26">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5.75" customHeight="1" spans="1:2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5.75" customHeight="1" spans="1:26">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5.75" customHeight="1" spans="1:26">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5.75" customHeight="1" spans="1:26">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5.75" customHeight="1" spans="1:26">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5.75" customHeight="1" spans="1:26">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5.75" customHeight="1" spans="1:26">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5.75" customHeight="1" spans="1:26">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5.75" customHeight="1" spans="1:26">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5.75" customHeight="1" spans="1:26">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5.75" customHeight="1" spans="1:2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5.75" customHeight="1" spans="1:26">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5.75" customHeight="1" spans="1:26">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5.75" customHeight="1" spans="1:26">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5.75" customHeight="1" spans="1:26">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5.75" customHeight="1" spans="1:26">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5.75" customHeight="1" spans="1:26">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5.75" customHeight="1" spans="1:26">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5.75" customHeight="1" spans="1:26">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5.75" customHeight="1" spans="1:26">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5.75" customHeight="1" spans="1:2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5.75" customHeight="1" spans="1:26">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5.75" customHeight="1" spans="1:26">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5.75" customHeight="1" spans="1:26">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5.75" customHeight="1" spans="1:26">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5.75" customHeight="1" spans="1:26">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5.75" customHeight="1" spans="1:26">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5.75" customHeight="1" spans="1:26">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5.75" customHeight="1" spans="1:26">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5.75" customHeight="1" spans="1:26">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5.75" customHeight="1" spans="1:2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5.75" customHeight="1" spans="1:26">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5.75" customHeight="1" spans="1:26">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5.75" customHeight="1" spans="1:26">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5.75" customHeight="1" spans="1:26">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5.75" customHeight="1" spans="1:26">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5.75" customHeight="1" spans="1:26">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5.75" customHeight="1" spans="1:26">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5.75" customHeight="1" spans="1:26">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5.75" customHeight="1" spans="1:26">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5.75" customHeight="1" spans="1:2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5.75" customHeight="1" spans="1:26">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5.75" customHeight="1" spans="1:26">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5.75" customHeight="1" spans="1:26">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5.75" customHeight="1" spans="1:26">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5.75" customHeight="1" spans="1:26">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5.75" customHeight="1" spans="1:26">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5.75" customHeight="1" spans="1:26">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5.75" customHeight="1" spans="1:26">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5.75" customHeight="1" spans="1:26">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5.75" customHeight="1" spans="1:2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5.75" customHeight="1" spans="1:26">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5.75" customHeight="1" spans="1:26">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5.75" customHeight="1" spans="1:26">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5.75" customHeight="1" spans="1:26">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5.75" customHeight="1" spans="1:26">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5.75" customHeight="1" spans="1:26">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5.75" customHeight="1" spans="1:26">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5.75" customHeight="1" spans="1:26">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5.75" customHeight="1" spans="1:26">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5.75" customHeight="1" spans="1:2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5.75" customHeight="1" spans="1:26">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5.75" customHeight="1" spans="1:26">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5.75" customHeight="1" spans="1:26">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5.75" customHeight="1" spans="1:26">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5.75" customHeight="1" spans="1:26">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5.75" customHeight="1" spans="1:26">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5.75" customHeight="1" spans="1:26">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5.75" customHeight="1" spans="1:26">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5.75" customHeight="1" spans="1:26">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5.75" customHeight="1" spans="1: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5.75" customHeight="1" spans="1:26">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5.75" customHeight="1" spans="1:26">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5.75" customHeight="1" spans="1:26">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5.75" customHeight="1" spans="1:26">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5.75" customHeight="1" spans="1:26">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5.75" customHeight="1" spans="1:26">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5.75" customHeight="1" spans="1:26">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5.75" customHeight="1" spans="1:26">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5.75" customHeight="1" spans="1:26">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5.75" customHeight="1" spans="1:2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5.75" customHeight="1" spans="1:26">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5.75" customHeight="1" spans="1:26">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5.75" customHeight="1" spans="1:26">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5.75" customHeight="1" spans="1:26">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5.75" customHeight="1" spans="1:26">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5.75" customHeight="1" spans="1:26">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5.75" customHeight="1" spans="1:26">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5.75" customHeight="1" spans="1:26">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5.75" customHeight="1" spans="1:26">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5.75" customHeight="1" spans="1:2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5.75" customHeight="1" spans="1:26">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5.75" customHeight="1" spans="1:26">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5.75" customHeight="1" spans="1:26">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5.75" customHeight="1" spans="1:26">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5.75" customHeight="1" spans="1:26">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5.75" customHeight="1" spans="1:26">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5.75" customHeight="1" spans="1:26">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5.75" customHeight="1" spans="1:26">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5.75" customHeight="1" spans="1:26">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5.75" customHeight="1" spans="1:2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5.75" customHeight="1" spans="1:26">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5.75" customHeight="1" spans="1:26">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5.75" customHeight="1" spans="1:26">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5.75" customHeight="1" spans="1:26">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5.75" customHeight="1" spans="1:26">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5.75" customHeight="1" spans="1:26">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5.75" customHeight="1" spans="1:26">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5.75" customHeight="1" spans="1:26">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5.75" customHeight="1" spans="1:26">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5.75" customHeight="1" spans="1:2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5.75" customHeight="1" spans="1:26">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5.75" customHeight="1" spans="1:26">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5.75" customHeight="1" spans="1:26">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5.75" customHeight="1" spans="1:26">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5.75" customHeight="1" spans="1:26">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5.75" customHeight="1" spans="1:26">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5.75" customHeight="1" spans="1:26">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5.75" customHeight="1" spans="1:26">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5.75" customHeight="1" spans="1:26">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5.75" customHeight="1" spans="1:2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5.75" customHeight="1" spans="1:26">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5.75" customHeight="1" spans="1:26">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5.75" customHeight="1" spans="1:26">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5.75" customHeight="1" spans="1:26">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5.75" customHeight="1" spans="1:26">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5.75" customHeight="1" spans="1:26">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5.75" customHeight="1" spans="1:26">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5.75" customHeight="1" spans="1:26">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5.75" customHeight="1" spans="1:26">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5.75" customHeight="1" spans="1:2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5.75" customHeight="1" spans="1:26">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5.75" customHeight="1" spans="1:26">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5.75" customHeight="1" spans="1:26">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5.75" customHeight="1" spans="1:26">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5.75" customHeight="1" spans="1:26">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5.75" customHeight="1" spans="1:26">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5.75" customHeight="1" spans="1:26">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5.75" customHeight="1" spans="1:26">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5.75" customHeight="1" spans="1:26">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5.75" customHeight="1" spans="1:2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5.75" customHeight="1" spans="1:26">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5.75" customHeight="1" spans="1:26">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5.75" customHeight="1" spans="1:26">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5.75" customHeight="1" spans="1:26">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5.75" customHeight="1" spans="1:26">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5.75" customHeight="1" spans="1:26">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5.75" customHeight="1" spans="1:26">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5.75" customHeight="1" spans="1:26">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5.75" customHeight="1" spans="1:26">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5.75" customHeight="1" spans="1:2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5.75" customHeight="1" spans="1:26">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5.75" customHeight="1" spans="1:26">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5.75" customHeight="1" spans="1:26">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5.75" customHeight="1" spans="1:26">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5.75" customHeight="1" spans="1:26">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5.75" customHeight="1" spans="1:26">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5.75" customHeight="1" spans="1:26">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5.75" customHeight="1" spans="1:26">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5.75" customHeight="1" spans="1:26">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5.75" customHeight="1" spans="1:2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5.75" customHeight="1" spans="1:26">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5.75" customHeight="1" spans="1:26">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5.75" customHeight="1" spans="1:26">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5.75" customHeight="1" spans="1:26">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5.75" customHeight="1" spans="1:26">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5.75" customHeight="1" spans="1:26">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5.75" customHeight="1" spans="1:26">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5.75" customHeight="1" spans="1:26">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5.75" customHeight="1" spans="1:26">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5.75" customHeight="1" spans="1: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5.75" customHeight="1" spans="1:26">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5.75" customHeight="1" spans="1:26">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5.75" customHeight="1" spans="1:26">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5.75" customHeight="1" spans="1:26">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5.75" customHeight="1" spans="1:26">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5.75" customHeight="1" spans="1:26">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5.75" customHeight="1" spans="1:26">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5.75" customHeight="1" spans="1:26">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5.75" customHeight="1" spans="1:26">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5.75" customHeight="1" spans="1:2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5.75" customHeight="1" spans="1:26">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5.75" customHeight="1" spans="1:26">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5.75" customHeight="1" spans="1:26">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5.75" customHeight="1" spans="1:26">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5.75" customHeight="1" spans="1:26">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5.75" customHeight="1" spans="1:26">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5.75" customHeight="1" spans="1:26">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5.75" customHeight="1" spans="1:26">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5.75" customHeight="1" spans="1:26">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5.75" customHeight="1" spans="1:2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5.75" customHeight="1" spans="1:26">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5.75" customHeight="1" spans="1:26">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5.75" customHeight="1" spans="1:26">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5.75" customHeight="1" spans="1:26">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5.75" customHeight="1" spans="1:26">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5.75" customHeight="1" spans="1:26">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5.75" customHeight="1" spans="1:26">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5.75" customHeight="1" spans="1:26">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5.75" customHeight="1" spans="1:26">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5.75" customHeight="1" spans="1:2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5.75" customHeight="1" spans="1:26">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5.75" customHeight="1" spans="1:26">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5.75" customHeight="1" spans="1:26">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5.75" customHeight="1" spans="1:26">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5.75" customHeight="1" spans="1:26">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5.75" customHeight="1" spans="1:26">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5.75" customHeight="1" spans="1:26">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5.75" customHeight="1" spans="1:26">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5.75" customHeight="1" spans="1:26">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5.75" customHeight="1" spans="1:2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5.75" customHeight="1" spans="1:26">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5.75" customHeight="1" spans="1:26">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5.75" customHeight="1" spans="1:26">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5.75" customHeight="1" spans="1:26">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5.75" customHeight="1" spans="1:26">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5.75" customHeight="1" spans="1:26">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5.75" customHeight="1" spans="1:26">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5.75" customHeight="1" spans="1:26">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5.75" customHeight="1" spans="1:26">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5.75" customHeight="1" spans="1:2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5.75" customHeight="1" spans="1:26">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5.75" customHeight="1" spans="1:26">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5.75" customHeight="1" spans="1:26">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5.75" customHeight="1" spans="1:26">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5.75" customHeight="1" spans="1:26">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5.75" customHeight="1" spans="1:26">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5.75" customHeight="1" spans="1:26">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5.75" customHeight="1" spans="1:26">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5.75" customHeight="1" spans="1:26">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5.75" customHeight="1" spans="1:2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5.75" customHeight="1" spans="1:26">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5.75" customHeight="1" spans="1:26">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5.75" customHeight="1" spans="1:26">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5.75" customHeight="1" spans="1:26">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5.75" customHeight="1" spans="1:26">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5.75" customHeight="1" spans="1:26">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5.75" customHeight="1" spans="1:26">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5.75" customHeight="1" spans="1:26">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5.75" customHeight="1" spans="1:26">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5.75" customHeight="1" spans="1:2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5.75" customHeight="1" spans="1:26">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5.75" customHeight="1" spans="1:26">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5.75" customHeight="1" spans="1:26">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5.75" customHeight="1" spans="1:26">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5.75" customHeight="1" spans="1:26">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5.75" customHeight="1" spans="1:26">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5.75" customHeight="1" spans="1:26">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5.75" customHeight="1" spans="1:26">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5.75" customHeight="1" spans="1:26">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5.75" customHeight="1" spans="1:2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5.75" customHeight="1" spans="1:26">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5.75" customHeight="1" spans="1:26">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5.75" customHeight="1" spans="1:26">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5.75" customHeight="1" spans="1:26">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5.75" customHeight="1" spans="1:26">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5.75" customHeight="1" spans="1:26">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5.75" customHeight="1" spans="1:26">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5.75" customHeight="1" spans="1:26">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5.75" customHeight="1" spans="1:26">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5.75" customHeight="1" spans="1:2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5.75" customHeight="1" spans="1:26">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5.75" customHeight="1" spans="1:26">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5.75" customHeight="1" spans="1:26">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5.75" customHeight="1" spans="1:26">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5.75" customHeight="1" spans="1:26">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5.75" customHeight="1" spans="1:26">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5.75" customHeight="1" spans="1:26">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5.75" customHeight="1" spans="1:26">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5.75" customHeight="1" spans="1:26">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5.75" customHeight="1" spans="1: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5.75" customHeight="1" spans="1:26">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5.75" customHeight="1" spans="1:26">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5.75" customHeight="1" spans="1:26">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5.75" customHeight="1" spans="1:26">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5.75" customHeight="1" spans="1:26">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5.75" customHeight="1" spans="1:26">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5.75" customHeight="1" spans="1:26">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5.75" customHeight="1" spans="1:26">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5.75" customHeight="1" spans="1:26">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5.75" customHeight="1" spans="1:2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5.75" customHeight="1" spans="1:26">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5.75" customHeight="1" spans="1:26">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5.75" customHeight="1" spans="1:26">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5.75" customHeight="1" spans="1:26">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5.75" customHeight="1" spans="1:26">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5.75" customHeight="1" spans="1:26">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5.75" customHeight="1" spans="1:26">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5.75" customHeight="1" spans="1:26">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5.75" customHeight="1" spans="1:26">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5.75" customHeight="1" spans="1:2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5.75" customHeight="1" spans="1:26">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5.75" customHeight="1" spans="1:26">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5.75" customHeight="1" spans="1:26">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5.75" customHeight="1" spans="1:26">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5.75" customHeight="1" spans="1:26">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5.75" customHeight="1" spans="1:26">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5.75" customHeight="1" spans="1:26">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5.75" customHeight="1" spans="1:26">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5.75" customHeight="1" spans="1:26">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5.75" customHeight="1" spans="1:2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5.75" customHeight="1" spans="1:26">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5.75" customHeight="1" spans="1:26">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5.75" customHeight="1" spans="1:26">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5.75" customHeight="1" spans="1:26">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5.75" customHeight="1" spans="1:26">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5.75" customHeight="1" spans="1:26">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5.75" customHeight="1" spans="1:26">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5.75" customHeight="1" spans="1:26">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5.75" customHeight="1" spans="1:26">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5.75" customHeight="1" spans="1:2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5.75" customHeight="1" spans="1:26">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5.75" customHeight="1" spans="1:26">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5.75" customHeight="1" spans="1:26">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5.75" customHeight="1" spans="1:26">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5.75" customHeight="1" spans="1:26">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5.75" customHeight="1" spans="1:26">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5.75" customHeight="1" spans="1:26">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5.75" customHeight="1" spans="1:26">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5.75" customHeight="1" spans="1:26">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5.75" customHeight="1" spans="1:2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5.75" customHeight="1" spans="1:26">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5.75" customHeight="1" spans="1:26">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5.75" customHeight="1" spans="1:26">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5.75" customHeight="1" spans="1:26">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5.75" customHeight="1" spans="1:26">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5.75" customHeight="1" spans="1:26">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5.75" customHeight="1" spans="1:26">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5.75" customHeight="1" spans="1:26">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5.75" customHeight="1" spans="1:26">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5.75" customHeight="1" spans="1:2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5.75" customHeight="1" spans="1:26">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5.75" customHeight="1" spans="1:26">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5.75" customHeight="1" spans="1:26">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5.75" customHeight="1" spans="1:26">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5.75" customHeight="1" spans="1:26">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5.75" customHeight="1" spans="1:26">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5.75" customHeight="1" spans="1:26">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5.75" customHeight="1" spans="1:26">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5.75" customHeight="1" spans="1:26">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5.75" customHeight="1" spans="1:2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5.75" customHeight="1" spans="1:26">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5.75" customHeight="1" spans="1:26">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5.75" customHeight="1" spans="1:26">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5.75" customHeight="1" spans="1:26">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5.75" customHeight="1" spans="1:26">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5.75" customHeight="1" spans="1:26">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5.75" customHeight="1" spans="1:26">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5.75" customHeight="1" spans="1:26">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5.75" customHeight="1" spans="1:26">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5.75" customHeight="1" spans="1:2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5.75" customHeight="1" spans="1:26">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5.75" customHeight="1" spans="1:26">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5.75" customHeight="1" spans="1:26">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5.75" customHeight="1" spans="1:26">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5.75" customHeight="1" spans="1:26">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5.75" customHeight="1" spans="1:26">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5.75" customHeight="1" spans="1:26">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5.75" customHeight="1" spans="1:26">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5.75" customHeight="1" spans="1:26">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5.75" customHeight="1" spans="1:2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5.75" customHeight="1" spans="1:26">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5.75" customHeight="1" spans="1:26">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5.75" customHeight="1" spans="1:26">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5.75" customHeight="1" spans="1:26">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5.75" customHeight="1" spans="1:26">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5.75" customHeight="1" spans="1:26">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5.75" customHeight="1" spans="1:26">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5.75" customHeight="1" spans="1:26">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5.75" customHeight="1" spans="1:26">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5.75" customHeight="1" spans="1: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5.75" customHeight="1" spans="1:26">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5.75" customHeight="1" spans="1:26">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5.75" customHeight="1" spans="1:26">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5.75" customHeight="1" spans="1:26">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5.75" customHeight="1" spans="1:26">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5.75" customHeight="1" spans="1:26">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5.75" customHeight="1" spans="1:26">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5.75" customHeight="1" spans="1:26">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5.75" customHeight="1" spans="1:26">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5.75" customHeight="1" spans="1:2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5.75" customHeight="1" spans="1:26">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5.75" customHeight="1" spans="1:26">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5.75" customHeight="1" spans="1:26">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5.75" customHeight="1" spans="1:26">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5.75" customHeight="1" spans="1:26">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5.75" customHeight="1" spans="1:26">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5.75" customHeight="1" spans="1:26">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5.75" customHeight="1" spans="1:26">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5.75" customHeight="1" spans="1:26">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5.75" customHeight="1" spans="1:2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5.75" customHeight="1" spans="1:26">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5.75" customHeight="1" spans="1:26">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5.75" customHeight="1" spans="1:26">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5.75" customHeight="1" spans="1:26">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5.75" customHeight="1" spans="1:26">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5.75" customHeight="1" spans="1:26">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5.75" customHeight="1" spans="1:26">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5.75" customHeight="1" spans="1:26">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5.75" customHeight="1" spans="1:26">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5.75" customHeight="1" spans="1:2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5.75" customHeight="1" spans="1:26">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5.75" customHeight="1" spans="1:26">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5.75" customHeight="1" spans="1:26">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5.75" customHeight="1" spans="1:26">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5.75" customHeight="1" spans="1:26">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5.75" customHeight="1" spans="1:26">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5.75" customHeight="1" spans="1:26">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5.75" customHeight="1" spans="1:26">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5.75" customHeight="1" spans="1:26">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5.75" customHeight="1" spans="1:2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5.75" customHeight="1" spans="1:26">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5.75" customHeight="1" spans="1:26">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5.75" customHeight="1" spans="1:26">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5.75" customHeight="1" spans="1:26">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5.75" customHeight="1" spans="1:26">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5.75" customHeight="1" spans="1:26">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5.75" customHeight="1" spans="1:26">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5.75" customHeight="1" spans="1:26">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5.75" customHeight="1" spans="1:26">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5.75" customHeight="1" spans="1:2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5.75" customHeight="1" spans="1:26">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5.75" customHeight="1" spans="1:26">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5.75" customHeight="1" spans="1:26">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5.75" customHeight="1" spans="1:26">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5.75" customHeight="1" spans="1:26">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5.75" customHeight="1" spans="1:26">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5.75" customHeight="1" spans="1:26">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5.75" customHeight="1" spans="1:26">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5.75" customHeight="1" spans="1:26">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5.75" customHeight="1" spans="1:2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5.75" customHeight="1" spans="1:26">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5.75" customHeight="1" spans="1:26">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5.75" customHeight="1" spans="1:26">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5.75" customHeight="1" spans="1:26">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5.75" customHeight="1" spans="1:26">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5.75" customHeight="1" spans="1:26">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5.75" customHeight="1" spans="1:26">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5.75" customHeight="1" spans="1:26">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5.75" customHeight="1" spans="1:26">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5.75" customHeight="1" spans="1:2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5.75" customHeight="1" spans="1:26">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5.75" customHeight="1" spans="1:26">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5.75" customHeight="1" spans="1:26">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5.75" customHeight="1" spans="1:26">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pageMargins left="0.511811024" right="0.511811024" top="0.787401575" bottom="0.787401575" header="0" footer="0"/>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D5" sqref="D5"/>
    </sheetView>
  </sheetViews>
  <sheetFormatPr defaultColWidth="14.4285714285714" defaultRowHeight="15" customHeight="1" outlineLevelCol="3"/>
  <cols>
    <col min="1" max="1" width="42.7142857142857" customWidth="1"/>
    <col min="2" max="2" width="8.71428571428571" customWidth="1"/>
    <col min="3" max="3" width="13" customWidth="1"/>
    <col min="4" max="4" width="42.7142857142857" customWidth="1"/>
    <col min="5" max="26" width="8.71428571428571" customWidth="1"/>
  </cols>
  <sheetData>
    <row r="1" ht="15.75" spans="1:4">
      <c r="A1" s="68" t="s">
        <v>1232</v>
      </c>
      <c r="B1" s="69" t="s">
        <v>1233</v>
      </c>
      <c r="C1" s="9" t="s">
        <v>1234</v>
      </c>
      <c r="D1" s="68" t="s">
        <v>1235</v>
      </c>
    </row>
    <row r="2" ht="18.75" customHeight="1" spans="1:4">
      <c r="A2" s="70" t="s">
        <v>1236</v>
      </c>
      <c r="B2" s="71">
        <v>1</v>
      </c>
      <c r="C2" s="3" t="s">
        <v>1237</v>
      </c>
      <c r="D2" s="70" t="s">
        <v>1238</v>
      </c>
    </row>
    <row r="3" customHeight="1" spans="1:4">
      <c r="A3" s="72" t="s">
        <v>1239</v>
      </c>
      <c r="B3" s="71">
        <v>28</v>
      </c>
      <c r="C3" s="3" t="s">
        <v>1237</v>
      </c>
      <c r="D3" s="72" t="s">
        <v>1240</v>
      </c>
    </row>
    <row r="4" ht="15.75" customHeight="1" spans="1:4">
      <c r="A4" s="72" t="s">
        <v>1241</v>
      </c>
      <c r="B4" s="71">
        <v>265</v>
      </c>
      <c r="C4" s="3" t="s">
        <v>1237</v>
      </c>
      <c r="D4" s="72" t="s">
        <v>1242</v>
      </c>
    </row>
    <row r="5" spans="1:4">
      <c r="A5" s="72" t="s">
        <v>1243</v>
      </c>
      <c r="B5" s="71">
        <v>12400</v>
      </c>
      <c r="C5" s="3" t="s">
        <v>1237</v>
      </c>
      <c r="D5" s="72" t="s">
        <v>1243</v>
      </c>
    </row>
    <row r="6" spans="1:4">
      <c r="A6" s="72" t="s">
        <v>1244</v>
      </c>
      <c r="B6" s="71">
        <v>677</v>
      </c>
      <c r="C6" s="3" t="s">
        <v>1237</v>
      </c>
      <c r="D6" s="72" t="s">
        <v>1245</v>
      </c>
    </row>
    <row r="7" spans="1:4">
      <c r="A7" s="72" t="s">
        <v>1246</v>
      </c>
      <c r="B7" s="71">
        <v>116</v>
      </c>
      <c r="C7" s="3" t="s">
        <v>1237</v>
      </c>
      <c r="D7" s="72" t="s">
        <v>1246</v>
      </c>
    </row>
    <row r="8" spans="1:4">
      <c r="A8" s="72" t="s">
        <v>1247</v>
      </c>
      <c r="B8" s="71">
        <v>3170</v>
      </c>
      <c r="C8" s="3" t="s">
        <v>1237</v>
      </c>
      <c r="D8" s="72" t="s">
        <v>1247</v>
      </c>
    </row>
    <row r="9" spans="1:4">
      <c r="A9" s="72" t="s">
        <v>1248</v>
      </c>
      <c r="B9" s="71">
        <v>1120</v>
      </c>
      <c r="C9" s="3" t="s">
        <v>1237</v>
      </c>
      <c r="D9" s="72" t="s">
        <v>1248</v>
      </c>
    </row>
    <row r="10" spans="1:4">
      <c r="A10" s="72" t="s">
        <v>1249</v>
      </c>
      <c r="B10" s="71">
        <v>1300</v>
      </c>
      <c r="C10" s="3" t="s">
        <v>1237</v>
      </c>
      <c r="D10" s="72" t="s">
        <v>1249</v>
      </c>
    </row>
    <row r="11" spans="1:4">
      <c r="A11" s="72" t="s">
        <v>1250</v>
      </c>
      <c r="B11" s="71">
        <v>328</v>
      </c>
      <c r="C11" s="3" t="s">
        <v>1237</v>
      </c>
      <c r="D11" s="72" t="s">
        <v>1250</v>
      </c>
    </row>
    <row r="12" spans="1:4">
      <c r="A12" s="72" t="s">
        <v>1251</v>
      </c>
      <c r="B12" s="71">
        <v>4800</v>
      </c>
      <c r="C12" s="3" t="s">
        <v>1237</v>
      </c>
      <c r="D12" s="72" t="s">
        <v>1251</v>
      </c>
    </row>
    <row r="13" spans="1:4">
      <c r="A13" s="72" t="s">
        <v>1252</v>
      </c>
      <c r="B13" s="71">
        <v>16</v>
      </c>
      <c r="C13" s="3" t="s">
        <v>1237</v>
      </c>
      <c r="D13" s="72" t="s">
        <v>1252</v>
      </c>
    </row>
    <row r="14" spans="1:4">
      <c r="A14" s="72" t="s">
        <v>1253</v>
      </c>
      <c r="B14" s="71">
        <v>138</v>
      </c>
      <c r="C14" s="3" t="s">
        <v>1237</v>
      </c>
      <c r="D14" s="72" t="s">
        <v>1253</v>
      </c>
    </row>
    <row r="15" spans="1:4">
      <c r="A15" s="72" t="s">
        <v>1254</v>
      </c>
      <c r="B15" s="71">
        <v>4</v>
      </c>
      <c r="C15" s="3" t="s">
        <v>1237</v>
      </c>
      <c r="D15" s="72" t="s">
        <v>1254</v>
      </c>
    </row>
    <row r="16" spans="1:4">
      <c r="A16" s="72" t="s">
        <v>1255</v>
      </c>
      <c r="B16" s="71">
        <v>3350</v>
      </c>
      <c r="C16" s="3" t="s">
        <v>1237</v>
      </c>
      <c r="D16" s="72" t="s">
        <v>1255</v>
      </c>
    </row>
    <row r="17" spans="1:4">
      <c r="A17" s="72" t="s">
        <v>1256</v>
      </c>
      <c r="B17" s="71">
        <v>1210</v>
      </c>
      <c r="C17" s="3" t="s">
        <v>1237</v>
      </c>
      <c r="D17" s="72" t="s">
        <v>1256</v>
      </c>
    </row>
    <row r="18" spans="1:4">
      <c r="A18" s="72" t="s">
        <v>1257</v>
      </c>
      <c r="B18" s="71">
        <v>1330</v>
      </c>
      <c r="C18" s="3" t="s">
        <v>1237</v>
      </c>
      <c r="D18" s="72" t="s">
        <v>1257</v>
      </c>
    </row>
    <row r="19" spans="1:4">
      <c r="A19" s="72" t="s">
        <v>1258</v>
      </c>
      <c r="B19" s="71">
        <v>8060</v>
      </c>
      <c r="C19" s="3" t="s">
        <v>1237</v>
      </c>
      <c r="D19" s="72" t="s">
        <v>1258</v>
      </c>
    </row>
    <row r="20" spans="1:4">
      <c r="A20" s="72" t="s">
        <v>1259</v>
      </c>
      <c r="B20" s="71">
        <v>716</v>
      </c>
      <c r="C20" s="3" t="s">
        <v>1237</v>
      </c>
      <c r="D20" s="72" t="s">
        <v>1259</v>
      </c>
    </row>
    <row r="21" ht="15.75" customHeight="1" spans="1:4">
      <c r="A21" s="72" t="s">
        <v>1260</v>
      </c>
      <c r="B21" s="71">
        <v>858</v>
      </c>
      <c r="C21" s="3" t="s">
        <v>1237</v>
      </c>
      <c r="D21" s="72" t="s">
        <v>1260</v>
      </c>
    </row>
    <row r="22" ht="15.75" customHeight="1" spans="1:4">
      <c r="A22" s="72" t="s">
        <v>1261</v>
      </c>
      <c r="B22" s="71">
        <v>804</v>
      </c>
      <c r="C22" s="3" t="s">
        <v>1237</v>
      </c>
      <c r="D22" s="72" t="s">
        <v>1261</v>
      </c>
    </row>
    <row r="23" ht="15.75" customHeight="1" spans="1:4">
      <c r="A23" s="72" t="s">
        <v>1262</v>
      </c>
      <c r="B23" s="71">
        <v>1650</v>
      </c>
      <c r="C23" s="3" t="s">
        <v>1237</v>
      </c>
      <c r="D23" s="72" t="s">
        <v>1262</v>
      </c>
    </row>
    <row r="24" ht="17.25" customHeight="1" spans="1:4">
      <c r="A24" s="72" t="s">
        <v>1263</v>
      </c>
      <c r="B24" s="71">
        <v>23500</v>
      </c>
      <c r="C24" s="3" t="s">
        <v>1237</v>
      </c>
      <c r="D24" s="72" t="s">
        <v>1263</v>
      </c>
    </row>
    <row r="25" ht="15.75" customHeight="1" spans="1:4">
      <c r="A25" s="72" t="s">
        <v>1264</v>
      </c>
      <c r="B25" s="71">
        <v>16100</v>
      </c>
      <c r="C25" s="3" t="s">
        <v>1237</v>
      </c>
      <c r="D25" s="72" t="s">
        <v>1264</v>
      </c>
    </row>
    <row r="26" ht="15.75" customHeight="1" spans="1:4">
      <c r="A26" s="72" t="s">
        <v>1265</v>
      </c>
      <c r="B26" s="71">
        <v>6630</v>
      </c>
      <c r="C26" s="3" t="s">
        <v>1237</v>
      </c>
      <c r="D26" s="72" t="s">
        <v>1265</v>
      </c>
    </row>
    <row r="27" ht="15.75" customHeight="1" spans="1:4">
      <c r="A27" s="72" t="s">
        <v>1266</v>
      </c>
      <c r="B27" s="71">
        <v>11100</v>
      </c>
      <c r="C27" s="3" t="s">
        <v>1237</v>
      </c>
      <c r="D27" s="72" t="s">
        <v>1266</v>
      </c>
    </row>
    <row r="28" ht="15.75" customHeight="1" spans="1:4">
      <c r="A28" s="72" t="s">
        <v>1267</v>
      </c>
      <c r="B28" s="71">
        <v>8900</v>
      </c>
      <c r="C28" s="3" t="s">
        <v>1237</v>
      </c>
      <c r="D28" s="72" t="s">
        <v>1267</v>
      </c>
    </row>
    <row r="29" ht="15.75" customHeight="1" spans="1:4">
      <c r="A29" s="72" t="s">
        <v>1268</v>
      </c>
      <c r="B29" s="71">
        <v>9540</v>
      </c>
      <c r="C29" s="3" t="s">
        <v>1237</v>
      </c>
      <c r="D29" s="72" t="s">
        <v>1268</v>
      </c>
    </row>
    <row r="30" ht="15.75" customHeight="1" spans="1:4">
      <c r="A30" s="72" t="s">
        <v>1269</v>
      </c>
      <c r="B30" s="71">
        <v>9200</v>
      </c>
      <c r="C30" s="3" t="s">
        <v>1237</v>
      </c>
      <c r="D30" s="72" t="s">
        <v>1269</v>
      </c>
    </row>
    <row r="31" ht="15.75" customHeight="1" spans="1:4">
      <c r="A31" s="72" t="s">
        <v>1270</v>
      </c>
      <c r="B31" s="71">
        <v>8550</v>
      </c>
      <c r="C31" s="3" t="s">
        <v>1237</v>
      </c>
      <c r="D31" s="72" t="s">
        <v>1270</v>
      </c>
    </row>
    <row r="32" ht="15.75" customHeight="1" spans="1:4">
      <c r="A32" s="72" t="s">
        <v>1271</v>
      </c>
      <c r="B32" s="71">
        <v>7910</v>
      </c>
      <c r="C32" s="3" t="s">
        <v>1237</v>
      </c>
      <c r="D32" s="72" t="s">
        <v>1271</v>
      </c>
    </row>
    <row r="33" ht="15.75" customHeight="1" spans="1:4">
      <c r="A33" s="72" t="s">
        <v>1272</v>
      </c>
      <c r="B33" s="71">
        <v>7190</v>
      </c>
      <c r="C33" s="3" t="s">
        <v>1237</v>
      </c>
      <c r="D33" s="72" t="s">
        <v>1272</v>
      </c>
    </row>
    <row r="34" ht="18.75" customHeight="1" spans="1:4">
      <c r="A34" s="72" t="s">
        <v>1273</v>
      </c>
      <c r="B34" s="71">
        <v>17400</v>
      </c>
      <c r="C34" s="3" t="s">
        <v>1237</v>
      </c>
      <c r="D34" s="72" t="s">
        <v>1273</v>
      </c>
    </row>
    <row r="35" ht="18" customHeight="1" spans="1:4">
      <c r="A35" s="73" t="s">
        <v>1274</v>
      </c>
      <c r="B35" s="74">
        <v>9200</v>
      </c>
      <c r="C35" s="3" t="s">
        <v>1237</v>
      </c>
      <c r="D35" s="73" t="s">
        <v>1274</v>
      </c>
    </row>
    <row r="36" ht="15.75" customHeight="1" spans="1:4">
      <c r="A36" s="75" t="s">
        <v>1275</v>
      </c>
      <c r="B36" s="76">
        <v>0</v>
      </c>
      <c r="C36" s="3" t="s">
        <v>1237</v>
      </c>
      <c r="D36" s="75" t="s">
        <v>1275</v>
      </c>
    </row>
    <row r="37" ht="15.75" customHeight="1" spans="1:4">
      <c r="A37" s="77" t="s">
        <v>1276</v>
      </c>
      <c r="B37" s="71">
        <v>17.94</v>
      </c>
      <c r="C37" s="3" t="s">
        <v>1237</v>
      </c>
      <c r="D37" s="77" t="s">
        <v>1276</v>
      </c>
    </row>
    <row r="38" ht="15.75" customHeight="1" spans="1:4">
      <c r="A38" s="77" t="s">
        <v>1277</v>
      </c>
      <c r="B38" s="71">
        <v>15.18</v>
      </c>
      <c r="C38" s="3" t="s">
        <v>1237</v>
      </c>
      <c r="D38" s="77" t="s">
        <v>1277</v>
      </c>
    </row>
    <row r="39" ht="15.75" customHeight="1" spans="1:4">
      <c r="A39" s="77" t="s">
        <v>1278</v>
      </c>
      <c r="B39" s="71">
        <v>20.7</v>
      </c>
      <c r="C39" s="3" t="s">
        <v>1237</v>
      </c>
      <c r="D39" s="77" t="s">
        <v>1278</v>
      </c>
    </row>
    <row r="40" ht="15.75" customHeight="1" spans="1:4">
      <c r="A40" s="77" t="s">
        <v>1279</v>
      </c>
      <c r="B40" s="71">
        <v>1902</v>
      </c>
      <c r="C40" s="3" t="s">
        <v>1237</v>
      </c>
      <c r="D40" s="77" t="s">
        <v>1279</v>
      </c>
    </row>
    <row r="41" ht="15.75" customHeight="1" spans="1:4">
      <c r="A41" s="77" t="s">
        <v>1280</v>
      </c>
      <c r="B41" s="71">
        <v>1204.6</v>
      </c>
      <c r="C41" s="3" t="s">
        <v>1237</v>
      </c>
      <c r="D41" s="77" t="s">
        <v>1280</v>
      </c>
    </row>
    <row r="42" ht="15.75" customHeight="1" spans="1:4">
      <c r="A42" s="77" t="s">
        <v>1281</v>
      </c>
      <c r="B42" s="71">
        <v>1780</v>
      </c>
      <c r="C42" s="3" t="s">
        <v>1237</v>
      </c>
      <c r="D42" s="77" t="s">
        <v>1281</v>
      </c>
    </row>
    <row r="43" ht="15.75" customHeight="1" spans="1:4">
      <c r="A43" s="77" t="s">
        <v>1282</v>
      </c>
      <c r="B43" s="71">
        <v>3471</v>
      </c>
      <c r="C43" s="3" t="s">
        <v>1237</v>
      </c>
      <c r="D43" s="77" t="s">
        <v>1282</v>
      </c>
    </row>
    <row r="44" ht="15.75" customHeight="1" spans="1:4">
      <c r="A44" s="77" t="s">
        <v>1283</v>
      </c>
      <c r="B44" s="71">
        <v>3942.8</v>
      </c>
      <c r="C44" s="3" t="s">
        <v>1237</v>
      </c>
      <c r="D44" s="77" t="s">
        <v>1283</v>
      </c>
    </row>
    <row r="45" ht="15.75" customHeight="1" spans="1:4">
      <c r="A45" s="77" t="s">
        <v>1284</v>
      </c>
      <c r="B45" s="71">
        <v>4064.16</v>
      </c>
      <c r="C45" s="3" t="s">
        <v>1237</v>
      </c>
      <c r="D45" s="77" t="s">
        <v>1284</v>
      </c>
    </row>
    <row r="46" ht="15.75" customHeight="1" spans="1:4">
      <c r="A46" s="77" t="s">
        <v>1285</v>
      </c>
      <c r="B46" s="71">
        <v>0</v>
      </c>
      <c r="C46" s="3" t="s">
        <v>1237</v>
      </c>
      <c r="D46" s="77" t="s">
        <v>1285</v>
      </c>
    </row>
    <row r="47" ht="15.75" customHeight="1" spans="1:4">
      <c r="A47" s="77" t="s">
        <v>1286</v>
      </c>
      <c r="B47" s="71">
        <v>1923.4</v>
      </c>
      <c r="C47" s="3" t="s">
        <v>1237</v>
      </c>
      <c r="D47" s="77" t="s">
        <v>1286</v>
      </c>
    </row>
    <row r="48" ht="15.75" customHeight="1" spans="1:4">
      <c r="A48" s="77" t="s">
        <v>1287</v>
      </c>
      <c r="B48" s="71">
        <v>2546.7</v>
      </c>
      <c r="C48" s="3" t="s">
        <v>1237</v>
      </c>
      <c r="D48" s="77" t="s">
        <v>1287</v>
      </c>
    </row>
    <row r="49" ht="15.75" customHeight="1" spans="1:4">
      <c r="A49" s="77" t="s">
        <v>1288</v>
      </c>
      <c r="B49" s="71">
        <v>1624.21</v>
      </c>
      <c r="C49" s="3" t="s">
        <v>1237</v>
      </c>
      <c r="D49" s="77" t="s">
        <v>1288</v>
      </c>
    </row>
    <row r="50" ht="15.75" customHeight="1" spans="1:4">
      <c r="A50" s="77" t="s">
        <v>1289</v>
      </c>
      <c r="B50" s="71">
        <v>1487.05</v>
      </c>
      <c r="C50" s="3" t="s">
        <v>1237</v>
      </c>
      <c r="D50" s="77" t="s">
        <v>1289</v>
      </c>
    </row>
    <row r="51" ht="15.75" customHeight="1" spans="1:4">
      <c r="A51" s="77" t="s">
        <v>1290</v>
      </c>
      <c r="B51" s="71">
        <v>1424.75</v>
      </c>
      <c r="C51" s="3" t="s">
        <v>1237</v>
      </c>
      <c r="D51" s="77" t="s">
        <v>1290</v>
      </c>
    </row>
    <row r="52" ht="15.75" customHeight="1" spans="1:4">
      <c r="A52" s="77" t="s">
        <v>1291</v>
      </c>
      <c r="B52" s="71">
        <v>1674.1</v>
      </c>
      <c r="C52" s="3" t="s">
        <v>1237</v>
      </c>
      <c r="D52" s="77" t="s">
        <v>1291</v>
      </c>
    </row>
    <row r="53" ht="15.75" customHeight="1" spans="1:4">
      <c r="A53" s="77" t="s">
        <v>1292</v>
      </c>
      <c r="B53" s="71">
        <v>1331.175</v>
      </c>
      <c r="C53" s="3" t="s">
        <v>1237</v>
      </c>
      <c r="D53" s="77" t="s">
        <v>1292</v>
      </c>
    </row>
    <row r="54" ht="15.75" customHeight="1" spans="1:4">
      <c r="A54" s="77" t="s">
        <v>1293</v>
      </c>
      <c r="B54" s="71">
        <v>1378.025</v>
      </c>
      <c r="C54" s="3" t="s">
        <v>1237</v>
      </c>
      <c r="D54" s="77" t="s">
        <v>1293</v>
      </c>
    </row>
    <row r="55" ht="15.75" customHeight="1" spans="1:4">
      <c r="A55" s="77" t="s">
        <v>1294</v>
      </c>
      <c r="B55" s="71">
        <v>1337.465</v>
      </c>
      <c r="C55" s="3" t="s">
        <v>1237</v>
      </c>
      <c r="D55" s="77" t="s">
        <v>1294</v>
      </c>
    </row>
    <row r="56" ht="15.75" customHeight="1" spans="1:4">
      <c r="A56" s="77" t="s">
        <v>1295</v>
      </c>
      <c r="B56" s="71">
        <v>2429.9</v>
      </c>
      <c r="C56" s="3" t="s">
        <v>1237</v>
      </c>
      <c r="D56" s="77" t="s">
        <v>1295</v>
      </c>
    </row>
    <row r="57" ht="15.75" customHeight="1" spans="1:4">
      <c r="A57" s="77" t="s">
        <v>1296</v>
      </c>
      <c r="B57" s="71">
        <v>0</v>
      </c>
      <c r="C57" s="3" t="s">
        <v>1237</v>
      </c>
      <c r="D57" s="77" t="s">
        <v>1296</v>
      </c>
    </row>
    <row r="58" ht="15.75" customHeight="1" spans="1:4">
      <c r="A58" s="77" t="s">
        <v>1297</v>
      </c>
      <c r="B58" s="71">
        <v>0</v>
      </c>
      <c r="C58" s="3" t="s">
        <v>1237</v>
      </c>
      <c r="D58" s="77" t="s">
        <v>1297</v>
      </c>
    </row>
    <row r="59" ht="15.75" customHeight="1" spans="1:4">
      <c r="A59" s="77" t="s">
        <v>1298</v>
      </c>
      <c r="B59" s="71">
        <v>1923.5</v>
      </c>
      <c r="C59" s="3" t="s">
        <v>1237</v>
      </c>
      <c r="D59" s="77" t="s">
        <v>1298</v>
      </c>
    </row>
    <row r="60" ht="15.75" customHeight="1" spans="1:4">
      <c r="A60" s="77" t="s">
        <v>1299</v>
      </c>
      <c r="B60" s="71">
        <v>2048.15</v>
      </c>
      <c r="C60" s="3" t="s">
        <v>1237</v>
      </c>
      <c r="D60" s="77" t="s">
        <v>1299</v>
      </c>
    </row>
    <row r="61" ht="15.75" customHeight="1" spans="1:4">
      <c r="A61" s="77" t="s">
        <v>1300</v>
      </c>
      <c r="B61" s="71">
        <v>15.18</v>
      </c>
      <c r="C61" s="3" t="s">
        <v>1237</v>
      </c>
      <c r="D61" s="77" t="s">
        <v>1300</v>
      </c>
    </row>
    <row r="62" ht="15.75" customHeight="1" spans="1:4">
      <c r="A62" s="77" t="s">
        <v>1301</v>
      </c>
      <c r="B62" s="71">
        <v>4.14</v>
      </c>
      <c r="C62" s="3" t="s">
        <v>1237</v>
      </c>
      <c r="D62" s="77" t="s">
        <v>1301</v>
      </c>
    </row>
    <row r="63" ht="15.75" customHeight="1" spans="1:4">
      <c r="A63" s="77" t="s">
        <v>1302</v>
      </c>
      <c r="B63" s="71">
        <v>445</v>
      </c>
      <c r="C63" s="3" t="s">
        <v>1237</v>
      </c>
      <c r="D63" s="77" t="s">
        <v>1302</v>
      </c>
    </row>
    <row r="64" ht="15.75" customHeight="1" spans="1:4">
      <c r="A64" s="77" t="s">
        <v>1303</v>
      </c>
      <c r="B64" s="71">
        <v>1945</v>
      </c>
      <c r="C64" s="3" t="s">
        <v>1237</v>
      </c>
      <c r="D64" s="77" t="s">
        <v>1303</v>
      </c>
    </row>
    <row r="65" ht="15.75" customHeight="1" spans="1:4">
      <c r="A65" s="77" t="s">
        <v>1304</v>
      </c>
      <c r="B65" s="71">
        <v>0</v>
      </c>
      <c r="C65" s="3" t="s">
        <v>1237</v>
      </c>
      <c r="D65" s="77" t="s">
        <v>1304</v>
      </c>
    </row>
    <row r="66" ht="15.75" customHeight="1" spans="1:4">
      <c r="A66" s="77" t="s">
        <v>1305</v>
      </c>
      <c r="B66" s="71">
        <v>0</v>
      </c>
      <c r="C66" s="3" t="s">
        <v>1237</v>
      </c>
      <c r="D66" s="77" t="s">
        <v>1305</v>
      </c>
    </row>
    <row r="67" ht="15.75" customHeight="1" spans="1:4">
      <c r="A67" s="77" t="s">
        <v>1306</v>
      </c>
      <c r="B67" s="71">
        <v>24.84</v>
      </c>
      <c r="C67" s="3" t="s">
        <v>1237</v>
      </c>
      <c r="D67" s="77" t="s">
        <v>1306</v>
      </c>
    </row>
    <row r="68" ht="15.75" customHeight="1" spans="1:4">
      <c r="A68" s="77" t="s">
        <v>1307</v>
      </c>
      <c r="B68" s="71">
        <v>103.5</v>
      </c>
      <c r="C68" s="3" t="s">
        <v>1237</v>
      </c>
      <c r="D68" s="77" t="s">
        <v>1307</v>
      </c>
    </row>
    <row r="69" ht="15.75" customHeight="1" spans="1:4">
      <c r="A69" s="77" t="s">
        <v>1308</v>
      </c>
      <c r="B69" s="71">
        <v>767</v>
      </c>
      <c r="C69" s="3" t="s">
        <v>1237</v>
      </c>
      <c r="D69" s="77" t="s">
        <v>1308</v>
      </c>
    </row>
    <row r="70" ht="15.75" customHeight="1" spans="1:4">
      <c r="A70" s="77" t="s">
        <v>1309</v>
      </c>
      <c r="B70" s="71">
        <v>2127.22</v>
      </c>
      <c r="C70" s="3" t="s">
        <v>1237</v>
      </c>
      <c r="D70" s="77" t="s">
        <v>1309</v>
      </c>
    </row>
    <row r="71" ht="15.75" customHeight="1" spans="1:4">
      <c r="A71" s="77" t="s">
        <v>1310</v>
      </c>
      <c r="B71" s="71">
        <v>2742.2</v>
      </c>
      <c r="C71" s="3" t="s">
        <v>1237</v>
      </c>
      <c r="D71" s="77" t="s">
        <v>1310</v>
      </c>
    </row>
    <row r="72" ht="15.75" customHeight="1" spans="1:4">
      <c r="A72" s="77" t="s">
        <v>1311</v>
      </c>
      <c r="B72" s="71">
        <v>1642.55</v>
      </c>
      <c r="C72" s="3" t="s">
        <v>1237</v>
      </c>
      <c r="D72" s="77" t="s">
        <v>1311</v>
      </c>
    </row>
    <row r="73" ht="15.75" customHeight="1" spans="1:4">
      <c r="A73" s="77" t="s">
        <v>1312</v>
      </c>
      <c r="B73" s="71">
        <v>3.45</v>
      </c>
      <c r="C73" s="3" t="s">
        <v>1237</v>
      </c>
      <c r="D73" s="77" t="s">
        <v>1312</v>
      </c>
    </row>
    <row r="74" ht="15.75" customHeight="1" spans="1:4">
      <c r="A74" s="77" t="s">
        <v>1313</v>
      </c>
      <c r="B74" s="71">
        <v>2687.9</v>
      </c>
      <c r="C74" s="3" t="s">
        <v>1237</v>
      </c>
      <c r="D74" s="77" t="s">
        <v>1313</v>
      </c>
    </row>
    <row r="75" ht="15.75" customHeight="1" spans="1:4">
      <c r="A75" s="77" t="s">
        <v>1314</v>
      </c>
      <c r="B75" s="71">
        <v>2161.45</v>
      </c>
      <c r="C75" s="3" t="s">
        <v>1237</v>
      </c>
      <c r="D75" s="77" t="s">
        <v>1314</v>
      </c>
    </row>
    <row r="76" ht="15.75" customHeight="1" spans="1:4">
      <c r="A76" s="77" t="s">
        <v>1315</v>
      </c>
      <c r="B76" s="71">
        <v>1144</v>
      </c>
      <c r="C76" s="3" t="s">
        <v>1237</v>
      </c>
      <c r="D76" s="77" t="s">
        <v>1315</v>
      </c>
    </row>
    <row r="77" ht="15.75" customHeight="1" spans="1:4">
      <c r="A77" s="77" t="s">
        <v>1316</v>
      </c>
      <c r="B77" s="71">
        <v>2384.6</v>
      </c>
      <c r="C77" s="3" t="s">
        <v>1237</v>
      </c>
      <c r="D77" s="77" t="s">
        <v>1316</v>
      </c>
    </row>
    <row r="78" ht="15.75" customHeight="1" spans="1:4">
      <c r="A78" s="77" t="s">
        <v>1317</v>
      </c>
      <c r="B78" s="71">
        <v>2889.5</v>
      </c>
      <c r="C78" s="3" t="s">
        <v>1237</v>
      </c>
      <c r="D78" s="77" t="s">
        <v>1317</v>
      </c>
    </row>
    <row r="79" ht="15.75" customHeight="1" spans="1:4">
      <c r="A79" s="77" t="s">
        <v>1318</v>
      </c>
      <c r="B79" s="71">
        <v>2847.17</v>
      </c>
      <c r="C79" s="3" t="s">
        <v>1237</v>
      </c>
      <c r="D79" s="77" t="s">
        <v>1318</v>
      </c>
    </row>
    <row r="80" ht="15.75" customHeight="1" spans="1:4">
      <c r="A80" s="77" t="s">
        <v>1319</v>
      </c>
      <c r="B80" s="71">
        <v>2289.5</v>
      </c>
      <c r="C80" s="3" t="s">
        <v>1237</v>
      </c>
      <c r="D80" s="77" t="s">
        <v>1319</v>
      </c>
    </row>
    <row r="81" ht="15.75" customHeight="1" spans="1:4">
      <c r="A81" s="77" t="s">
        <v>1320</v>
      </c>
      <c r="B81" s="71">
        <v>2794.4</v>
      </c>
      <c r="C81" s="3" t="s">
        <v>1237</v>
      </c>
      <c r="D81" s="77" t="s">
        <v>1320</v>
      </c>
    </row>
    <row r="82" ht="15.75" customHeight="1" spans="1:4">
      <c r="A82" s="77" t="s">
        <v>1321</v>
      </c>
      <c r="B82" s="71">
        <v>2470</v>
      </c>
      <c r="C82" s="3" t="s">
        <v>1237</v>
      </c>
      <c r="D82" s="77" t="s">
        <v>1321</v>
      </c>
    </row>
    <row r="83" ht="15.75" customHeight="1" spans="1:4">
      <c r="A83" s="77" t="s">
        <v>1322</v>
      </c>
      <c r="B83" s="71">
        <v>2349.5</v>
      </c>
      <c r="C83" s="3" t="s">
        <v>1237</v>
      </c>
      <c r="D83" s="77" t="s">
        <v>1322</v>
      </c>
    </row>
    <row r="84" ht="15.75" customHeight="1" spans="1:4">
      <c r="A84" s="77" t="s">
        <v>1323</v>
      </c>
      <c r="B84" s="71">
        <v>2273.75</v>
      </c>
      <c r="C84" s="3" t="s">
        <v>1237</v>
      </c>
      <c r="D84" s="77" t="s">
        <v>1323</v>
      </c>
    </row>
    <row r="85" ht="15.75" customHeight="1" spans="1:4">
      <c r="A85" s="77" t="s">
        <v>1324</v>
      </c>
      <c r="B85" s="71">
        <v>2211.85</v>
      </c>
      <c r="C85" s="3" t="s">
        <v>1237</v>
      </c>
      <c r="D85" s="77" t="s">
        <v>1324</v>
      </c>
    </row>
    <row r="86" ht="15.75" customHeight="1" spans="1:4">
      <c r="A86" s="77" t="s">
        <v>1325</v>
      </c>
      <c r="B86" s="71">
        <v>1430.745</v>
      </c>
      <c r="C86" s="3" t="s">
        <v>1237</v>
      </c>
      <c r="D86" s="77" t="s">
        <v>1325</v>
      </c>
    </row>
    <row r="87" ht="15.75" customHeight="1" spans="1:4">
      <c r="A87" s="77" t="s">
        <v>1326</v>
      </c>
      <c r="B87" s="71">
        <v>1370.67</v>
      </c>
      <c r="C87" s="3" t="s">
        <v>1237</v>
      </c>
      <c r="D87" s="77" t="s">
        <v>1326</v>
      </c>
    </row>
    <row r="88" ht="15.75" customHeight="1" spans="1:4">
      <c r="A88" s="77" t="s">
        <v>1327</v>
      </c>
      <c r="B88" s="71">
        <v>2024.05</v>
      </c>
      <c r="C88" s="3" t="s">
        <v>1237</v>
      </c>
      <c r="D88" s="77" t="s">
        <v>1327</v>
      </c>
    </row>
    <row r="89" ht="15.75" customHeight="1" spans="1:4">
      <c r="A89" s="77" t="s">
        <v>1328</v>
      </c>
      <c r="B89" s="71">
        <v>3416.75</v>
      </c>
      <c r="C89" s="3" t="s">
        <v>1237</v>
      </c>
      <c r="D89" s="77" t="s">
        <v>1328</v>
      </c>
    </row>
    <row r="90" ht="15.75" customHeight="1" spans="1:4">
      <c r="A90" s="77" t="s">
        <v>1329</v>
      </c>
      <c r="B90" s="71">
        <v>13.8</v>
      </c>
      <c r="C90" s="3" t="s">
        <v>1237</v>
      </c>
      <c r="D90" s="77" t="s">
        <v>1329</v>
      </c>
    </row>
    <row r="91" ht="15.75" customHeight="1" spans="1:4">
      <c r="A91" s="77" t="s">
        <v>1330</v>
      </c>
      <c r="B91" s="71">
        <v>104.88</v>
      </c>
      <c r="C91" s="3" t="s">
        <v>1237</v>
      </c>
      <c r="D91" s="77" t="s">
        <v>1330</v>
      </c>
    </row>
    <row r="92" ht="15.75" customHeight="1" spans="1:4">
      <c r="A92" s="77" t="s">
        <v>1331</v>
      </c>
      <c r="B92" s="71">
        <v>40.02</v>
      </c>
      <c r="C92" s="3" t="s">
        <v>1237</v>
      </c>
      <c r="D92" s="77" t="s">
        <v>1331</v>
      </c>
    </row>
    <row r="93" ht="15.75" customHeight="1" spans="1:4">
      <c r="A93" s="77" t="s">
        <v>1332</v>
      </c>
      <c r="B93" s="71">
        <v>0</v>
      </c>
      <c r="C93" s="3" t="s">
        <v>1237</v>
      </c>
      <c r="D93" s="77" t="s">
        <v>1332</v>
      </c>
    </row>
    <row r="94" ht="15.75" customHeight="1" spans="1:4">
      <c r="A94" s="77" t="s">
        <v>1333</v>
      </c>
      <c r="B94" s="71">
        <v>0</v>
      </c>
      <c r="C94" s="3" t="s">
        <v>1237</v>
      </c>
      <c r="D94" s="77" t="s">
        <v>1333</v>
      </c>
    </row>
    <row r="95" ht="15.75" customHeight="1" spans="1:4">
      <c r="A95" s="77" t="s">
        <v>1334</v>
      </c>
      <c r="B95" s="71">
        <v>0</v>
      </c>
      <c r="C95" s="3" t="s">
        <v>1237</v>
      </c>
      <c r="D95" s="77" t="s">
        <v>1334</v>
      </c>
    </row>
    <row r="96" ht="15.75" customHeight="1" spans="1:4">
      <c r="A96" s="77" t="s">
        <v>1335</v>
      </c>
      <c r="B96" s="71">
        <v>0</v>
      </c>
      <c r="C96" s="3" t="s">
        <v>1237</v>
      </c>
      <c r="D96" s="77" t="s">
        <v>1335</v>
      </c>
    </row>
    <row r="97" ht="15.75" customHeight="1" spans="1:4">
      <c r="A97" s="77" t="s">
        <v>1336</v>
      </c>
      <c r="B97" s="71">
        <v>3075.44</v>
      </c>
      <c r="C97" s="3" t="s">
        <v>1237</v>
      </c>
      <c r="D97" s="77" t="s">
        <v>1336</v>
      </c>
    </row>
    <row r="98" ht="15.75" customHeight="1" spans="1:4">
      <c r="A98" s="77" t="s">
        <v>1337</v>
      </c>
      <c r="B98" s="71">
        <v>27.6</v>
      </c>
      <c r="C98" s="3" t="s">
        <v>1237</v>
      </c>
      <c r="D98" s="77" t="s">
        <v>1337</v>
      </c>
    </row>
    <row r="99" ht="15.75" customHeight="1" spans="1:4">
      <c r="A99" s="77" t="s">
        <v>1338</v>
      </c>
      <c r="B99" s="71">
        <v>0</v>
      </c>
      <c r="C99" s="3" t="s">
        <v>1237</v>
      </c>
      <c r="D99" s="77" t="s">
        <v>1338</v>
      </c>
    </row>
    <row r="100" ht="15.75" customHeight="1" spans="1:4">
      <c r="A100" s="77" t="s">
        <v>1339</v>
      </c>
      <c r="B100" s="71">
        <v>0</v>
      </c>
      <c r="C100" s="3" t="s">
        <v>1237</v>
      </c>
      <c r="D100" s="77" t="s">
        <v>1339</v>
      </c>
    </row>
    <row r="101" ht="15.75" customHeight="1" spans="1:4">
      <c r="A101" s="77" t="s">
        <v>1340</v>
      </c>
      <c r="B101" s="71">
        <v>0</v>
      </c>
      <c r="C101" s="3" t="s">
        <v>1237</v>
      </c>
      <c r="D101" s="77" t="s">
        <v>1340</v>
      </c>
    </row>
    <row r="102" ht="15.75" customHeight="1" spans="1:4">
      <c r="A102" s="77" t="s">
        <v>1341</v>
      </c>
      <c r="B102" s="71">
        <v>1638.65</v>
      </c>
      <c r="C102" s="3" t="s">
        <v>1237</v>
      </c>
      <c r="D102" s="77" t="s">
        <v>1341</v>
      </c>
    </row>
    <row r="103" ht="15.75" customHeight="1" spans="1:4">
      <c r="A103" s="77" t="s">
        <v>1342</v>
      </c>
      <c r="B103" s="71">
        <v>2058.645</v>
      </c>
      <c r="C103" s="3" t="s">
        <v>1237</v>
      </c>
      <c r="D103" s="77" t="s">
        <v>1342</v>
      </c>
    </row>
    <row r="104" ht="15.75" customHeight="1" spans="1:4">
      <c r="A104" s="77" t="s">
        <v>1343</v>
      </c>
      <c r="B104" s="71">
        <v>1828.4</v>
      </c>
      <c r="C104" s="3" t="s">
        <v>1237</v>
      </c>
      <c r="D104" s="77" t="s">
        <v>1343</v>
      </c>
    </row>
    <row r="105" ht="15.75" customHeight="1" spans="1:4">
      <c r="A105" s="77" t="s">
        <v>1344</v>
      </c>
      <c r="B105" s="71">
        <v>155.764</v>
      </c>
      <c r="C105" s="3" t="s">
        <v>1237</v>
      </c>
      <c r="D105" s="77" t="s">
        <v>1344</v>
      </c>
    </row>
    <row r="106" ht="15.75" customHeight="1" spans="1:4">
      <c r="A106" s="77" t="s">
        <v>1345</v>
      </c>
      <c r="B106" s="71">
        <v>0</v>
      </c>
      <c r="C106" s="3" t="s">
        <v>1237</v>
      </c>
      <c r="D106" s="77" t="s">
        <v>1345</v>
      </c>
    </row>
    <row r="107" ht="15.75" customHeight="1" spans="1:4">
      <c r="A107" s="77" t="s">
        <v>1346</v>
      </c>
      <c r="B107" s="71">
        <v>1754.21</v>
      </c>
      <c r="C107" s="3" t="s">
        <v>1237</v>
      </c>
      <c r="D107" s="77" t="s">
        <v>1346</v>
      </c>
    </row>
    <row r="108" ht="15.75" customHeight="1" spans="1:4">
      <c r="A108" s="77" t="s">
        <v>1347</v>
      </c>
      <c r="B108" s="71">
        <v>0</v>
      </c>
      <c r="C108" s="3" t="s">
        <v>1237</v>
      </c>
      <c r="D108" s="77" t="s">
        <v>1347</v>
      </c>
    </row>
    <row r="109" ht="15.75" customHeight="1" spans="1:4">
      <c r="A109" s="77" t="s">
        <v>1348</v>
      </c>
      <c r="B109" s="71">
        <v>88.14</v>
      </c>
      <c r="C109" s="3" t="s">
        <v>1237</v>
      </c>
      <c r="D109" s="77" t="s">
        <v>1348</v>
      </c>
    </row>
    <row r="110" ht="15.75" customHeight="1" spans="1:4">
      <c r="A110" s="77" t="s">
        <v>1349</v>
      </c>
      <c r="B110" s="71">
        <v>294.755</v>
      </c>
      <c r="C110" s="3" t="s">
        <v>1237</v>
      </c>
      <c r="D110" s="77" t="s">
        <v>1349</v>
      </c>
    </row>
    <row r="111" ht="15.75" customHeight="1" spans="1:4">
      <c r="A111" s="77" t="s">
        <v>1350</v>
      </c>
      <c r="B111" s="71">
        <v>117</v>
      </c>
      <c r="C111" s="3" t="s">
        <v>1237</v>
      </c>
      <c r="D111" s="77" t="s">
        <v>1350</v>
      </c>
    </row>
    <row r="112" ht="15.75" customHeight="1" spans="1:4">
      <c r="A112" s="77" t="s">
        <v>1351</v>
      </c>
      <c r="B112" s="71">
        <v>460.36</v>
      </c>
      <c r="C112" s="3" t="s">
        <v>1237</v>
      </c>
      <c r="D112" s="77" t="s">
        <v>1351</v>
      </c>
    </row>
    <row r="113" ht="15.75" customHeight="1" spans="1:4">
      <c r="A113" s="77" t="s">
        <v>1352</v>
      </c>
      <c r="B113" s="71">
        <v>571.31</v>
      </c>
      <c r="C113" s="3" t="s">
        <v>1237</v>
      </c>
      <c r="D113" s="77" t="s">
        <v>1352</v>
      </c>
    </row>
    <row r="114" ht="15.75" customHeight="1" spans="1:4">
      <c r="A114" s="77" t="s">
        <v>1353</v>
      </c>
      <c r="B114" s="71">
        <v>713.96</v>
      </c>
      <c r="C114" s="3" t="s">
        <v>1237</v>
      </c>
      <c r="D114" s="77" t="s">
        <v>1353</v>
      </c>
    </row>
    <row r="115" ht="15.75" customHeight="1" spans="1:4">
      <c r="A115" s="77" t="s">
        <v>1354</v>
      </c>
      <c r="B115" s="71">
        <v>1273.22</v>
      </c>
      <c r="C115" s="3" t="s">
        <v>1237</v>
      </c>
      <c r="D115" s="77" t="s">
        <v>1354</v>
      </c>
    </row>
    <row r="116" ht="15.75" customHeight="1" spans="1:4">
      <c r="A116" s="77" t="s">
        <v>1355</v>
      </c>
      <c r="B116" s="71">
        <v>1281.601</v>
      </c>
      <c r="C116" s="3" t="s">
        <v>1237</v>
      </c>
      <c r="D116" s="77" t="s">
        <v>1355</v>
      </c>
    </row>
    <row r="117" ht="15.75" customHeight="1" spans="1:4">
      <c r="A117" s="77" t="s">
        <v>1356</v>
      </c>
      <c r="B117" s="71">
        <v>1295.814</v>
      </c>
      <c r="C117" s="3" t="s">
        <v>1237</v>
      </c>
      <c r="D117" s="77" t="s">
        <v>1356</v>
      </c>
    </row>
    <row r="118" ht="15.75" customHeight="1" spans="1:4">
      <c r="A118" s="77" t="s">
        <v>1357</v>
      </c>
      <c r="B118" s="71">
        <v>1146.4</v>
      </c>
      <c r="C118" s="3" t="s">
        <v>1237</v>
      </c>
      <c r="D118" s="77" t="s">
        <v>1357</v>
      </c>
    </row>
    <row r="119" ht="15.75" customHeight="1" spans="1:4">
      <c r="A119" s="77" t="s">
        <v>1358</v>
      </c>
      <c r="B119" s="71">
        <v>546</v>
      </c>
      <c r="C119" s="3" t="s">
        <v>1237</v>
      </c>
      <c r="D119" s="77" t="s">
        <v>1358</v>
      </c>
    </row>
    <row r="120" ht="15.75" customHeight="1" spans="1:4">
      <c r="A120" s="77" t="s">
        <v>1359</v>
      </c>
      <c r="B120" s="71">
        <v>132.6</v>
      </c>
      <c r="C120" s="3" t="s">
        <v>1237</v>
      </c>
      <c r="D120" s="77" t="s">
        <v>1359</v>
      </c>
    </row>
    <row r="121" ht="15.75" customHeight="1" spans="1:4">
      <c r="A121" s="77" t="s">
        <v>1360</v>
      </c>
      <c r="B121" s="71">
        <v>145.6</v>
      </c>
      <c r="C121" s="3" t="s">
        <v>1237</v>
      </c>
      <c r="D121" s="77" t="s">
        <v>1360</v>
      </c>
    </row>
    <row r="122" ht="15.75" customHeight="1" spans="1:4">
      <c r="A122" s="77" t="s">
        <v>1361</v>
      </c>
      <c r="B122" s="71">
        <v>1944.77</v>
      </c>
      <c r="C122" s="3" t="s">
        <v>1237</v>
      </c>
      <c r="D122" s="77" t="s">
        <v>1361</v>
      </c>
    </row>
    <row r="123" ht="15.75" customHeight="1" spans="1:4">
      <c r="A123" s="77" t="s">
        <v>1362</v>
      </c>
      <c r="B123" s="71">
        <v>675.49</v>
      </c>
      <c r="C123" s="3" t="s">
        <v>1237</v>
      </c>
      <c r="D123" s="77" t="s">
        <v>1362</v>
      </c>
    </row>
    <row r="124" ht="15.75" customHeight="1" spans="1:4">
      <c r="A124" s="77" t="s">
        <v>1363</v>
      </c>
      <c r="B124" s="71">
        <v>2018.325</v>
      </c>
      <c r="C124" s="3" t="s">
        <v>1237</v>
      </c>
      <c r="D124" s="77" t="s">
        <v>1363</v>
      </c>
    </row>
    <row r="125" ht="15.75" customHeight="1" spans="1:4">
      <c r="A125" s="77" t="s">
        <v>1364</v>
      </c>
      <c r="B125" s="71">
        <v>1636.3</v>
      </c>
      <c r="C125" s="3" t="s">
        <v>1237</v>
      </c>
      <c r="D125" s="77" t="s">
        <v>1364</v>
      </c>
    </row>
    <row r="126" ht="15.75" customHeight="1" spans="1:4">
      <c r="A126" s="77" t="s">
        <v>1365</v>
      </c>
      <c r="B126" s="71">
        <v>236.95</v>
      </c>
      <c r="C126" s="3" t="s">
        <v>1237</v>
      </c>
      <c r="D126" s="77" t="s">
        <v>1365</v>
      </c>
    </row>
    <row r="127" ht="15.75" customHeight="1" spans="1:4">
      <c r="A127" s="77" t="s">
        <v>1366</v>
      </c>
      <c r="B127" s="71">
        <v>466.453</v>
      </c>
      <c r="C127" s="3" t="s">
        <v>1237</v>
      </c>
      <c r="D127" s="77" t="s">
        <v>1366</v>
      </c>
    </row>
    <row r="128" ht="15.75" customHeight="1" spans="1:4">
      <c r="A128" s="77" t="s">
        <v>1367</v>
      </c>
      <c r="B128" s="71">
        <v>145.555</v>
      </c>
      <c r="C128" s="3" t="s">
        <v>1237</v>
      </c>
      <c r="D128" s="77" t="s">
        <v>1367</v>
      </c>
    </row>
    <row r="129" ht="15.75" customHeight="1" spans="1:4">
      <c r="A129" s="77" t="s">
        <v>1368</v>
      </c>
      <c r="B129" s="71">
        <v>145.555</v>
      </c>
      <c r="C129" s="3" t="s">
        <v>1237</v>
      </c>
      <c r="D129" s="77" t="s">
        <v>1368</v>
      </c>
    </row>
    <row r="130" ht="15.75" customHeight="1" spans="1:4">
      <c r="A130" s="77" t="s">
        <v>1369</v>
      </c>
      <c r="B130" s="71">
        <v>625.62</v>
      </c>
      <c r="C130" s="3" t="s">
        <v>1237</v>
      </c>
      <c r="D130" s="77" t="s">
        <v>1369</v>
      </c>
    </row>
    <row r="131" ht="15.75" customHeight="1" spans="1:4">
      <c r="A131" s="77" t="s">
        <v>1370</v>
      </c>
      <c r="B131" s="71">
        <v>138.42</v>
      </c>
      <c r="C131" s="3" t="s">
        <v>1237</v>
      </c>
      <c r="D131" s="77" t="s">
        <v>1370</v>
      </c>
    </row>
    <row r="132" ht="15.75" customHeight="1" spans="1:4">
      <c r="A132" s="77" t="s">
        <v>1371</v>
      </c>
      <c r="B132" s="71">
        <v>1564.395</v>
      </c>
      <c r="C132" s="3" t="s">
        <v>1237</v>
      </c>
      <c r="D132" s="77" t="s">
        <v>1371</v>
      </c>
    </row>
    <row r="133" ht="15.75" customHeight="1" spans="1:4">
      <c r="A133" s="77" t="s">
        <v>1372</v>
      </c>
      <c r="B133" s="71">
        <v>460.36</v>
      </c>
      <c r="C133" s="3" t="s">
        <v>1237</v>
      </c>
      <c r="D133" s="77" t="s">
        <v>1372</v>
      </c>
    </row>
    <row r="134" ht="15.75" customHeight="1" spans="1:4">
      <c r="A134" s="77" t="s">
        <v>1373</v>
      </c>
      <c r="B134" s="71">
        <v>142.17</v>
      </c>
      <c r="C134" s="3" t="s">
        <v>1237</v>
      </c>
      <c r="D134" s="77" t="s">
        <v>1373</v>
      </c>
    </row>
    <row r="135" ht="15.75" customHeight="1" spans="1:4">
      <c r="A135" s="77" t="s">
        <v>1374</v>
      </c>
      <c r="B135" s="71">
        <v>1911.64</v>
      </c>
      <c r="C135" s="3" t="s">
        <v>1237</v>
      </c>
      <c r="D135" s="77" t="s">
        <v>1374</v>
      </c>
    </row>
    <row r="136" ht="15.75" customHeight="1" spans="1:4">
      <c r="A136" s="77" t="s">
        <v>1375</v>
      </c>
      <c r="B136" s="71">
        <v>1242.06</v>
      </c>
      <c r="C136" s="3" t="s">
        <v>1237</v>
      </c>
      <c r="D136" s="77" t="s">
        <v>1375</v>
      </c>
    </row>
    <row r="137" ht="15.75" customHeight="1" spans="1:4">
      <c r="A137" s="77" t="s">
        <v>1376</v>
      </c>
      <c r="B137" s="71">
        <v>694.175</v>
      </c>
      <c r="C137" s="3" t="s">
        <v>1237</v>
      </c>
      <c r="D137" s="77" t="s">
        <v>1376</v>
      </c>
    </row>
    <row r="138" ht="15.75" customHeight="1" spans="1:4">
      <c r="A138" s="77" t="s">
        <v>1377</v>
      </c>
      <c r="B138" s="71">
        <v>2567</v>
      </c>
      <c r="C138" s="3" t="s">
        <v>1237</v>
      </c>
      <c r="D138" s="77" t="s">
        <v>1377</v>
      </c>
    </row>
    <row r="139" ht="15.75" customHeight="1" spans="1:4">
      <c r="A139" s="77" t="s">
        <v>1378</v>
      </c>
      <c r="B139" s="71">
        <v>2060.33</v>
      </c>
      <c r="C139" s="3" t="s">
        <v>1237</v>
      </c>
      <c r="D139" s="77" t="s">
        <v>1378</v>
      </c>
    </row>
    <row r="140" ht="15.75" customHeight="1" spans="1:4">
      <c r="A140" s="77" t="s">
        <v>1379</v>
      </c>
      <c r="B140" s="71">
        <v>1376.72</v>
      </c>
      <c r="C140" s="3" t="s">
        <v>1237</v>
      </c>
      <c r="D140" s="77" t="s">
        <v>1379</v>
      </c>
    </row>
    <row r="141" ht="15.75" customHeight="1" spans="1:4">
      <c r="A141" s="77" t="s">
        <v>1380</v>
      </c>
      <c r="B141" s="71">
        <v>1239.69</v>
      </c>
      <c r="C141" s="3" t="s">
        <v>1237</v>
      </c>
      <c r="D141" s="77" t="s">
        <v>1380</v>
      </c>
    </row>
    <row r="142" ht="15.75" customHeight="1" spans="1:4">
      <c r="A142" s="77" t="s">
        <v>1381</v>
      </c>
      <c r="B142" s="71">
        <v>142.17</v>
      </c>
      <c r="C142" s="3" t="s">
        <v>1237</v>
      </c>
      <c r="D142" s="77" t="s">
        <v>1381</v>
      </c>
    </row>
    <row r="143" ht="15.75" customHeight="1" spans="1:4">
      <c r="A143" s="77" t="s">
        <v>1382</v>
      </c>
      <c r="B143" s="71">
        <v>36.156</v>
      </c>
      <c r="C143" s="3" t="s">
        <v>1237</v>
      </c>
      <c r="D143" s="77" t="s">
        <v>1382</v>
      </c>
    </row>
    <row r="144" ht="15.75" customHeight="1" spans="1:4">
      <c r="A144" s="77" t="s">
        <v>1383</v>
      </c>
      <c r="B144" s="71">
        <v>0</v>
      </c>
      <c r="C144" s="3" t="s">
        <v>1237</v>
      </c>
      <c r="D144" s="77" t="s">
        <v>1383</v>
      </c>
    </row>
    <row r="145" ht="15.75" customHeight="1" spans="1:4">
      <c r="A145" s="77" t="s">
        <v>1384</v>
      </c>
      <c r="B145" s="71">
        <v>0</v>
      </c>
      <c r="C145" s="3" t="s">
        <v>1237</v>
      </c>
      <c r="D145" s="77" t="s">
        <v>1384</v>
      </c>
    </row>
    <row r="146" ht="15.75" customHeight="1" spans="1:4">
      <c r="A146" s="77" t="s">
        <v>1385</v>
      </c>
      <c r="B146" s="71">
        <v>4972.4</v>
      </c>
      <c r="C146" s="3" t="s">
        <v>1237</v>
      </c>
      <c r="D146" s="77" t="s">
        <v>1385</v>
      </c>
    </row>
    <row r="147" ht="15.75" customHeight="1" spans="1:4">
      <c r="A147" s="77" t="s">
        <v>1386</v>
      </c>
      <c r="B147" s="71">
        <v>326.314</v>
      </c>
      <c r="C147" s="3" t="s">
        <v>1237</v>
      </c>
      <c r="D147" s="77" t="s">
        <v>1386</v>
      </c>
    </row>
    <row r="148" ht="15.75" customHeight="1" spans="1:4">
      <c r="A148" s="77" t="s">
        <v>1387</v>
      </c>
      <c r="B148" s="71">
        <v>0</v>
      </c>
      <c r="C148" s="3" t="s">
        <v>1237</v>
      </c>
      <c r="D148" s="77" t="s">
        <v>1387</v>
      </c>
    </row>
    <row r="149" ht="15.75" customHeight="1" spans="1:4">
      <c r="A149" s="77" t="s">
        <v>1388</v>
      </c>
      <c r="B149" s="71">
        <v>0</v>
      </c>
      <c r="C149" s="3" t="s">
        <v>1237</v>
      </c>
      <c r="D149" s="77" t="s">
        <v>1388</v>
      </c>
    </row>
    <row r="150" ht="15.75" customHeight="1" spans="1:4">
      <c r="A150" s="77" t="s">
        <v>1389</v>
      </c>
      <c r="B150" s="71">
        <v>3985</v>
      </c>
      <c r="C150" s="3" t="s">
        <v>1237</v>
      </c>
      <c r="D150" s="77" t="s">
        <v>1389</v>
      </c>
    </row>
    <row r="151" ht="15.75" customHeight="1" spans="1:4">
      <c r="A151" s="77" t="s">
        <v>1390</v>
      </c>
      <c r="B151" s="71">
        <v>11607</v>
      </c>
      <c r="C151" s="3" t="s">
        <v>1237</v>
      </c>
      <c r="D151" s="77" t="s">
        <v>1390</v>
      </c>
    </row>
    <row r="152" ht="15.75" customHeight="1" spans="1:4">
      <c r="A152" s="77" t="s">
        <v>1391</v>
      </c>
      <c r="B152" s="71">
        <v>11698</v>
      </c>
      <c r="C152" s="3" t="s">
        <v>1237</v>
      </c>
      <c r="D152" s="77" t="s">
        <v>1391</v>
      </c>
    </row>
    <row r="153" ht="15.75" customHeight="1" spans="1:4">
      <c r="A153" s="77" t="s">
        <v>1392</v>
      </c>
      <c r="B153" s="71">
        <v>4984</v>
      </c>
      <c r="C153" s="3" t="s">
        <v>1237</v>
      </c>
      <c r="D153" s="77" t="s">
        <v>1392</v>
      </c>
    </row>
    <row r="154" ht="15.75" customHeight="1" spans="1:4">
      <c r="A154" s="77" t="s">
        <v>1393</v>
      </c>
      <c r="B154" s="71">
        <v>0</v>
      </c>
      <c r="C154" s="3" t="s">
        <v>1237</v>
      </c>
      <c r="D154" s="77" t="s">
        <v>1393</v>
      </c>
    </row>
    <row r="155" ht="15.75" customHeight="1" spans="1:4">
      <c r="A155" s="77" t="s">
        <v>1394</v>
      </c>
      <c r="B155" s="71">
        <v>0</v>
      </c>
      <c r="C155" s="3" t="s">
        <v>1237</v>
      </c>
      <c r="D155" s="77" t="s">
        <v>1394</v>
      </c>
    </row>
    <row r="156" ht="15.75" customHeight="1" spans="1:4">
      <c r="A156" s="77" t="s">
        <v>1395</v>
      </c>
      <c r="B156" s="71">
        <v>196.1</v>
      </c>
      <c r="C156" s="3" t="s">
        <v>1237</v>
      </c>
      <c r="D156" s="77" t="s">
        <v>1395</v>
      </c>
    </row>
    <row r="157" ht="15.75" customHeight="1" spans="1:4">
      <c r="A157" s="77" t="s">
        <v>1396</v>
      </c>
      <c r="B157" s="71">
        <v>572</v>
      </c>
      <c r="C157" s="3" t="s">
        <v>1237</v>
      </c>
      <c r="D157" s="77" t="s">
        <v>1396</v>
      </c>
    </row>
    <row r="158" ht="15.75" customHeight="1" spans="1:4">
      <c r="A158" s="77" t="s">
        <v>1397</v>
      </c>
      <c r="B158" s="71">
        <v>539.5</v>
      </c>
      <c r="C158" s="3" t="s">
        <v>1237</v>
      </c>
      <c r="D158" s="77" t="s">
        <v>1397</v>
      </c>
    </row>
    <row r="159" ht="15.75" customHeight="1" spans="1:4">
      <c r="A159" s="77" t="s">
        <v>1398</v>
      </c>
      <c r="B159" s="71">
        <v>0</v>
      </c>
      <c r="C159" s="3" t="s">
        <v>1237</v>
      </c>
      <c r="D159" s="77" t="s">
        <v>1398</v>
      </c>
    </row>
    <row r="160" ht="15.75" customHeight="1" spans="1:4">
      <c r="A160" s="77" t="s">
        <v>1399</v>
      </c>
      <c r="B160" s="71">
        <v>402</v>
      </c>
      <c r="C160" s="3" t="s">
        <v>1237</v>
      </c>
      <c r="D160" s="77" t="s">
        <v>1399</v>
      </c>
    </row>
    <row r="161" ht="15.75" customHeight="1" spans="1:4">
      <c r="A161" s="78" t="s">
        <v>1400</v>
      </c>
      <c r="B161" s="74">
        <v>129.82</v>
      </c>
      <c r="C161" s="3" t="s">
        <v>1237</v>
      </c>
      <c r="D161" s="78" t="s">
        <v>1400</v>
      </c>
    </row>
    <row r="162" ht="15.75" customHeight="1" spans="1:4">
      <c r="A162" s="79" t="s">
        <v>1401</v>
      </c>
      <c r="B162" s="71">
        <v>4660</v>
      </c>
      <c r="C162" s="3" t="s">
        <v>1402</v>
      </c>
      <c r="D162" s="79" t="s">
        <v>1401</v>
      </c>
    </row>
    <row r="163" ht="15.75" customHeight="1" spans="1:4">
      <c r="A163" s="79" t="s">
        <v>1403</v>
      </c>
      <c r="B163" s="71">
        <v>10200</v>
      </c>
      <c r="C163" s="3" t="s">
        <v>1402</v>
      </c>
      <c r="D163" s="79" t="s">
        <v>1403</v>
      </c>
    </row>
    <row r="164" ht="15.75" customHeight="1" spans="1:4">
      <c r="A164" s="79" t="s">
        <v>1404</v>
      </c>
      <c r="B164" s="71">
        <v>13900</v>
      </c>
      <c r="C164" s="3" t="s">
        <v>1402</v>
      </c>
      <c r="D164" s="79" t="s">
        <v>1404</v>
      </c>
    </row>
    <row r="165" ht="15.75" customHeight="1" spans="1:4">
      <c r="A165" s="79" t="s">
        <v>1405</v>
      </c>
      <c r="B165" s="71">
        <v>5820</v>
      </c>
      <c r="C165" s="3" t="s">
        <v>1402</v>
      </c>
      <c r="D165" s="79" t="s">
        <v>1405</v>
      </c>
    </row>
    <row r="166" ht="15.75" customHeight="1" spans="1:4">
      <c r="A166" s="79" t="s">
        <v>1406</v>
      </c>
      <c r="B166" s="71">
        <v>8590</v>
      </c>
      <c r="C166" s="3" t="s">
        <v>1402</v>
      </c>
      <c r="D166" s="79" t="s">
        <v>1406</v>
      </c>
    </row>
    <row r="167" ht="15.75" customHeight="1" spans="1:4">
      <c r="A167" s="79" t="s">
        <v>1407</v>
      </c>
      <c r="B167" s="71">
        <v>7670</v>
      </c>
      <c r="C167" s="3" t="s">
        <v>1402</v>
      </c>
      <c r="D167" s="79" t="s">
        <v>1407</v>
      </c>
    </row>
    <row r="168" ht="15.75" customHeight="1" spans="1:4">
      <c r="A168" s="79" t="s">
        <v>1408</v>
      </c>
      <c r="B168" s="71">
        <v>6290</v>
      </c>
      <c r="C168" s="3" t="s">
        <v>1402</v>
      </c>
      <c r="D168" s="79" t="s">
        <v>1408</v>
      </c>
    </row>
    <row r="169" ht="15.75" customHeight="1" spans="1:4">
      <c r="A169" s="79" t="s">
        <v>1409</v>
      </c>
      <c r="B169" s="71">
        <v>1750</v>
      </c>
      <c r="C169" s="3" t="s">
        <v>1402</v>
      </c>
      <c r="D169" s="79" t="s">
        <v>1409</v>
      </c>
    </row>
    <row r="170" ht="15.75" customHeight="1" spans="1:4">
      <c r="A170" s="79" t="s">
        <v>1410</v>
      </c>
      <c r="B170" s="71">
        <v>1470</v>
      </c>
      <c r="C170" s="3" t="s">
        <v>1402</v>
      </c>
      <c r="D170" s="79" t="s">
        <v>1410</v>
      </c>
    </row>
    <row r="171" ht="15.75" customHeight="1" spans="1:4">
      <c r="A171" s="79" t="s">
        <v>1411</v>
      </c>
      <c r="B171" s="71">
        <v>1730</v>
      </c>
      <c r="C171" s="3" t="s">
        <v>1402</v>
      </c>
      <c r="D171" s="79" t="s">
        <v>1411</v>
      </c>
    </row>
    <row r="172" ht="15.75" customHeight="1" spans="1:4">
      <c r="A172" s="79" t="s">
        <v>1412</v>
      </c>
      <c r="B172" s="71">
        <v>2</v>
      </c>
      <c r="C172" s="3" t="s">
        <v>1402</v>
      </c>
      <c r="D172" s="79" t="s">
        <v>1412</v>
      </c>
    </row>
    <row r="173" ht="15.75" customHeight="1" spans="1:4">
      <c r="A173" s="79" t="s">
        <v>1413</v>
      </c>
      <c r="B173" s="71">
        <v>160</v>
      </c>
      <c r="C173" s="3" t="s">
        <v>1402</v>
      </c>
      <c r="D173" s="79" t="s">
        <v>1413</v>
      </c>
    </row>
    <row r="174" ht="15.75" customHeight="1" spans="1:4">
      <c r="A174" s="79" t="s">
        <v>1414</v>
      </c>
      <c r="B174" s="71">
        <v>148</v>
      </c>
      <c r="C174" s="3" t="s">
        <v>1402</v>
      </c>
      <c r="D174" s="79" t="s">
        <v>1414</v>
      </c>
    </row>
    <row r="175" ht="15.75" customHeight="1" spans="1:4">
      <c r="A175" s="79" t="s">
        <v>1415</v>
      </c>
      <c r="B175" s="71">
        <v>1760</v>
      </c>
      <c r="C175" s="3" t="s">
        <v>1402</v>
      </c>
      <c r="D175" s="79" t="s">
        <v>1415</v>
      </c>
    </row>
    <row r="176" ht="15.75" customHeight="1" spans="1:4">
      <c r="A176" s="79" t="s">
        <v>1416</v>
      </c>
      <c r="B176" s="71">
        <v>79</v>
      </c>
      <c r="C176" s="3" t="s">
        <v>1402</v>
      </c>
      <c r="D176" s="79" t="s">
        <v>1416</v>
      </c>
    </row>
    <row r="177" ht="15.75" customHeight="1" spans="1:4">
      <c r="A177" s="79" t="s">
        <v>1417</v>
      </c>
      <c r="B177" s="71">
        <v>527</v>
      </c>
      <c r="C177" s="3" t="s">
        <v>1402</v>
      </c>
      <c r="D177" s="79" t="s">
        <v>1417</v>
      </c>
    </row>
    <row r="178" ht="15.75" customHeight="1" spans="1:4">
      <c r="A178" s="79" t="s">
        <v>1418</v>
      </c>
      <c r="B178" s="71">
        <v>782</v>
      </c>
      <c r="C178" s="3" t="s">
        <v>1402</v>
      </c>
      <c r="D178" s="79" t="s">
        <v>1418</v>
      </c>
    </row>
    <row r="179" ht="15.75" customHeight="1" spans="1:4">
      <c r="A179" s="79" t="s">
        <v>1419</v>
      </c>
      <c r="B179" s="71">
        <v>1980</v>
      </c>
      <c r="C179" s="3" t="s">
        <v>1402</v>
      </c>
      <c r="D179" s="79" t="s">
        <v>1419</v>
      </c>
    </row>
    <row r="180" ht="15.75" customHeight="1" spans="1:4">
      <c r="A180" s="79" t="s">
        <v>1420</v>
      </c>
      <c r="B180" s="71">
        <v>127</v>
      </c>
      <c r="C180" s="3" t="s">
        <v>1402</v>
      </c>
      <c r="D180" s="79" t="s">
        <v>1420</v>
      </c>
    </row>
    <row r="181" ht="15.75" customHeight="1" spans="1:4">
      <c r="A181" s="79" t="s">
        <v>1421</v>
      </c>
      <c r="B181" s="71">
        <v>525</v>
      </c>
      <c r="C181" s="3" t="s">
        <v>1402</v>
      </c>
      <c r="D181" s="79" t="s">
        <v>1421</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G7" sqref="G7"/>
    </sheetView>
  </sheetViews>
  <sheetFormatPr defaultColWidth="14.4285714285714" defaultRowHeight="15" customHeight="1" outlineLevelCol="5"/>
  <cols>
    <col min="1" max="1" width="6.57142857142857" customWidth="1"/>
    <col min="2" max="2" width="34.7142857142857" customWidth="1"/>
    <col min="3" max="4" width="15.1428571428571" customWidth="1"/>
    <col min="5" max="5" width="17.5714285714286" customWidth="1"/>
    <col min="6" max="6" width="18.7142857142857" customWidth="1"/>
    <col min="7" max="26" width="15.1428571428571" customWidth="1"/>
  </cols>
  <sheetData>
    <row r="1" spans="1:6">
      <c r="A1" s="60" t="s">
        <v>1053</v>
      </c>
      <c r="B1" s="60" t="s">
        <v>1422</v>
      </c>
      <c r="C1" s="60" t="s">
        <v>1093</v>
      </c>
      <c r="D1" s="61" t="s">
        <v>1238</v>
      </c>
      <c r="E1" s="60" t="s">
        <v>1240</v>
      </c>
      <c r="F1" s="60" t="s">
        <v>1242</v>
      </c>
    </row>
    <row r="2" ht="15.75" spans="1:6">
      <c r="A2" s="3">
        <v>2024</v>
      </c>
      <c r="B2" s="62" t="s">
        <v>1157</v>
      </c>
      <c r="C2" s="62" t="s">
        <v>1423</v>
      </c>
      <c r="D2" s="63">
        <v>2.212</v>
      </c>
      <c r="E2" s="3">
        <v>0.000807717456</v>
      </c>
      <c r="F2" s="3">
        <v>0.00025846958592</v>
      </c>
    </row>
    <row r="3" ht="15.75" spans="1:6">
      <c r="A3" s="3">
        <v>2024</v>
      </c>
      <c r="B3" s="62" t="s">
        <v>1172</v>
      </c>
      <c r="C3" s="62" t="s">
        <v>1423</v>
      </c>
      <c r="D3" s="63">
        <v>2.603</v>
      </c>
      <c r="E3" s="3">
        <v>0.00013853116368</v>
      </c>
      <c r="F3" s="3">
        <v>0.00013853116368</v>
      </c>
    </row>
    <row r="4" ht="15.75" spans="1:6">
      <c r="A4" s="3">
        <v>2024</v>
      </c>
      <c r="B4" s="62" t="s">
        <v>1227</v>
      </c>
      <c r="C4" s="62" t="s">
        <v>1124</v>
      </c>
      <c r="D4" s="63">
        <v>1.999</v>
      </c>
      <c r="E4" s="3">
        <v>0.00338963328</v>
      </c>
      <c r="F4" s="3">
        <v>0.00011053152</v>
      </c>
    </row>
    <row r="5" ht="15.75" spans="1:6">
      <c r="A5" s="3">
        <v>2024</v>
      </c>
      <c r="B5" s="62" t="s">
        <v>1229</v>
      </c>
      <c r="C5" s="62" t="s">
        <v>1423</v>
      </c>
      <c r="D5" s="63">
        <v>1.16987</v>
      </c>
      <c r="E5" s="3">
        <v>0.00189735286759718</v>
      </c>
      <c r="F5" s="3">
        <v>6.1870202204256e-5</v>
      </c>
    </row>
    <row r="6" ht="15.75" spans="1:6">
      <c r="A6" s="3">
        <v>2024</v>
      </c>
      <c r="B6" s="62" t="s">
        <v>1152</v>
      </c>
      <c r="C6" s="62" t="s">
        <v>1121</v>
      </c>
      <c r="D6" s="63">
        <v>2.932476588</v>
      </c>
      <c r="E6" s="3">
        <v>0.00288135576</v>
      </c>
      <c r="F6" s="3">
        <v>9.294696e-6</v>
      </c>
    </row>
    <row r="7" ht="15.75" spans="1:6">
      <c r="A7" s="3">
        <v>2024</v>
      </c>
      <c r="B7" s="62" t="s">
        <v>1182</v>
      </c>
      <c r="C7" s="62" t="s">
        <v>1423</v>
      </c>
      <c r="D7" s="63">
        <v>2.51685</v>
      </c>
      <c r="E7" s="3">
        <v>1.761795e-5</v>
      </c>
      <c r="F7" s="3">
        <v>7.04718e-5</v>
      </c>
    </row>
    <row r="8" ht="15.75" spans="1:6">
      <c r="A8" s="3">
        <v>2024</v>
      </c>
      <c r="B8" s="62" t="s">
        <v>1160</v>
      </c>
      <c r="C8" s="62" t="s">
        <v>1423</v>
      </c>
      <c r="D8" s="63">
        <v>2.2506</v>
      </c>
      <c r="E8" s="3">
        <v>1.60809e-5</v>
      </c>
      <c r="F8" s="3">
        <v>6.43236e-5</v>
      </c>
    </row>
    <row r="9" ht="15.75" spans="1:6">
      <c r="A9" s="3">
        <v>2024</v>
      </c>
      <c r="B9" s="62" t="s">
        <v>1164</v>
      </c>
      <c r="C9" s="62" t="s">
        <v>1423</v>
      </c>
      <c r="D9" s="63">
        <v>2.7175325562</v>
      </c>
      <c r="E9" s="3">
        <v>0.00013853116368</v>
      </c>
      <c r="F9" s="3">
        <v>0.00013853116368</v>
      </c>
    </row>
    <row r="10" ht="15.75" spans="1:6">
      <c r="A10" s="3">
        <v>2024</v>
      </c>
      <c r="B10" s="62" t="s">
        <v>1424</v>
      </c>
      <c r="C10" s="62" t="s">
        <v>1423</v>
      </c>
      <c r="D10" s="63">
        <v>1.089429</v>
      </c>
      <c r="E10" s="3">
        <v>0.000124199038514571</v>
      </c>
      <c r="F10" s="3">
        <v>1.1929924797283e-5</v>
      </c>
    </row>
    <row r="11" ht="15.75" spans="1:6">
      <c r="A11" s="3">
        <v>2024</v>
      </c>
      <c r="B11" s="62" t="s">
        <v>1168</v>
      </c>
      <c r="C11" s="62" t="s">
        <v>1423</v>
      </c>
      <c r="D11" s="63">
        <v>3.1063809084</v>
      </c>
      <c r="E11" s="3">
        <v>0.00040151412</v>
      </c>
      <c r="F11" s="3">
        <v>2.40908472e-5</v>
      </c>
    </row>
    <row r="12" ht="15.75" spans="1:6">
      <c r="A12" s="64">
        <v>2024</v>
      </c>
      <c r="B12" s="65" t="s">
        <v>1058</v>
      </c>
      <c r="C12" s="65" t="s">
        <v>1423</v>
      </c>
      <c r="D12" s="66">
        <v>1.457</v>
      </c>
      <c r="E12" s="64">
        <v>0.00038409954408</v>
      </c>
      <c r="F12" s="64">
        <v>1.2803318136e-5</v>
      </c>
    </row>
    <row r="13" ht="15.75" spans="1:6">
      <c r="A13" s="64">
        <v>2024</v>
      </c>
      <c r="B13" s="65" t="s">
        <v>1200</v>
      </c>
      <c r="C13" s="65" t="s">
        <v>1423</v>
      </c>
      <c r="D13" s="66">
        <v>2.431</v>
      </c>
      <c r="E13" s="64">
        <v>0.00033159456</v>
      </c>
      <c r="F13" s="64">
        <v>1.98956736e-5</v>
      </c>
    </row>
    <row r="14" ht="15.75" spans="1:6">
      <c r="A14" s="64">
        <v>2024</v>
      </c>
      <c r="B14" s="65" t="s">
        <v>1067</v>
      </c>
      <c r="C14" s="65" t="s">
        <v>1124</v>
      </c>
      <c r="D14" s="66">
        <v>1.9929525</v>
      </c>
      <c r="E14" s="64">
        <v>0.003268299816</v>
      </c>
      <c r="F14" s="64">
        <v>0.000106574994</v>
      </c>
    </row>
    <row r="15" ht="15.75" spans="1:6">
      <c r="A15" s="64">
        <v>2024</v>
      </c>
      <c r="B15" s="65" t="s">
        <v>1425</v>
      </c>
      <c r="C15" s="65" t="s">
        <v>1423</v>
      </c>
      <c r="D15" s="66">
        <v>2.491136</v>
      </c>
      <c r="E15" s="64">
        <v>4.9752079344e-5</v>
      </c>
      <c r="F15" s="64">
        <v>8.93659991235623e-5</v>
      </c>
    </row>
    <row r="16" ht="15.75" spans="1:6">
      <c r="A16" s="64">
        <v>2024</v>
      </c>
      <c r="B16" s="65" t="s">
        <v>1228</v>
      </c>
      <c r="C16" s="65" t="s">
        <v>1423</v>
      </c>
      <c r="D16" s="66">
        <v>2.430835</v>
      </c>
      <c r="E16" s="64">
        <v>1.22568869057143e-5</v>
      </c>
      <c r="F16" s="64">
        <v>0.000133391931456906</v>
      </c>
    </row>
    <row r="17" ht="15.75" spans="1:6">
      <c r="A17" s="64">
        <v>2024</v>
      </c>
      <c r="B17" s="65" t="s">
        <v>1426</v>
      </c>
      <c r="C17" s="65" t="s">
        <v>1423</v>
      </c>
      <c r="D17" s="66">
        <v>1.089429</v>
      </c>
      <c r="E17" s="64">
        <v>0.000124199038514571</v>
      </c>
      <c r="F17" s="64">
        <v>1.1929924797283e-5</v>
      </c>
    </row>
    <row r="18" ht="15.75" spans="1:6">
      <c r="A18" s="64">
        <v>2024</v>
      </c>
      <c r="B18" s="65" t="s">
        <v>1196</v>
      </c>
      <c r="C18" s="65" t="s">
        <v>1423</v>
      </c>
      <c r="D18" s="66">
        <v>1.526</v>
      </c>
      <c r="E18" s="67">
        <v>0.000223543719</v>
      </c>
      <c r="F18" s="64">
        <v>1.341262314e-5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4.4285714285714" defaultRowHeight="15" customHeight="1" outlineLevelCol="1"/>
  <cols>
    <col min="1" max="1" width="14.7142857142857" customWidth="1"/>
    <col min="2" max="2" width="25.8571428571429" customWidth="1"/>
    <col min="3" max="26" width="8.71428571428571" customWidth="1"/>
  </cols>
  <sheetData>
    <row r="1" ht="35.25" spans="1:2">
      <c r="A1" s="49" t="s">
        <v>1053</v>
      </c>
      <c r="B1" s="50" t="s">
        <v>1427</v>
      </c>
    </row>
    <row r="2" ht="15.75" spans="1:2">
      <c r="A2" s="51">
        <v>2006</v>
      </c>
      <c r="B2" s="52">
        <f>B4</f>
        <v>4.1</v>
      </c>
    </row>
    <row r="3" ht="15.75" spans="1:2">
      <c r="A3" s="53">
        <v>2007</v>
      </c>
      <c r="B3" s="54">
        <f>B4</f>
        <v>4.1</v>
      </c>
    </row>
    <row r="4" ht="15.75" spans="1:2">
      <c r="A4" s="55">
        <v>2008</v>
      </c>
      <c r="B4" s="56">
        <v>4.1</v>
      </c>
    </row>
    <row r="5" ht="15.75" spans="1:2">
      <c r="A5" s="53">
        <v>2009</v>
      </c>
      <c r="B5" s="56">
        <v>2.1</v>
      </c>
    </row>
    <row r="6" ht="15.75" spans="1:2">
      <c r="A6" s="53">
        <v>2010</v>
      </c>
      <c r="B6" s="56">
        <v>4.2</v>
      </c>
    </row>
    <row r="7" ht="15.75" spans="1:2">
      <c r="A7" s="53">
        <v>2011</v>
      </c>
      <c r="B7" s="57">
        <v>2.3</v>
      </c>
    </row>
    <row r="8" ht="15.75" spans="1:2">
      <c r="A8" s="53">
        <v>2012</v>
      </c>
      <c r="B8" s="57">
        <v>4.3</v>
      </c>
    </row>
    <row r="9" ht="15.75" spans="1:2">
      <c r="A9" s="53">
        <v>2013</v>
      </c>
      <c r="B9" s="57">
        <v>6.2</v>
      </c>
    </row>
    <row r="10" ht="15.75" spans="1:2">
      <c r="A10" s="53">
        <v>2014</v>
      </c>
      <c r="B10" s="57">
        <v>8.4</v>
      </c>
    </row>
    <row r="11" ht="15.75" spans="1:2">
      <c r="A11" s="53">
        <v>2015</v>
      </c>
      <c r="B11" s="56">
        <v>7.8</v>
      </c>
    </row>
    <row r="12" ht="15.75" spans="1:2">
      <c r="A12" s="53">
        <v>2016</v>
      </c>
      <c r="B12" s="56">
        <v>5</v>
      </c>
    </row>
    <row r="13" ht="15.75" spans="1:2">
      <c r="A13" s="53">
        <v>2017</v>
      </c>
      <c r="B13" s="56">
        <v>6.1</v>
      </c>
    </row>
    <row r="14" ht="15.75" spans="1:2">
      <c r="A14" s="53">
        <v>2018</v>
      </c>
      <c r="B14" s="56">
        <v>4.7</v>
      </c>
    </row>
    <row r="15" ht="15.75" spans="1:2">
      <c r="A15" s="53">
        <v>2019</v>
      </c>
      <c r="B15" s="57">
        <v>4.5</v>
      </c>
    </row>
    <row r="16" ht="15.75" spans="1:2">
      <c r="A16" s="53">
        <v>2020</v>
      </c>
      <c r="B16" s="57">
        <v>6.2</v>
      </c>
    </row>
    <row r="17" ht="15.75" spans="1:2">
      <c r="A17" s="53">
        <v>2021</v>
      </c>
      <c r="B17" s="57">
        <v>11.5</v>
      </c>
    </row>
    <row r="18" ht="15.75" spans="1:2">
      <c r="A18" s="53">
        <v>2022</v>
      </c>
      <c r="B18" s="57">
        <v>3</v>
      </c>
    </row>
    <row r="19" ht="15.75" spans="1:2">
      <c r="A19" s="53">
        <v>2023</v>
      </c>
      <c r="B19" s="57">
        <v>2.7</v>
      </c>
    </row>
    <row r="20" ht="15.75" spans="1:2">
      <c r="A20" s="58">
        <v>2024</v>
      </c>
      <c r="B20" s="59">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285714285714" defaultRowHeight="15" customHeight="1" outlineLevelCol="3"/>
  <cols>
    <col min="1" max="1" width="8.71428571428571" customWidth="1"/>
    <col min="2" max="2" width="15.8571428571429" customWidth="1"/>
    <col min="3" max="3" width="24.5714285714286" customWidth="1"/>
    <col min="4" max="4" width="26.7142857142857" customWidth="1"/>
    <col min="5" max="26" width="8.71428571428571" customWidth="1"/>
  </cols>
  <sheetData>
    <row r="1" ht="15.75" spans="1:4">
      <c r="A1" s="44" t="s">
        <v>1047</v>
      </c>
      <c r="B1" s="44" t="s">
        <v>1428</v>
      </c>
      <c r="C1" s="44" t="s">
        <v>1429</v>
      </c>
      <c r="D1" s="45" t="s">
        <v>1430</v>
      </c>
    </row>
    <row r="2" ht="15.75" spans="1:4">
      <c r="A2" s="3">
        <v>2023</v>
      </c>
      <c r="B2" s="3">
        <v>0.138130886259358</v>
      </c>
      <c r="C2" s="46">
        <v>0.0544726660392777</v>
      </c>
      <c r="D2" s="46">
        <v>7.52435763691544</v>
      </c>
    </row>
    <row r="3" ht="15.75" spans="1:4">
      <c r="A3" s="47">
        <v>2024</v>
      </c>
      <c r="B3" s="47">
        <v>0.138130886259358</v>
      </c>
      <c r="C3" s="48">
        <v>0.0544726660392777</v>
      </c>
      <c r="D3" s="46">
        <v>7.52294617327629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9"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workbookViewId="0">
      <selection activeCell="A1" sqref="A1"/>
    </sheetView>
  </sheetViews>
  <sheetFormatPr defaultColWidth="14.4285714285714" defaultRowHeight="15" customHeight="1"/>
  <cols>
    <col min="1" max="1" width="18.4285714285714" customWidth="1"/>
    <col min="2" max="2" width="8.71428571428571" customWidth="1"/>
    <col min="3" max="3" width="43.8571428571429" customWidth="1"/>
    <col min="4" max="4" width="34.5714285714286" customWidth="1"/>
    <col min="5" max="5" width="32.7142857142857" customWidth="1"/>
    <col min="6" max="6" width="32.5714285714286" customWidth="1"/>
    <col min="7" max="7" width="34" customWidth="1"/>
    <col min="8" max="8" width="30.7142857142857" customWidth="1"/>
    <col min="9" max="10" width="30.5714285714286" customWidth="1"/>
    <col min="11" max="26" width="8.71428571428571" customWidth="1"/>
  </cols>
  <sheetData>
    <row r="1" customHeight="1" spans="1:10">
      <c r="A1" s="41" t="s">
        <v>1431</v>
      </c>
      <c r="B1" s="41" t="s">
        <v>1053</v>
      </c>
      <c r="C1" s="41" t="s">
        <v>1432</v>
      </c>
      <c r="D1" s="41" t="s">
        <v>1433</v>
      </c>
      <c r="E1" s="41" t="s">
        <v>1434</v>
      </c>
      <c r="F1" s="42" t="s">
        <v>1435</v>
      </c>
      <c r="G1" s="42" t="s">
        <v>1436</v>
      </c>
      <c r="H1" s="41" t="s">
        <v>1437</v>
      </c>
      <c r="I1" s="41" t="s">
        <v>1438</v>
      </c>
      <c r="J1" s="41" t="s">
        <v>1439</v>
      </c>
    </row>
    <row r="2" spans="1:10">
      <c r="A2" s="41" t="s">
        <v>1440</v>
      </c>
      <c r="B2" s="41">
        <v>2006</v>
      </c>
      <c r="C2" s="41" t="s">
        <v>1060</v>
      </c>
      <c r="D2" s="41">
        <v>0.0297106269771838</v>
      </c>
      <c r="E2" s="41">
        <v>0.0773367620216094</v>
      </c>
      <c r="F2" s="41">
        <v>4.11584772881167e-6</v>
      </c>
      <c r="G2" s="41">
        <v>4.11584772881167e-6</v>
      </c>
      <c r="H2" s="41">
        <v>0.0722265341815338</v>
      </c>
      <c r="I2" s="41">
        <v>9.85188227982338e-6</v>
      </c>
      <c r="J2" s="41">
        <v>5.91112936789403e-7</v>
      </c>
    </row>
    <row r="3" spans="1:10">
      <c r="A3" s="41" t="s">
        <v>1440</v>
      </c>
      <c r="B3" s="41">
        <v>2007</v>
      </c>
      <c r="C3" s="41" t="s">
        <v>1060</v>
      </c>
      <c r="D3" s="41">
        <v>0.0297106269771838</v>
      </c>
      <c r="E3" s="41">
        <v>0.0773367620216094</v>
      </c>
      <c r="F3" s="41">
        <v>4.11584772881167e-6</v>
      </c>
      <c r="G3" s="41">
        <v>4.11584772881167e-6</v>
      </c>
      <c r="H3" s="41">
        <v>0.0722265341815338</v>
      </c>
      <c r="I3" s="41">
        <v>9.85188227982338e-6</v>
      </c>
      <c r="J3" s="41">
        <v>5.91112936789403e-7</v>
      </c>
    </row>
    <row r="4" spans="1:10">
      <c r="A4" s="41" t="s">
        <v>1440</v>
      </c>
      <c r="B4" s="41">
        <v>2008</v>
      </c>
      <c r="C4" s="41" t="s">
        <v>1060</v>
      </c>
      <c r="D4" s="41">
        <v>0.0297106269771838</v>
      </c>
      <c r="E4" s="41">
        <v>0.0773367620216094</v>
      </c>
      <c r="F4" s="41">
        <v>4.11584772881167e-6</v>
      </c>
      <c r="G4" s="41">
        <v>4.11584772881167e-6</v>
      </c>
      <c r="H4" s="41">
        <v>0.0722265341815338</v>
      </c>
      <c r="I4" s="41">
        <v>9.85188227982338e-6</v>
      </c>
      <c r="J4" s="41">
        <v>5.91112936789403e-7</v>
      </c>
    </row>
    <row r="5" spans="1:10">
      <c r="A5" s="41" t="s">
        <v>1440</v>
      </c>
      <c r="B5" s="41">
        <v>2009</v>
      </c>
      <c r="C5" s="41" t="s">
        <v>1060</v>
      </c>
      <c r="D5" s="41">
        <v>0.0293383830117772</v>
      </c>
      <c r="E5" s="41">
        <v>0.0763678109796562</v>
      </c>
      <c r="F5" s="41">
        <v>4.06428033911104e-6</v>
      </c>
      <c r="G5" s="41">
        <v>4.06428033911104e-6</v>
      </c>
      <c r="H5" s="41">
        <v>0.0713216091016305</v>
      </c>
      <c r="I5" s="41">
        <v>9.72844820590175e-6</v>
      </c>
      <c r="J5" s="41">
        <v>5.83706892354105e-7</v>
      </c>
    </row>
    <row r="6" spans="1:10">
      <c r="A6" s="41" t="s">
        <v>1440</v>
      </c>
      <c r="B6" s="41">
        <v>2010</v>
      </c>
      <c r="C6" s="41" t="s">
        <v>1060</v>
      </c>
      <c r="D6" s="41">
        <v>0.0296920076530716</v>
      </c>
      <c r="E6" s="41">
        <v>0.0772882959209454</v>
      </c>
      <c r="F6" s="41">
        <v>4.11326837217548e-6</v>
      </c>
      <c r="G6" s="41">
        <v>4.11326837217548e-6</v>
      </c>
      <c r="H6" s="41">
        <v>0.0721812706046171</v>
      </c>
      <c r="I6" s="41">
        <v>9.84570821323692e-6</v>
      </c>
      <c r="J6" s="41">
        <v>5.90742492794215e-7</v>
      </c>
    </row>
    <row r="7" spans="1:10">
      <c r="A7" s="41" t="s">
        <v>1440</v>
      </c>
      <c r="B7" s="41">
        <v>2011</v>
      </c>
      <c r="C7" s="41" t="s">
        <v>1060</v>
      </c>
      <c r="D7" s="41">
        <v>0.0298076027545478</v>
      </c>
      <c r="E7" s="41">
        <v>0.0775891899700879</v>
      </c>
      <c r="F7" s="41">
        <v>4.12928189609868e-6</v>
      </c>
      <c r="G7" s="41">
        <v>4.12928189609868e-6</v>
      </c>
      <c r="H7" s="41">
        <v>0.0724622822963057</v>
      </c>
      <c r="I7" s="41">
        <v>9.88403892004906e-6</v>
      </c>
      <c r="J7" s="41">
        <v>5.93042335202944e-7</v>
      </c>
    </row>
    <row r="8" spans="1:10">
      <c r="A8" s="41" t="s">
        <v>1440</v>
      </c>
      <c r="B8" s="41">
        <v>2012</v>
      </c>
      <c r="C8" s="41" t="s">
        <v>1060</v>
      </c>
      <c r="D8" s="41">
        <v>0.0354383414153255</v>
      </c>
      <c r="E8" s="41">
        <v>0.0922460027040922</v>
      </c>
      <c r="F8" s="41">
        <v>4.90931467515418e-6</v>
      </c>
      <c r="G8" s="41">
        <v>4.90931467515418e-6</v>
      </c>
      <c r="H8" s="41">
        <v>0.0861506079806562</v>
      </c>
      <c r="I8" s="41">
        <v>1.17511612287446e-5</v>
      </c>
      <c r="J8" s="41">
        <v>7.05069673724678e-7</v>
      </c>
    </row>
    <row r="9" spans="1:10">
      <c r="A9" s="41" t="s">
        <v>1440</v>
      </c>
      <c r="B9" s="41">
        <v>2013</v>
      </c>
      <c r="C9" s="41" t="s">
        <v>1060</v>
      </c>
      <c r="D9" s="41">
        <v>0.0347783247499767</v>
      </c>
      <c r="E9" s="41">
        <v>0.0905279793241894</v>
      </c>
      <c r="F9" s="41">
        <v>4.81788179845522e-6</v>
      </c>
      <c r="G9" s="41">
        <v>4.81788179845522e-6</v>
      </c>
      <c r="H9" s="41">
        <v>0.0845461074671934</v>
      </c>
      <c r="I9" s="41">
        <v>1.15323032930056e-5</v>
      </c>
      <c r="J9" s="41">
        <v>6.91938197580339e-7</v>
      </c>
    </row>
    <row r="10" spans="1:10">
      <c r="A10" s="41" t="s">
        <v>1440</v>
      </c>
      <c r="B10" s="41">
        <v>2014</v>
      </c>
      <c r="C10" s="41" t="s">
        <v>1060</v>
      </c>
      <c r="D10" s="41">
        <v>0.0343329390610013</v>
      </c>
      <c r="E10" s="41">
        <v>0.0893686403757864</v>
      </c>
      <c r="F10" s="41">
        <v>4.75618200067504e-6</v>
      </c>
      <c r="G10" s="41">
        <v>4.75618200067504e-6</v>
      </c>
      <c r="H10" s="41">
        <v>0.0834633748572942</v>
      </c>
      <c r="I10" s="41">
        <v>1.13846158214395e-5</v>
      </c>
      <c r="J10" s="41">
        <v>6.83076949286372e-7</v>
      </c>
    </row>
    <row r="11" spans="1:10">
      <c r="A11" s="41" t="s">
        <v>1440</v>
      </c>
      <c r="B11" s="41">
        <v>2015</v>
      </c>
      <c r="C11" s="41" t="s">
        <v>1060</v>
      </c>
      <c r="D11" s="41">
        <v>0.0356947578500731</v>
      </c>
      <c r="E11" s="41">
        <v>0.0929134546837403</v>
      </c>
      <c r="F11" s="41">
        <v>4.94483634224644e-6</v>
      </c>
      <c r="G11" s="41">
        <v>4.94483634224644e-6</v>
      </c>
      <c r="H11" s="41">
        <v>0.0867739563335278</v>
      </c>
      <c r="I11" s="41">
        <v>1.18361875236015e-5</v>
      </c>
      <c r="J11" s="41">
        <v>7.10171251416093e-7</v>
      </c>
    </row>
    <row r="12" spans="1:10">
      <c r="A12" s="41" t="s">
        <v>1440</v>
      </c>
      <c r="B12" s="41">
        <v>2016</v>
      </c>
      <c r="C12" s="41" t="s">
        <v>1060</v>
      </c>
      <c r="D12" s="41">
        <v>0.0321228807334135</v>
      </c>
      <c r="E12" s="41">
        <v>0.0836158585490755</v>
      </c>
      <c r="F12" s="41">
        <v>4.45002004875363e-6</v>
      </c>
      <c r="G12" s="41">
        <v>4.45002004875363e-6</v>
      </c>
      <c r="H12" s="41">
        <v>0.0780907230629283</v>
      </c>
      <c r="I12" s="41">
        <v>1.06517725027287e-5</v>
      </c>
      <c r="J12" s="41">
        <v>6.39106350163724e-7</v>
      </c>
    </row>
    <row r="13" spans="1:10">
      <c r="A13" s="41" t="s">
        <v>1440</v>
      </c>
      <c r="B13" s="41">
        <v>2017</v>
      </c>
      <c r="C13" s="41" t="s">
        <v>1060</v>
      </c>
      <c r="D13" s="41">
        <v>0.0339</v>
      </c>
      <c r="E13" s="41">
        <v>0.0882417</v>
      </c>
      <c r="F13" s="41">
        <v>4.696206448752e-6</v>
      </c>
      <c r="G13" s="41">
        <v>4.696206448752e-6</v>
      </c>
      <c r="H13" s="41">
        <v>0.0824109</v>
      </c>
      <c r="I13" s="41">
        <v>1.1241055584e-5</v>
      </c>
      <c r="J13" s="41">
        <v>6.7446333504e-7</v>
      </c>
    </row>
    <row r="14" spans="1:10">
      <c r="A14" s="41" t="s">
        <v>1440</v>
      </c>
      <c r="B14" s="41">
        <v>2018</v>
      </c>
      <c r="C14" s="41" t="s">
        <v>1060</v>
      </c>
      <c r="D14" s="41">
        <v>0.0344</v>
      </c>
      <c r="E14" s="41">
        <v>0.0895432</v>
      </c>
      <c r="F14" s="41">
        <v>4.765472030592e-6</v>
      </c>
      <c r="G14" s="41">
        <v>4.765472030592e-6</v>
      </c>
      <c r="H14" s="41">
        <v>0.0836264</v>
      </c>
      <c r="I14" s="41">
        <v>1.1406852864e-5</v>
      </c>
      <c r="J14" s="41">
        <v>6.8441117184e-7</v>
      </c>
    </row>
    <row r="15" spans="1:10">
      <c r="A15" s="41" t="s">
        <v>1440</v>
      </c>
      <c r="B15" s="41">
        <v>2019</v>
      </c>
      <c r="C15" s="41" t="s">
        <v>1060</v>
      </c>
      <c r="D15" s="41">
        <v>0.0361</v>
      </c>
      <c r="E15" s="41">
        <v>0.0939683</v>
      </c>
      <c r="F15" s="41">
        <v>5.000975008848e-6</v>
      </c>
      <c r="G15" s="41">
        <v>5.000975008848e-6</v>
      </c>
      <c r="H15" s="41">
        <v>0.0877591</v>
      </c>
      <c r="I15" s="41">
        <v>1.1970563616e-5</v>
      </c>
      <c r="J15" s="41">
        <v>7.1823381696e-7</v>
      </c>
    </row>
    <row r="16" spans="1:10">
      <c r="A16" s="41" t="s">
        <v>1440</v>
      </c>
      <c r="B16" s="41">
        <v>2020</v>
      </c>
      <c r="C16" s="41" t="s">
        <v>1060</v>
      </c>
      <c r="D16" s="41">
        <v>0.0515</v>
      </c>
      <c r="E16" s="41">
        <v>0.1340545</v>
      </c>
      <c r="F16" s="41">
        <v>7.13435492952e-6</v>
      </c>
      <c r="G16" s="41">
        <v>7.13435492952e-6</v>
      </c>
      <c r="H16" s="41">
        <v>0.1251965</v>
      </c>
      <c r="I16" s="41">
        <v>1.707711984e-5</v>
      </c>
      <c r="J16" s="41">
        <v>1.0246271904e-6</v>
      </c>
    </row>
    <row r="17" spans="1:10">
      <c r="A17" s="41" t="s">
        <v>1440</v>
      </c>
      <c r="B17" s="41">
        <v>2021</v>
      </c>
      <c r="C17" s="41" t="s">
        <v>1060</v>
      </c>
      <c r="D17" s="41">
        <v>0.0483</v>
      </c>
      <c r="E17" s="41">
        <v>0.1257249</v>
      </c>
      <c r="F17" s="41">
        <v>6.691055205744e-6</v>
      </c>
      <c r="G17" s="41">
        <v>6.691055205744e-6</v>
      </c>
      <c r="H17" s="41">
        <v>0.1174173</v>
      </c>
      <c r="I17" s="41">
        <v>1.6016017248e-5</v>
      </c>
      <c r="J17" s="41">
        <v>9.6096103488e-7</v>
      </c>
    </row>
    <row r="18" spans="1:10">
      <c r="A18" s="41" t="s">
        <v>1440</v>
      </c>
      <c r="B18" s="41">
        <v>2022</v>
      </c>
      <c r="C18" s="41" t="s">
        <v>1060</v>
      </c>
      <c r="D18" s="41">
        <v>0.0376</v>
      </c>
      <c r="E18" s="41">
        <v>0.0978728</v>
      </c>
      <c r="F18" s="41">
        <v>5.208771754368e-6</v>
      </c>
      <c r="G18" s="41">
        <v>5.208771754368e-6</v>
      </c>
      <c r="H18" s="41">
        <v>0.0914056</v>
      </c>
      <c r="I18" s="41">
        <v>1.2467955456e-5</v>
      </c>
      <c r="J18" s="41">
        <v>7.4807732736e-7</v>
      </c>
    </row>
    <row r="19" spans="1:10">
      <c r="A19" s="41" t="s">
        <v>1440</v>
      </c>
      <c r="B19" s="41">
        <v>2023</v>
      </c>
      <c r="C19" s="41" t="s">
        <v>1060</v>
      </c>
      <c r="D19" s="41">
        <v>0.0359</v>
      </c>
      <c r="E19" s="41">
        <v>0.0934477</v>
      </c>
      <c r="F19" s="41">
        <v>4.973268776112e-6</v>
      </c>
      <c r="G19" s="41">
        <v>4.973268776112e-6</v>
      </c>
      <c r="H19" s="41">
        <v>0.0872729</v>
      </c>
      <c r="I19" s="41">
        <v>1.1904244704e-5</v>
      </c>
      <c r="J19" s="41">
        <v>7.1425468224e-7</v>
      </c>
    </row>
    <row r="20" spans="1:10">
      <c r="A20" s="43" t="s">
        <v>1440</v>
      </c>
      <c r="B20" s="43">
        <v>2024</v>
      </c>
      <c r="C20" s="43" t="s">
        <v>1060</v>
      </c>
      <c r="D20" s="43">
        <v>0.0347</v>
      </c>
      <c r="E20" s="43">
        <v>0.0903241</v>
      </c>
      <c r="F20" s="43">
        <v>4.807031379696e-6</v>
      </c>
      <c r="G20" s="43">
        <v>4.807031379696e-6</v>
      </c>
      <c r="H20" s="41">
        <v>0.0843557</v>
      </c>
      <c r="I20" s="41">
        <v>1.1506331232e-5</v>
      </c>
      <c r="J20" s="41">
        <v>6.9037987392e-7</v>
      </c>
    </row>
    <row r="21" ht="15.75" customHeight="1" spans="1:10">
      <c r="A21" s="43" t="s">
        <v>1441</v>
      </c>
      <c r="B21" s="43">
        <v>2024</v>
      </c>
      <c r="C21" s="43">
        <v>0.02717</v>
      </c>
      <c r="D21" s="43">
        <v>0.0108126823172649</v>
      </c>
      <c r="E21" s="43">
        <v>0.0281454120718405</v>
      </c>
      <c r="F21" s="43">
        <v>1.49789346391286e-6</v>
      </c>
      <c r="G21" s="43">
        <v>1.49789346391286e-6</v>
      </c>
      <c r="H21" s="41">
        <v>0.0262856307132709</v>
      </c>
      <c r="I21" s="41">
        <v>3.58542663541323e-6</v>
      </c>
      <c r="J21" s="41">
        <v>2.15125598124794e-7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4.4285714285714" defaultRowHeight="15" customHeight="1" outlineLevelCol="7"/>
  <cols>
    <col min="1" max="1" width="32.7142857142857" customWidth="1"/>
    <col min="2" max="2" width="14.7142857142857" customWidth="1"/>
    <col min="3" max="3" width="47.5714285714286" customWidth="1"/>
    <col min="4" max="4" width="38.4285714285714" customWidth="1"/>
    <col min="5" max="5" width="23.2857142857143" customWidth="1"/>
    <col min="6" max="6" width="23.1428571428571" customWidth="1"/>
    <col min="7" max="7" width="23.5714285714286" customWidth="1"/>
    <col min="8" max="26" width="8.71428571428571" customWidth="1"/>
  </cols>
  <sheetData>
    <row r="1" spans="1:8">
      <c r="A1" s="38" t="s">
        <v>1442</v>
      </c>
      <c r="B1" s="38" t="s">
        <v>1051</v>
      </c>
      <c r="C1" s="38" t="s">
        <v>1443</v>
      </c>
      <c r="D1" s="38" t="s">
        <v>1444</v>
      </c>
      <c r="E1" s="38" t="s">
        <v>1445</v>
      </c>
      <c r="F1" s="38" t="s">
        <v>1446</v>
      </c>
      <c r="G1" s="38" t="s">
        <v>1447</v>
      </c>
      <c r="H1" s="39" t="s">
        <v>1053</v>
      </c>
    </row>
    <row r="2" spans="1:8">
      <c r="A2" s="3" t="s">
        <v>1448</v>
      </c>
      <c r="B2" s="3" t="s">
        <v>1449</v>
      </c>
      <c r="C2" s="3">
        <v>0.0187108139597315</v>
      </c>
      <c r="D2" s="3">
        <v>0.00744623066779617</v>
      </c>
      <c r="E2" s="3">
        <v>0.0193825384282734</v>
      </c>
      <c r="F2" s="3">
        <v>1.03153499943951e-6</v>
      </c>
      <c r="G2" s="3">
        <v>1.03153499943951e-6</v>
      </c>
      <c r="H2" s="40">
        <v>2024</v>
      </c>
    </row>
    <row r="3" spans="1:8">
      <c r="A3" s="3" t="s">
        <v>1450</v>
      </c>
      <c r="B3" s="3" t="s">
        <v>1449</v>
      </c>
      <c r="C3" s="3">
        <v>0.129328875436242</v>
      </c>
      <c r="D3" s="3">
        <v>0.051468238665484</v>
      </c>
      <c r="E3" s="3">
        <v>0.133971825246255</v>
      </c>
      <c r="F3" s="3">
        <v>7.12995499488947e-6</v>
      </c>
      <c r="G3" s="3">
        <v>7.12995499488947e-6</v>
      </c>
      <c r="H3" s="40">
        <v>2024</v>
      </c>
    </row>
    <row r="4" spans="1:8">
      <c r="A4" s="3" t="s">
        <v>1451</v>
      </c>
      <c r="B4" s="3" t="s">
        <v>1449</v>
      </c>
      <c r="C4" s="3">
        <v>0.112698080805369</v>
      </c>
      <c r="D4" s="3">
        <v>0.0448497808433531</v>
      </c>
      <c r="E4" s="3">
        <v>0.116743979535248</v>
      </c>
      <c r="F4" s="3">
        <v>6.21309233102267e-6</v>
      </c>
      <c r="G4" s="3">
        <v>6.21309233102267e-6</v>
      </c>
      <c r="H4" s="40">
        <v>2024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9"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1000"/>
  <sheetViews>
    <sheetView topLeftCell="C1" workbookViewId="0">
      <pane ySplit="1" topLeftCell="A2" activePane="bottomLeft" state="frozen"/>
      <selection/>
      <selection pane="bottomLeft" activeCell="G53" sqref="G53"/>
    </sheetView>
  </sheetViews>
  <sheetFormatPr defaultColWidth="14.4285714285714" defaultRowHeight="15" customHeight="1" outlineLevelCol="6"/>
  <cols>
    <col min="1" max="1" width="28.4285714285714" customWidth="1"/>
    <col min="2" max="2" width="32.8571428571429" customWidth="1"/>
    <col min="3" max="3" width="11.7142857142857" customWidth="1"/>
    <col min="4" max="4" width="42.8571428571429" customWidth="1"/>
    <col min="5" max="5" width="37.5714285714286" customWidth="1"/>
    <col min="6" max="6" width="35.5714285714286" customWidth="1"/>
    <col min="7" max="7" width="34.2857142857143" customWidth="1"/>
    <col min="8" max="26" width="8.71428571428571" customWidth="1"/>
  </cols>
  <sheetData>
    <row r="1" spans="1:7">
      <c r="A1" s="9" t="s">
        <v>1051</v>
      </c>
      <c r="B1" s="10" t="s">
        <v>1452</v>
      </c>
      <c r="C1" s="10" t="s">
        <v>1053</v>
      </c>
      <c r="D1" s="11" t="s">
        <v>1453</v>
      </c>
      <c r="E1" s="11" t="s">
        <v>1454</v>
      </c>
      <c r="F1" s="11" t="s">
        <v>1455</v>
      </c>
      <c r="G1" s="11" t="s">
        <v>1456</v>
      </c>
    </row>
    <row r="2" ht="31.5" hidden="1" spans="1:7">
      <c r="A2" s="12" t="s">
        <v>1225</v>
      </c>
      <c r="B2" s="4" t="s">
        <v>1096</v>
      </c>
      <c r="C2" s="13">
        <v>2006</v>
      </c>
      <c r="D2" s="14">
        <v>0.005</v>
      </c>
      <c r="E2" s="15">
        <v>0.021</v>
      </c>
      <c r="F2" s="15">
        <v>5.65000000000001e-5</v>
      </c>
      <c r="G2" s="15">
        <v>0.0002373</v>
      </c>
    </row>
    <row r="3" ht="31.5" hidden="1" spans="1:7">
      <c r="A3" s="12" t="s">
        <v>1225</v>
      </c>
      <c r="B3" s="4" t="s">
        <v>1098</v>
      </c>
      <c r="C3" s="13">
        <v>2006</v>
      </c>
      <c r="D3" s="14">
        <v>0.041</v>
      </c>
      <c r="E3" s="15">
        <v>0.02</v>
      </c>
      <c r="F3" s="16">
        <v>0.0004797</v>
      </c>
      <c r="G3" s="16">
        <v>0.000234</v>
      </c>
    </row>
    <row r="4" ht="31.5" hidden="1" spans="1:7">
      <c r="A4" s="12" t="s">
        <v>1225</v>
      </c>
      <c r="B4" s="4" t="s">
        <v>1096</v>
      </c>
      <c r="C4" s="13">
        <v>2008</v>
      </c>
      <c r="D4" s="14">
        <v>0.004</v>
      </c>
      <c r="E4" s="15">
        <v>0.024</v>
      </c>
      <c r="F4" s="15">
        <v>3.84e-5</v>
      </c>
      <c r="G4" s="15">
        <v>0.0002304</v>
      </c>
    </row>
    <row r="5" ht="31.5" hidden="1" spans="1:7">
      <c r="A5" s="12" t="s">
        <v>1225</v>
      </c>
      <c r="B5" s="4" t="s">
        <v>1098</v>
      </c>
      <c r="C5" s="13">
        <v>2008</v>
      </c>
      <c r="D5" s="14">
        <v>0.015</v>
      </c>
      <c r="E5" s="15">
        <v>0.021</v>
      </c>
      <c r="F5" s="16">
        <v>0.000171</v>
      </c>
      <c r="G5" s="16">
        <v>0.0002394</v>
      </c>
    </row>
    <row r="6" ht="31.5" hidden="1" spans="1:7">
      <c r="A6" s="12" t="s">
        <v>1225</v>
      </c>
      <c r="B6" s="4" t="s">
        <v>1096</v>
      </c>
      <c r="C6" s="13">
        <v>2011</v>
      </c>
      <c r="D6" s="14">
        <v>0.007</v>
      </c>
      <c r="E6" s="15">
        <v>0.021</v>
      </c>
      <c r="F6" s="15">
        <v>7.84e-5</v>
      </c>
      <c r="G6" s="15">
        <v>0.0002352</v>
      </c>
    </row>
    <row r="7" ht="31.5" hidden="1" spans="1:7">
      <c r="A7" s="12" t="s">
        <v>1225</v>
      </c>
      <c r="B7" s="4" t="s">
        <v>1098</v>
      </c>
      <c r="C7" s="13">
        <v>2011</v>
      </c>
      <c r="D7" s="14">
        <v>0.009</v>
      </c>
      <c r="E7" s="15">
        <v>0.019</v>
      </c>
      <c r="F7" s="16">
        <v>0.0001098</v>
      </c>
      <c r="G7" s="16">
        <v>0.0002318</v>
      </c>
    </row>
    <row r="8" ht="31.5" hidden="1" spans="1:7">
      <c r="A8" s="12" t="s">
        <v>1225</v>
      </c>
      <c r="B8" s="4" t="s">
        <v>1096</v>
      </c>
      <c r="C8" s="13">
        <v>2012</v>
      </c>
      <c r="D8" s="14">
        <v>0.005</v>
      </c>
      <c r="E8" s="15">
        <v>0.021</v>
      </c>
      <c r="F8" s="15">
        <v>5.55e-5</v>
      </c>
      <c r="G8" s="15">
        <v>0.0002331</v>
      </c>
    </row>
    <row r="9" ht="31.5" hidden="1" spans="1:7">
      <c r="A9" s="12" t="s">
        <v>1225</v>
      </c>
      <c r="B9" s="4" t="s">
        <v>1098</v>
      </c>
      <c r="C9" s="13">
        <v>2012</v>
      </c>
      <c r="D9" s="14">
        <v>0.01</v>
      </c>
      <c r="E9" s="15">
        <v>0.019</v>
      </c>
      <c r="F9" s="16">
        <v>0.000121</v>
      </c>
      <c r="G9" s="16">
        <v>0.0002299</v>
      </c>
    </row>
    <row r="10" ht="31.5" hidden="1" spans="1:7">
      <c r="A10" s="12" t="s">
        <v>1225</v>
      </c>
      <c r="B10" s="4" t="s">
        <v>1096</v>
      </c>
      <c r="C10" s="13">
        <v>2013</v>
      </c>
      <c r="D10" s="17">
        <v>0.006</v>
      </c>
      <c r="E10" s="18">
        <v>0.022</v>
      </c>
      <c r="F10" s="18">
        <v>6.72e-5</v>
      </c>
      <c r="G10" s="18">
        <v>0.0002464</v>
      </c>
    </row>
    <row r="11" ht="31.5" hidden="1" spans="1:7">
      <c r="A11" s="12" t="s">
        <v>1225</v>
      </c>
      <c r="B11" s="4" t="s">
        <v>1098</v>
      </c>
      <c r="C11" s="13">
        <v>2013</v>
      </c>
      <c r="D11" s="17">
        <v>0.006</v>
      </c>
      <c r="E11" s="18">
        <v>0.019</v>
      </c>
      <c r="F11" s="19">
        <v>7.44e-5</v>
      </c>
      <c r="G11" s="19">
        <v>0.0002356</v>
      </c>
    </row>
    <row r="12" ht="31.5" hidden="1" spans="1:7">
      <c r="A12" s="12" t="s">
        <v>1225</v>
      </c>
      <c r="B12" s="4" t="s">
        <v>1100</v>
      </c>
      <c r="C12" s="13">
        <v>2013</v>
      </c>
      <c r="D12" s="17">
        <v>0.03984</v>
      </c>
      <c r="E12" s="18">
        <v>0.002</v>
      </c>
      <c r="F12" s="18">
        <v>0.001629456</v>
      </c>
      <c r="G12" s="18">
        <v>8.18e-5</v>
      </c>
    </row>
    <row r="13" ht="31.5" hidden="1" spans="1:7">
      <c r="A13" s="12" t="s">
        <v>1225</v>
      </c>
      <c r="B13" s="4" t="s">
        <v>1101</v>
      </c>
      <c r="C13" s="13">
        <v>2013</v>
      </c>
      <c r="D13" s="17">
        <v>0.035358</v>
      </c>
      <c r="E13" s="18">
        <v>0.002</v>
      </c>
      <c r="F13" s="19">
        <v>0.001502715</v>
      </c>
      <c r="G13" s="19">
        <v>8.5e-5</v>
      </c>
    </row>
    <row r="14" ht="31.5" hidden="1" spans="1:7">
      <c r="A14" s="12" t="s">
        <v>1225</v>
      </c>
      <c r="B14" s="4" t="s">
        <v>1102</v>
      </c>
      <c r="C14" s="13">
        <v>2013</v>
      </c>
      <c r="D14" s="17">
        <v>0.005</v>
      </c>
      <c r="E14" s="18">
        <v>0.025</v>
      </c>
      <c r="F14" s="18">
        <v>4.5e-5</v>
      </c>
      <c r="G14" s="18">
        <v>0.000225</v>
      </c>
    </row>
    <row r="15" ht="31.5" hidden="1" spans="1:7">
      <c r="A15" s="12" t="s">
        <v>1225</v>
      </c>
      <c r="B15" s="4" t="s">
        <v>1103</v>
      </c>
      <c r="C15" s="13">
        <v>2013</v>
      </c>
      <c r="D15" s="17">
        <v>0.01</v>
      </c>
      <c r="E15" s="18">
        <v>0.027</v>
      </c>
      <c r="F15" s="18">
        <v>9.1e-5</v>
      </c>
      <c r="G15" s="18">
        <v>0.0002457</v>
      </c>
    </row>
    <row r="16" ht="31.5" hidden="1" spans="1:7">
      <c r="A16" s="12" t="s">
        <v>1225</v>
      </c>
      <c r="B16" s="4" t="s">
        <v>1096</v>
      </c>
      <c r="C16" s="13">
        <v>2014</v>
      </c>
      <c r="D16" s="17">
        <v>0.006</v>
      </c>
      <c r="E16" s="18">
        <v>0.021</v>
      </c>
      <c r="F16" s="18">
        <v>6.9e-5</v>
      </c>
      <c r="G16" s="18">
        <v>0.0002415</v>
      </c>
    </row>
    <row r="17" ht="31.5" hidden="1" spans="1:7">
      <c r="A17" s="12" t="s">
        <v>1225</v>
      </c>
      <c r="B17" s="4" t="s">
        <v>1098</v>
      </c>
      <c r="C17" s="13">
        <v>2014</v>
      </c>
      <c r="D17" s="17">
        <v>0.004</v>
      </c>
      <c r="E17" s="18">
        <v>0.019</v>
      </c>
      <c r="F17" s="18">
        <v>5.08e-5</v>
      </c>
      <c r="G17" s="18">
        <v>0.0002413</v>
      </c>
    </row>
    <row r="18" ht="31.5" hidden="1" spans="1:7">
      <c r="A18" s="12" t="s">
        <v>1225</v>
      </c>
      <c r="B18" s="4" t="s">
        <v>1100</v>
      </c>
      <c r="C18" s="13">
        <v>2014</v>
      </c>
      <c r="D18" s="17">
        <v>0.03984</v>
      </c>
      <c r="E18" s="18">
        <v>0.002</v>
      </c>
      <c r="F18" s="18">
        <v>0.001629456</v>
      </c>
      <c r="G18" s="18">
        <v>8.18e-5</v>
      </c>
    </row>
    <row r="19" ht="31.5" hidden="1" spans="1:7">
      <c r="A19" s="12" t="s">
        <v>1225</v>
      </c>
      <c r="B19" s="4" t="s">
        <v>1101</v>
      </c>
      <c r="C19" s="13">
        <v>2014</v>
      </c>
      <c r="D19" s="17">
        <v>0.035358</v>
      </c>
      <c r="E19" s="18">
        <v>0.002</v>
      </c>
      <c r="F19" s="18">
        <v>0.001502715</v>
      </c>
      <c r="G19" s="18">
        <v>8.5e-5</v>
      </c>
    </row>
    <row r="20" ht="31.5" hidden="1" spans="1:7">
      <c r="A20" s="12" t="s">
        <v>1225</v>
      </c>
      <c r="B20" s="4" t="s">
        <v>1102</v>
      </c>
      <c r="C20" s="13">
        <v>2014</v>
      </c>
      <c r="D20" s="17">
        <v>0.003</v>
      </c>
      <c r="E20" s="18">
        <v>0.022</v>
      </c>
      <c r="F20" s="18">
        <v>2.97e-5</v>
      </c>
      <c r="G20" s="18">
        <v>0.0002178</v>
      </c>
    </row>
    <row r="21" ht="15.75" hidden="1" customHeight="1" spans="1:7">
      <c r="A21" s="12" t="s">
        <v>1225</v>
      </c>
      <c r="B21" s="4" t="s">
        <v>1103</v>
      </c>
      <c r="C21" s="13">
        <v>2014</v>
      </c>
      <c r="D21" s="17">
        <v>0.006</v>
      </c>
      <c r="E21" s="18">
        <v>0.027</v>
      </c>
      <c r="F21" s="18">
        <v>5.52e-5</v>
      </c>
      <c r="G21" s="18">
        <v>0.0002484</v>
      </c>
    </row>
    <row r="22" ht="15.75" hidden="1" customHeight="1" spans="1:7">
      <c r="A22" s="12" t="s">
        <v>1225</v>
      </c>
      <c r="B22" s="4" t="s">
        <v>1096</v>
      </c>
      <c r="C22" s="13">
        <v>2015</v>
      </c>
      <c r="D22" s="17">
        <v>0.004</v>
      </c>
      <c r="E22" s="18">
        <v>0.0201846153846154</v>
      </c>
      <c r="F22" s="18">
        <v>4.8e-5</v>
      </c>
      <c r="G22" s="18">
        <v>0.000242215384615385</v>
      </c>
    </row>
    <row r="23" ht="15.75" hidden="1" customHeight="1" spans="1:7">
      <c r="A23" s="12" t="s">
        <v>1225</v>
      </c>
      <c r="B23" s="4" t="s">
        <v>1098</v>
      </c>
      <c r="C23" s="13">
        <v>2015</v>
      </c>
      <c r="D23" s="17">
        <v>0.003</v>
      </c>
      <c r="E23" s="18">
        <v>0.0178909090909091</v>
      </c>
      <c r="F23" s="18">
        <v>3.96e-5</v>
      </c>
      <c r="G23" s="18">
        <v>0.00023616</v>
      </c>
    </row>
    <row r="24" ht="15.75" hidden="1" customHeight="1" spans="1:7">
      <c r="A24" s="12" t="s">
        <v>1225</v>
      </c>
      <c r="B24" s="4" t="s">
        <v>1100</v>
      </c>
      <c r="C24" s="13">
        <v>2015</v>
      </c>
      <c r="D24" s="17">
        <v>0.0323090579669487</v>
      </c>
      <c r="E24" s="18">
        <v>0.002</v>
      </c>
      <c r="F24" s="18">
        <v>0.00142950472472494</v>
      </c>
      <c r="G24" s="18">
        <v>8.84894091426174e-5</v>
      </c>
    </row>
    <row r="25" ht="15.75" hidden="1" customHeight="1" spans="1:7">
      <c r="A25" s="12" t="s">
        <v>1225</v>
      </c>
      <c r="B25" s="4" t="s">
        <v>1101</v>
      </c>
      <c r="C25" s="13">
        <v>2015</v>
      </c>
      <c r="D25" s="17">
        <v>0.028137</v>
      </c>
      <c r="E25" s="18">
        <v>0.002</v>
      </c>
      <c r="F25" s="18">
        <v>0.0013280664</v>
      </c>
      <c r="G25" s="18">
        <v>9.44e-5</v>
      </c>
    </row>
    <row r="26" ht="15.75" hidden="1" customHeight="1" spans="1:7">
      <c r="A26" s="12" t="s">
        <v>1225</v>
      </c>
      <c r="B26" s="4" t="s">
        <v>1102</v>
      </c>
      <c r="C26" s="13">
        <v>2015</v>
      </c>
      <c r="D26" s="17">
        <v>0.002</v>
      </c>
      <c r="E26" s="18">
        <v>0.0223222034742146</v>
      </c>
      <c r="F26" s="18">
        <v>2.12e-5</v>
      </c>
      <c r="G26" s="18">
        <v>0.000236615356826674</v>
      </c>
    </row>
    <row r="27" ht="15.75" hidden="1" customHeight="1" spans="1:7">
      <c r="A27" s="12" t="s">
        <v>1225</v>
      </c>
      <c r="B27" s="4" t="s">
        <v>1103</v>
      </c>
      <c r="C27" s="13">
        <v>2015</v>
      </c>
      <c r="D27" s="17">
        <v>0.004</v>
      </c>
      <c r="E27" s="18">
        <v>0.0240979591836735</v>
      </c>
      <c r="F27" s="18">
        <v>4e-5</v>
      </c>
      <c r="G27" s="18">
        <v>0.000240979591836735</v>
      </c>
    </row>
    <row r="28" ht="15.75" hidden="1" customHeight="1" spans="1:7">
      <c r="A28" s="12" t="s">
        <v>1225</v>
      </c>
      <c r="B28" s="4" t="s">
        <v>1096</v>
      </c>
      <c r="C28" s="13">
        <v>2016</v>
      </c>
      <c r="D28" s="17">
        <v>0.006</v>
      </c>
      <c r="E28" s="18">
        <v>0.02</v>
      </c>
      <c r="F28" s="18">
        <v>7.5e-5</v>
      </c>
      <c r="G28" s="18">
        <v>0.00025</v>
      </c>
    </row>
    <row r="29" ht="15.75" hidden="1" customHeight="1" spans="1:7">
      <c r="A29" s="12" t="s">
        <v>1225</v>
      </c>
      <c r="B29" s="4" t="s">
        <v>1098</v>
      </c>
      <c r="C29" s="13">
        <v>2016</v>
      </c>
      <c r="D29" s="17">
        <v>0.004</v>
      </c>
      <c r="E29" s="18">
        <v>0.018</v>
      </c>
      <c r="F29" s="18">
        <v>5.52e-5</v>
      </c>
      <c r="G29" s="18">
        <v>0.0002484</v>
      </c>
    </row>
    <row r="30" ht="15.75" hidden="1" customHeight="1" spans="1:7">
      <c r="A30" s="12" t="s">
        <v>1225</v>
      </c>
      <c r="B30" s="4" t="s">
        <v>1100</v>
      </c>
      <c r="C30" s="13">
        <v>2016</v>
      </c>
      <c r="D30" s="17">
        <v>0.030876</v>
      </c>
      <c r="E30" s="18">
        <v>0.002</v>
      </c>
      <c r="F30" s="18">
        <v>0.0013955952</v>
      </c>
      <c r="G30" s="18">
        <v>9.04e-5</v>
      </c>
    </row>
    <row r="31" ht="15.75" hidden="1" customHeight="1" spans="1:7">
      <c r="A31" s="12" t="s">
        <v>1225</v>
      </c>
      <c r="B31" s="4" t="s">
        <v>1101</v>
      </c>
      <c r="C31" s="13">
        <v>2016</v>
      </c>
      <c r="D31" s="17">
        <v>0.03237</v>
      </c>
      <c r="E31" s="18">
        <v>0.002</v>
      </c>
      <c r="F31" s="18">
        <v>0.001479309</v>
      </c>
      <c r="G31" s="18">
        <v>9.14e-5</v>
      </c>
    </row>
    <row r="32" ht="15.75" hidden="1" customHeight="1" spans="1:7">
      <c r="A32" s="12" t="s">
        <v>1225</v>
      </c>
      <c r="B32" s="4" t="s">
        <v>1102</v>
      </c>
      <c r="C32" s="13">
        <v>2016</v>
      </c>
      <c r="D32" s="17">
        <v>0.003</v>
      </c>
      <c r="E32" s="18">
        <v>0.022</v>
      </c>
      <c r="F32" s="18">
        <v>3.12e-5</v>
      </c>
      <c r="G32" s="18">
        <v>0.0002288</v>
      </c>
    </row>
    <row r="33" ht="15.75" hidden="1" customHeight="1" spans="1:7">
      <c r="A33" s="12" t="s">
        <v>1225</v>
      </c>
      <c r="B33" s="4" t="s">
        <v>1103</v>
      </c>
      <c r="C33" s="13">
        <v>2016</v>
      </c>
      <c r="D33" s="17">
        <v>0.004</v>
      </c>
      <c r="E33" s="18">
        <v>0.024</v>
      </c>
      <c r="F33" s="18">
        <v>4.04e-5</v>
      </c>
      <c r="G33" s="18">
        <v>0.0002424</v>
      </c>
    </row>
    <row r="34" ht="15.75" hidden="1" customHeight="1" spans="1:7">
      <c r="A34" s="12" t="s">
        <v>1225</v>
      </c>
      <c r="B34" s="4" t="s">
        <v>1096</v>
      </c>
      <c r="C34" s="13">
        <v>2017</v>
      </c>
      <c r="D34" s="17">
        <v>0.004</v>
      </c>
      <c r="E34" s="18">
        <v>0.0201846153846154</v>
      </c>
      <c r="F34" s="18">
        <v>5.24e-5</v>
      </c>
      <c r="G34" s="18">
        <v>0.000264418461538462</v>
      </c>
    </row>
    <row r="35" ht="15.75" hidden="1" customHeight="1" spans="1:7">
      <c r="A35" s="12" t="s">
        <v>1225</v>
      </c>
      <c r="B35" s="4" t="s">
        <v>1098</v>
      </c>
      <c r="C35" s="13">
        <v>2017</v>
      </c>
      <c r="D35" s="17">
        <v>0.004</v>
      </c>
      <c r="E35" s="18">
        <v>0.0178909090909091</v>
      </c>
      <c r="F35" s="18">
        <v>5.72e-5</v>
      </c>
      <c r="G35" s="18">
        <v>0.00025584</v>
      </c>
    </row>
    <row r="36" ht="15.75" hidden="1" customHeight="1" spans="1:7">
      <c r="A36" s="12" t="s">
        <v>1225</v>
      </c>
      <c r="B36" s="4" t="s">
        <v>1100</v>
      </c>
      <c r="C36" s="13">
        <v>2017</v>
      </c>
      <c r="D36" s="17">
        <v>0.02739</v>
      </c>
      <c r="E36" s="18">
        <v>0.002</v>
      </c>
      <c r="F36" s="18">
        <v>0.001563969</v>
      </c>
      <c r="G36" s="18">
        <v>0.0001142</v>
      </c>
    </row>
    <row r="37" ht="15.75" hidden="1" customHeight="1" spans="1:7">
      <c r="A37" s="12" t="s">
        <v>1225</v>
      </c>
      <c r="B37" s="4" t="s">
        <v>1101</v>
      </c>
      <c r="C37" s="13">
        <v>2017</v>
      </c>
      <c r="D37" s="17">
        <v>0.02988</v>
      </c>
      <c r="E37" s="18">
        <v>0.002</v>
      </c>
      <c r="F37" s="18">
        <v>0.001550772</v>
      </c>
      <c r="G37" s="18">
        <v>0.0001038</v>
      </c>
    </row>
    <row r="38" ht="15.75" hidden="1" customHeight="1" spans="1:7">
      <c r="A38" s="12" t="s">
        <v>1225</v>
      </c>
      <c r="B38" s="4" t="s">
        <v>1102</v>
      </c>
      <c r="C38" s="13">
        <v>2017</v>
      </c>
      <c r="D38" s="17">
        <v>0.003</v>
      </c>
      <c r="E38" s="18">
        <v>0.0223222034742146</v>
      </c>
      <c r="F38" s="18">
        <v>3.27e-5</v>
      </c>
      <c r="G38" s="18">
        <v>0.000243312017868939</v>
      </c>
    </row>
    <row r="39" ht="15.75" hidden="1" customHeight="1" spans="1:7">
      <c r="A39" s="12" t="s">
        <v>1225</v>
      </c>
      <c r="B39" s="4" t="s">
        <v>1103</v>
      </c>
      <c r="C39" s="13">
        <v>2017</v>
      </c>
      <c r="D39" s="17">
        <v>0.005</v>
      </c>
      <c r="E39" s="18">
        <v>0.0240979591836735</v>
      </c>
      <c r="F39" s="18">
        <v>5.35e-5</v>
      </c>
      <c r="G39" s="18">
        <v>0.000257848163265306</v>
      </c>
    </row>
    <row r="40" ht="15.75" hidden="1" customHeight="1" spans="1:7">
      <c r="A40" s="12" t="s">
        <v>1225</v>
      </c>
      <c r="B40" s="4" t="s">
        <v>1096</v>
      </c>
      <c r="C40" s="13">
        <v>2018</v>
      </c>
      <c r="D40" s="17">
        <v>0.004</v>
      </c>
      <c r="E40" s="18">
        <v>0.02</v>
      </c>
      <c r="F40" s="18">
        <v>5.36e-5</v>
      </c>
      <c r="G40" s="18">
        <v>0.000268</v>
      </c>
    </row>
    <row r="41" ht="15.75" hidden="1" customHeight="1" spans="1:7">
      <c r="A41" s="12" t="s">
        <v>1225</v>
      </c>
      <c r="B41" s="4" t="s">
        <v>1098</v>
      </c>
      <c r="C41" s="13">
        <v>2018</v>
      </c>
      <c r="D41" s="17">
        <v>0.004</v>
      </c>
      <c r="E41" s="18">
        <v>0.018</v>
      </c>
      <c r="F41" s="18">
        <v>5.68e-5</v>
      </c>
      <c r="G41" s="18">
        <v>0.0002556</v>
      </c>
    </row>
    <row r="42" ht="15.75" hidden="1" customHeight="1" spans="1:7">
      <c r="A42" s="12" t="s">
        <v>1225</v>
      </c>
      <c r="B42" s="4" t="s">
        <v>1100</v>
      </c>
      <c r="C42" s="13">
        <v>2018</v>
      </c>
      <c r="D42" s="17">
        <v>0.026892</v>
      </c>
      <c r="E42" s="18">
        <v>0.002</v>
      </c>
      <c r="F42" s="18">
        <v>0.001573182</v>
      </c>
      <c r="G42" s="18">
        <v>0.000117</v>
      </c>
    </row>
    <row r="43" ht="15.75" hidden="1" customHeight="1" spans="1:7">
      <c r="A43" s="12" t="s">
        <v>1225</v>
      </c>
      <c r="B43" s="4" t="s">
        <v>1101</v>
      </c>
      <c r="C43" s="13">
        <v>2018</v>
      </c>
      <c r="D43" s="17">
        <v>0.028137</v>
      </c>
      <c r="E43" s="18">
        <v>0.002</v>
      </c>
      <c r="F43" s="18">
        <v>0.0014490555</v>
      </c>
      <c r="G43" s="18">
        <v>0.000103</v>
      </c>
    </row>
    <row r="44" ht="15.75" hidden="1" customHeight="1" spans="1:7">
      <c r="A44" s="12" t="s">
        <v>1225</v>
      </c>
      <c r="B44" s="4" t="s">
        <v>1102</v>
      </c>
      <c r="C44" s="13">
        <v>2018</v>
      </c>
      <c r="D44" s="17">
        <v>0.003</v>
      </c>
      <c r="E44" s="18">
        <v>0.022</v>
      </c>
      <c r="F44" s="18">
        <v>3.27e-5</v>
      </c>
      <c r="G44" s="18">
        <v>0.0002398</v>
      </c>
    </row>
    <row r="45" ht="15.75" hidden="1" customHeight="1" spans="1:7">
      <c r="A45" s="12" t="s">
        <v>1225</v>
      </c>
      <c r="B45" s="4" t="s">
        <v>1103</v>
      </c>
      <c r="C45" s="13">
        <v>2018</v>
      </c>
      <c r="D45" s="17">
        <v>0.004</v>
      </c>
      <c r="E45" s="18">
        <v>0.024</v>
      </c>
      <c r="F45" s="18">
        <v>4.44e-5</v>
      </c>
      <c r="G45" s="18">
        <v>0.0002664</v>
      </c>
    </row>
    <row r="46" ht="15.75" hidden="1" customHeight="1" spans="1:7">
      <c r="A46" s="12" t="s">
        <v>1225</v>
      </c>
      <c r="B46" s="4" t="s">
        <v>1096</v>
      </c>
      <c r="C46" s="13">
        <v>2019</v>
      </c>
      <c r="D46" s="17">
        <v>0.00314383276046842</v>
      </c>
      <c r="E46" s="18">
        <v>0.0201846153846154</v>
      </c>
      <c r="F46" s="18">
        <v>3.79579916862629e-5</v>
      </c>
      <c r="G46" s="18">
        <v>0.000243704904597244</v>
      </c>
    </row>
    <row r="47" ht="15.75" hidden="1" customHeight="1" spans="1:7">
      <c r="A47" s="12" t="s">
        <v>1225</v>
      </c>
      <c r="B47" s="4" t="s">
        <v>1098</v>
      </c>
      <c r="C47" s="13">
        <v>2019</v>
      </c>
      <c r="D47" s="17">
        <v>0.00395036018622004</v>
      </c>
      <c r="E47" s="18">
        <v>0.0178909090909091</v>
      </c>
      <c r="F47" s="18">
        <v>5.71423206929019e-5</v>
      </c>
      <c r="G47" s="18">
        <v>0.000258793633129061</v>
      </c>
    </row>
    <row r="48" ht="15.75" hidden="1" customHeight="1" spans="1:7">
      <c r="A48" s="12" t="s">
        <v>1225</v>
      </c>
      <c r="B48" s="4" t="s">
        <v>1100</v>
      </c>
      <c r="C48" s="13">
        <v>2019</v>
      </c>
      <c r="D48" s="17">
        <v>0.0275987694832802</v>
      </c>
      <c r="E48" s="18">
        <v>0.002</v>
      </c>
      <c r="F48" s="18">
        <v>0.00154351625756959</v>
      </c>
      <c r="G48" s="18">
        <v>0.000111853991063238</v>
      </c>
    </row>
    <row r="49" ht="15.75" hidden="1" customHeight="1" spans="1:7">
      <c r="A49" s="12" t="s">
        <v>1225</v>
      </c>
      <c r="B49" s="4" t="s">
        <v>1101</v>
      </c>
      <c r="C49" s="13">
        <v>2019</v>
      </c>
      <c r="D49" s="17">
        <v>0.0307506180262814</v>
      </c>
      <c r="E49" s="18">
        <v>0.002</v>
      </c>
      <c r="F49" s="18">
        <v>0.00165816575630365</v>
      </c>
      <c r="G49" s="18">
        <v>0.000107846011737812</v>
      </c>
    </row>
    <row r="50" ht="15.75" hidden="1" customHeight="1" spans="1:7">
      <c r="A50" s="12" t="s">
        <v>1225</v>
      </c>
      <c r="B50" s="4" t="s">
        <v>1102</v>
      </c>
      <c r="C50" s="13">
        <v>2019</v>
      </c>
      <c r="D50" s="17">
        <v>0.003</v>
      </c>
      <c r="E50" s="18">
        <v>0.0223222034742146</v>
      </c>
      <c r="F50" s="18">
        <v>4.58720780291179e-5</v>
      </c>
      <c r="G50" s="18">
        <v>0.000341321953183672</v>
      </c>
    </row>
    <row r="51" ht="15.75" hidden="1" customHeight="1" spans="1:7">
      <c r="A51" s="12" t="s">
        <v>1225</v>
      </c>
      <c r="B51" s="4" t="s">
        <v>1103</v>
      </c>
      <c r="C51" s="13">
        <v>2019</v>
      </c>
      <c r="D51" s="17">
        <v>0.005</v>
      </c>
      <c r="E51" s="18">
        <v>0.0240979591836735</v>
      </c>
      <c r="F51" s="18">
        <v>5.67323402020415e-5</v>
      </c>
      <c r="G51" s="18">
        <v>0.000273426723716615</v>
      </c>
    </row>
    <row r="52" ht="15.75" customHeight="1" spans="1:7">
      <c r="A52" s="12" t="s">
        <v>1225</v>
      </c>
      <c r="B52" s="4" t="s">
        <v>1096</v>
      </c>
      <c r="C52" s="13">
        <v>2020</v>
      </c>
      <c r="D52" s="17">
        <v>0.00320916889048755</v>
      </c>
      <c r="E52" s="18">
        <v>0.02</v>
      </c>
      <c r="F52" s="20">
        <v>4.03425544602889e-5</v>
      </c>
      <c r="G52" s="18">
        <v>0.000251420575463449</v>
      </c>
    </row>
    <row r="53" ht="15.75" customHeight="1" spans="1:7">
      <c r="A53" s="12" t="s">
        <v>1225</v>
      </c>
      <c r="B53" s="21" t="s">
        <v>1098</v>
      </c>
      <c r="C53" s="22">
        <v>2020</v>
      </c>
      <c r="D53" s="23">
        <v>0.00438213021199874</v>
      </c>
      <c r="E53" s="24">
        <v>0.018</v>
      </c>
      <c r="F53" s="20">
        <v>6.46553817422213e-5</v>
      </c>
      <c r="G53" s="25">
        <v>0.000265577884512282</v>
      </c>
    </row>
    <row r="54" ht="15.75" customHeight="1" spans="1:7">
      <c r="A54" s="12" t="s">
        <v>1225</v>
      </c>
      <c r="B54" s="4" t="s">
        <v>1100</v>
      </c>
      <c r="C54" s="13">
        <v>2020</v>
      </c>
      <c r="D54" s="17">
        <v>0.0287414908368737</v>
      </c>
      <c r="E54" s="18">
        <v>0.002</v>
      </c>
      <c r="F54" s="20">
        <v>0.00146353249636193</v>
      </c>
      <c r="G54" s="18">
        <v>0.000101841098269287</v>
      </c>
    </row>
    <row r="55" ht="15.75" customHeight="1" spans="1:7">
      <c r="A55" s="12" t="s">
        <v>1225</v>
      </c>
      <c r="B55" s="4" t="s">
        <v>1101</v>
      </c>
      <c r="C55" s="13">
        <v>2020</v>
      </c>
      <c r="D55" s="17">
        <v>0.0319229629497416</v>
      </c>
      <c r="E55" s="18">
        <v>0.002</v>
      </c>
      <c r="F55" s="20">
        <v>0.00162171826844211</v>
      </c>
      <c r="G55" s="18">
        <v>0.000101601989201021</v>
      </c>
    </row>
    <row r="56" ht="15.75" customHeight="1" spans="1:7">
      <c r="A56" s="12" t="s">
        <v>1225</v>
      </c>
      <c r="B56" s="4" t="s">
        <v>1102</v>
      </c>
      <c r="C56" s="13">
        <v>2020</v>
      </c>
      <c r="D56" s="17">
        <v>0.0032636835432902</v>
      </c>
      <c r="E56" s="18">
        <v>0.022</v>
      </c>
      <c r="F56" s="20">
        <v>4.59185525108537e-5</v>
      </c>
      <c r="G56" s="18">
        <v>0.000309530057629413</v>
      </c>
    </row>
    <row r="57" ht="15.75" customHeight="1" spans="1:7">
      <c r="A57" s="12" t="s">
        <v>1225</v>
      </c>
      <c r="B57" s="4" t="s">
        <v>1103</v>
      </c>
      <c r="C57" s="13">
        <v>2020</v>
      </c>
      <c r="D57" s="17">
        <v>0.00715434432411252</v>
      </c>
      <c r="E57" s="18">
        <v>0.024</v>
      </c>
      <c r="F57" s="20">
        <v>8.20549684045046e-5</v>
      </c>
      <c r="G57" s="18">
        <v>0.000275262015985287</v>
      </c>
    </row>
    <row r="58" ht="15.75" hidden="1" customHeight="1" spans="1:7">
      <c r="A58" s="12" t="s">
        <v>1225</v>
      </c>
      <c r="B58" s="4" t="s">
        <v>1096</v>
      </c>
      <c r="C58" s="13">
        <v>2021</v>
      </c>
      <c r="D58" s="17">
        <v>0.00715434432411252</v>
      </c>
      <c r="E58" s="18">
        <v>0.0201846153846154</v>
      </c>
      <c r="F58" s="20">
        <v>3.42727988810427e-5</v>
      </c>
      <c r="G58" s="18">
        <v>0.000242508864289399</v>
      </c>
    </row>
    <row r="59" ht="15.75" hidden="1" customHeight="1" spans="1:7">
      <c r="A59" s="12" t="s">
        <v>1225</v>
      </c>
      <c r="B59" s="4" t="s">
        <v>1098</v>
      </c>
      <c r="C59" s="13">
        <v>2021</v>
      </c>
      <c r="D59" s="17">
        <v>0.00466007188240887</v>
      </c>
      <c r="E59" s="18">
        <v>0.0178909090909091</v>
      </c>
      <c r="F59" s="20">
        <v>6.98577296287926e-5</v>
      </c>
      <c r="G59" s="18">
        <v>0.000268197212752002</v>
      </c>
    </row>
    <row r="60" ht="15.75" hidden="1" customHeight="1" spans="1:7">
      <c r="A60" s="12" t="s">
        <v>1225</v>
      </c>
      <c r="B60" s="4" t="s">
        <v>1100</v>
      </c>
      <c r="C60" s="13">
        <v>2021</v>
      </c>
      <c r="D60" s="17">
        <v>0.0268411195902584</v>
      </c>
      <c r="E60" s="18">
        <v>0.002</v>
      </c>
      <c r="F60" s="20">
        <v>0.00143431834570007</v>
      </c>
      <c r="G60" s="18">
        <v>0.000106874703260935</v>
      </c>
    </row>
    <row r="61" ht="15.75" hidden="1" customHeight="1" spans="1:7">
      <c r="A61" s="12" t="s">
        <v>1225</v>
      </c>
      <c r="B61" s="4" t="s">
        <v>1101</v>
      </c>
      <c r="C61" s="13">
        <v>2021</v>
      </c>
      <c r="D61" s="17">
        <v>0.0291410779998481</v>
      </c>
      <c r="E61" s="18">
        <v>0.002</v>
      </c>
      <c r="F61" s="20">
        <v>0.00153967637543513</v>
      </c>
      <c r="G61" s="18">
        <v>0.0001056705160628</v>
      </c>
    </row>
    <row r="62" ht="15.75" hidden="1" customHeight="1" spans="1:7">
      <c r="A62" s="12" t="s">
        <v>1225</v>
      </c>
      <c r="B62" s="4" t="s">
        <v>1102</v>
      </c>
      <c r="C62" s="13">
        <v>2021</v>
      </c>
      <c r="D62" s="17">
        <v>0.00479240627605992</v>
      </c>
      <c r="E62" s="18">
        <v>0.0223222034742146</v>
      </c>
      <c r="F62" s="20">
        <v>5.74007946604296e-5</v>
      </c>
      <c r="G62" s="18">
        <v>0.000267363020617098</v>
      </c>
    </row>
    <row r="63" ht="15.75" hidden="1" customHeight="1" spans="1:7">
      <c r="A63" s="12" t="s">
        <v>1225</v>
      </c>
      <c r="B63" s="4" t="s">
        <v>1103</v>
      </c>
      <c r="C63" s="13">
        <v>2021</v>
      </c>
      <c r="D63" s="17">
        <v>0.00424669313209334</v>
      </c>
      <c r="E63" s="18">
        <v>0.0240979591836735</v>
      </c>
      <c r="F63" s="20">
        <v>5.15927161584411e-5</v>
      </c>
      <c r="G63" s="18">
        <v>0.000292764070651865</v>
      </c>
    </row>
    <row r="64" ht="15.75" hidden="1" customHeight="1" spans="1:7">
      <c r="A64" s="12" t="s">
        <v>1225</v>
      </c>
      <c r="B64" s="4" t="s">
        <v>1096</v>
      </c>
      <c r="C64" s="13">
        <v>2022</v>
      </c>
      <c r="D64" s="17">
        <v>0.00274717423835125</v>
      </c>
      <c r="E64" s="18">
        <v>0.017</v>
      </c>
      <c r="F64" s="20">
        <v>2.70727328275505e-5</v>
      </c>
      <c r="G64" s="18">
        <v>0.000167530858306452</v>
      </c>
    </row>
    <row r="65" ht="15.75" hidden="1" customHeight="1" spans="1:7">
      <c r="A65" s="12" t="s">
        <v>1225</v>
      </c>
      <c r="B65" s="4" t="s">
        <v>1098</v>
      </c>
      <c r="C65" s="13">
        <v>2022</v>
      </c>
      <c r="D65" s="17">
        <v>0.00293070800910599</v>
      </c>
      <c r="E65" s="18">
        <v>0.018</v>
      </c>
      <c r="F65" s="20">
        <v>4.508412852885e-5</v>
      </c>
      <c r="G65" s="18">
        <v>0.000276900431908552</v>
      </c>
    </row>
    <row r="66" ht="15.75" hidden="1" customHeight="1" spans="1:7">
      <c r="A66" s="12" t="s">
        <v>1225</v>
      </c>
      <c r="B66" s="4" t="s">
        <v>1100</v>
      </c>
      <c r="C66" s="13">
        <v>2022</v>
      </c>
      <c r="D66" s="17">
        <v>0.0260488410953465</v>
      </c>
      <c r="E66" s="18">
        <v>0.002</v>
      </c>
      <c r="F66" s="20">
        <v>0.00148719766181949</v>
      </c>
      <c r="G66" s="18">
        <v>0.000114185322592733</v>
      </c>
    </row>
    <row r="67" ht="15.75" hidden="1" customHeight="1" spans="1:7">
      <c r="A67" s="12" t="s">
        <v>1225</v>
      </c>
      <c r="B67" s="4" t="s">
        <v>1101</v>
      </c>
      <c r="C67" s="13">
        <v>2022</v>
      </c>
      <c r="D67" s="17">
        <v>0.0288642120299609</v>
      </c>
      <c r="E67" s="18">
        <v>0.002</v>
      </c>
      <c r="F67" s="20">
        <v>0.00165905990279258</v>
      </c>
      <c r="G67" s="18">
        <v>0.000114956188727445</v>
      </c>
    </row>
    <row r="68" ht="15.75" hidden="1" customHeight="1" spans="1:7">
      <c r="A68" s="12" t="s">
        <v>1225</v>
      </c>
      <c r="B68" s="4" t="s">
        <v>1102</v>
      </c>
      <c r="C68" s="13">
        <v>2022</v>
      </c>
      <c r="D68" s="17">
        <v>0.00399103071453944</v>
      </c>
      <c r="E68" s="18">
        <v>0.022</v>
      </c>
      <c r="F68" s="20">
        <v>6.38204175862798e-5</v>
      </c>
      <c r="G68" s="18">
        <v>0.000351801147954879</v>
      </c>
    </row>
    <row r="69" ht="15.75" hidden="1" customHeight="1" spans="1:7">
      <c r="A69" s="12" t="s">
        <v>1225</v>
      </c>
      <c r="B69" s="4" t="s">
        <v>1103</v>
      </c>
      <c r="C69" s="13">
        <v>2022</v>
      </c>
      <c r="D69" s="17">
        <v>0.00543910597236244</v>
      </c>
      <c r="E69" s="18">
        <v>0.024</v>
      </c>
      <c r="F69" s="20">
        <v>6.95679762034568e-5</v>
      </c>
      <c r="G69" s="18">
        <v>0.000306967990211407</v>
      </c>
    </row>
    <row r="70" ht="15.75" hidden="1" customHeight="1" spans="1:7">
      <c r="A70" s="12" t="s">
        <v>1225</v>
      </c>
      <c r="B70" s="4" t="s">
        <v>1096</v>
      </c>
      <c r="C70" s="13">
        <v>2023</v>
      </c>
      <c r="D70" s="26">
        <v>0.00274717423835125</v>
      </c>
      <c r="E70" s="18">
        <v>0.02</v>
      </c>
      <c r="F70" s="20">
        <v>4.1123660574471e-5</v>
      </c>
      <c r="G70" s="18">
        <v>0.000299388804687917</v>
      </c>
    </row>
    <row r="71" ht="15.75" hidden="1" customHeight="1" spans="1:7">
      <c r="A71" s="12" t="s">
        <v>1225</v>
      </c>
      <c r="B71" s="4" t="s">
        <v>1098</v>
      </c>
      <c r="C71" s="13">
        <v>2023</v>
      </c>
      <c r="D71" s="26">
        <v>0.004</v>
      </c>
      <c r="E71" s="18">
        <v>0.0178909090909091</v>
      </c>
      <c r="F71" s="20">
        <v>5.88e-5</v>
      </c>
      <c r="G71" s="18">
        <v>0.000262996363636364</v>
      </c>
    </row>
    <row r="72" ht="15.75" hidden="1" customHeight="1" spans="1:7">
      <c r="A72" s="12" t="s">
        <v>1225</v>
      </c>
      <c r="B72" s="4" t="s">
        <v>1100</v>
      </c>
      <c r="C72" s="13">
        <v>2023</v>
      </c>
      <c r="D72" s="26">
        <v>0.026</v>
      </c>
      <c r="E72" s="18">
        <v>0.002</v>
      </c>
      <c r="F72" s="20">
        <v>0.0014664</v>
      </c>
      <c r="G72" s="18">
        <v>0.0001128</v>
      </c>
    </row>
    <row r="73" ht="15.75" hidden="1" customHeight="1" spans="1:7">
      <c r="A73" s="12" t="s">
        <v>1225</v>
      </c>
      <c r="B73" s="4" t="s">
        <v>1101</v>
      </c>
      <c r="C73" s="13">
        <v>2023</v>
      </c>
      <c r="D73" s="26">
        <v>0.0310483359271703</v>
      </c>
      <c r="E73" s="18">
        <v>0.002</v>
      </c>
      <c r="F73" s="20">
        <v>0.001623827968991</v>
      </c>
      <c r="G73" s="18">
        <v>0.0001046</v>
      </c>
    </row>
    <row r="74" ht="15.75" hidden="1" customHeight="1" spans="1:7">
      <c r="A74" s="12" t="s">
        <v>1225</v>
      </c>
      <c r="B74" s="4" t="s">
        <v>1102</v>
      </c>
      <c r="C74" s="13">
        <v>2023</v>
      </c>
      <c r="D74" s="26">
        <v>0.00399103071453944</v>
      </c>
      <c r="E74" s="18">
        <v>0.0223222034742146</v>
      </c>
      <c r="F74" s="20">
        <v>3.68590324370459e-5</v>
      </c>
      <c r="G74" s="18">
        <v>0.000206155973424364</v>
      </c>
    </row>
    <row r="75" ht="15.75" hidden="1" customHeight="1" spans="1:7">
      <c r="A75" s="12" t="s">
        <v>1225</v>
      </c>
      <c r="B75" s="4" t="s">
        <v>1103</v>
      </c>
      <c r="C75" s="13">
        <v>2023</v>
      </c>
      <c r="D75" s="26">
        <v>0.007</v>
      </c>
      <c r="E75" s="18">
        <v>0.024</v>
      </c>
      <c r="F75" s="20">
        <v>7.19618227504629e-5</v>
      </c>
      <c r="G75" s="18">
        <v>0.000246726249430158</v>
      </c>
    </row>
    <row r="76" ht="15.75" hidden="1" customHeight="1" spans="1:7">
      <c r="A76" s="12" t="s">
        <v>1225</v>
      </c>
      <c r="B76" s="4" t="s">
        <v>1096</v>
      </c>
      <c r="C76" s="13">
        <v>2024</v>
      </c>
      <c r="D76" s="27">
        <v>0.00274717423835125</v>
      </c>
      <c r="E76" s="15">
        <v>0.02</v>
      </c>
      <c r="F76" s="20">
        <v>4.1123660574471e-5</v>
      </c>
      <c r="G76" s="15">
        <v>0.000299388804687917</v>
      </c>
    </row>
    <row r="77" ht="15.75" hidden="1" customHeight="1" spans="1:7">
      <c r="A77" s="12" t="s">
        <v>1225</v>
      </c>
      <c r="B77" s="4" t="s">
        <v>1098</v>
      </c>
      <c r="C77" s="13">
        <v>2024</v>
      </c>
      <c r="D77" s="28">
        <v>0.004</v>
      </c>
      <c r="E77" s="15">
        <v>0.0178909090909091</v>
      </c>
      <c r="F77" s="20">
        <v>5.88e-5</v>
      </c>
      <c r="G77" s="15">
        <v>0.000262996363636364</v>
      </c>
    </row>
    <row r="78" ht="15.75" hidden="1" customHeight="1" spans="1:7">
      <c r="A78" s="12" t="s">
        <v>1225</v>
      </c>
      <c r="B78" s="4" t="s">
        <v>1100</v>
      </c>
      <c r="C78" s="13">
        <v>2024</v>
      </c>
      <c r="D78" s="28">
        <v>0.026</v>
      </c>
      <c r="E78" s="15">
        <v>0.002</v>
      </c>
      <c r="F78" s="20">
        <v>0.0014664</v>
      </c>
      <c r="G78" s="15">
        <v>0.0001128</v>
      </c>
    </row>
    <row r="79" ht="15.75" hidden="1" customHeight="1" spans="1:7">
      <c r="A79" s="12" t="s">
        <v>1225</v>
      </c>
      <c r="B79" s="4" t="s">
        <v>1101</v>
      </c>
      <c r="C79" s="13">
        <v>2024</v>
      </c>
      <c r="D79" s="28">
        <v>0.0310483359271703</v>
      </c>
      <c r="E79" s="15">
        <v>0.002</v>
      </c>
      <c r="F79" s="20">
        <v>0.001623827968991</v>
      </c>
      <c r="G79" s="29">
        <v>0.0001046</v>
      </c>
    </row>
    <row r="80" ht="15.75" hidden="1" customHeight="1" spans="1:7">
      <c r="A80" s="12" t="s">
        <v>1225</v>
      </c>
      <c r="B80" s="4" t="s">
        <v>1102</v>
      </c>
      <c r="C80" s="13">
        <v>2024</v>
      </c>
      <c r="D80" s="27">
        <v>0.00399103071453944</v>
      </c>
      <c r="E80" s="15">
        <v>0.0223222034742146</v>
      </c>
      <c r="F80" s="20">
        <v>3.68590324370459e-5</v>
      </c>
      <c r="G80" s="15">
        <v>0.000206155973424364</v>
      </c>
    </row>
    <row r="81" ht="15.75" hidden="1" customHeight="1" spans="1:7">
      <c r="A81" s="12" t="s">
        <v>1225</v>
      </c>
      <c r="B81" s="4" t="s">
        <v>1103</v>
      </c>
      <c r="C81" s="13">
        <v>2024</v>
      </c>
      <c r="D81" s="28">
        <v>0.007</v>
      </c>
      <c r="E81" s="15">
        <v>0.024</v>
      </c>
      <c r="F81" s="20">
        <v>7.19618227504629e-5</v>
      </c>
      <c r="G81" s="15">
        <v>0.000246726249430158</v>
      </c>
    </row>
    <row r="82" ht="15.75" hidden="1" customHeight="1" spans="1:7">
      <c r="A82" s="12" t="s">
        <v>1225</v>
      </c>
      <c r="B82" s="7" t="s">
        <v>1104</v>
      </c>
      <c r="C82" s="13">
        <v>2013</v>
      </c>
      <c r="D82" s="15">
        <v>0.00678571428571429</v>
      </c>
      <c r="E82" s="15">
        <v>0.00369811320754717</v>
      </c>
      <c r="F82" s="20">
        <v>0.000107044441495328</v>
      </c>
      <c r="G82" s="15">
        <v>5.83376261098672e-5</v>
      </c>
    </row>
    <row r="83" ht="15.75" hidden="1" customHeight="1" spans="1:7">
      <c r="A83" s="12" t="s">
        <v>1225</v>
      </c>
      <c r="B83" s="7" t="s">
        <v>1104</v>
      </c>
      <c r="C83" s="13">
        <v>2014</v>
      </c>
      <c r="D83" s="15">
        <v>0.00678571428571429</v>
      </c>
      <c r="E83" s="15">
        <v>0.00369811320754717</v>
      </c>
      <c r="F83" s="20">
        <v>0.000107044441495328</v>
      </c>
      <c r="G83" s="15">
        <v>5.83376261098672e-5</v>
      </c>
    </row>
    <row r="84" ht="15.75" hidden="1" customHeight="1" spans="1:7">
      <c r="A84" s="12" t="s">
        <v>1225</v>
      </c>
      <c r="B84" s="7" t="s">
        <v>1104</v>
      </c>
      <c r="C84" s="13">
        <v>2015</v>
      </c>
      <c r="D84" s="15">
        <v>0.00678571428571429</v>
      </c>
      <c r="E84" s="15">
        <v>0.00369811320754717</v>
      </c>
      <c r="F84" s="20">
        <v>0.000107044441495328</v>
      </c>
      <c r="G84" s="15">
        <v>5.83376261098672e-5</v>
      </c>
    </row>
    <row r="85" ht="15.75" hidden="1" customHeight="1" spans="1:7">
      <c r="A85" s="12" t="s">
        <v>1225</v>
      </c>
      <c r="B85" s="7" t="s">
        <v>1104</v>
      </c>
      <c r="C85" s="13">
        <v>2016</v>
      </c>
      <c r="D85" s="15">
        <v>0.00678571428571429</v>
      </c>
      <c r="E85" s="15">
        <v>0.00369811320754717</v>
      </c>
      <c r="F85" s="20">
        <v>0.000107044441495328</v>
      </c>
      <c r="G85" s="15">
        <v>5.83376261098672e-5</v>
      </c>
    </row>
    <row r="86" ht="15.75" hidden="1" customHeight="1" spans="1:7">
      <c r="A86" s="12" t="s">
        <v>1225</v>
      </c>
      <c r="B86" s="7" t="s">
        <v>1104</v>
      </c>
      <c r="C86" s="13">
        <v>2017</v>
      </c>
      <c r="D86" s="15">
        <v>0.00678571428571429</v>
      </c>
      <c r="E86" s="15">
        <v>0.00369811320754717</v>
      </c>
      <c r="F86" s="20">
        <v>0.000107044441495328</v>
      </c>
      <c r="G86" s="15">
        <v>5.83376261098672e-5</v>
      </c>
    </row>
    <row r="87" ht="15.75" hidden="1" customHeight="1" spans="1:7">
      <c r="A87" s="12" t="s">
        <v>1225</v>
      </c>
      <c r="B87" s="7" t="s">
        <v>1104</v>
      </c>
      <c r="C87" s="13">
        <v>2018</v>
      </c>
      <c r="D87" s="15">
        <v>0.00678571428571429</v>
      </c>
      <c r="E87" s="15">
        <v>0.00369811320754717</v>
      </c>
      <c r="F87" s="20">
        <v>0.000107044441495328</v>
      </c>
      <c r="G87" s="15">
        <v>5.83376261098672e-5</v>
      </c>
    </row>
    <row r="88" ht="15.75" hidden="1" customHeight="1" spans="1:7">
      <c r="A88" s="12" t="s">
        <v>1225</v>
      </c>
      <c r="B88" s="7" t="s">
        <v>1104</v>
      </c>
      <c r="C88" s="13">
        <v>2019</v>
      </c>
      <c r="D88" s="15">
        <v>0.00678571428571429</v>
      </c>
      <c r="E88" s="15">
        <v>0.00369811320754717</v>
      </c>
      <c r="F88" s="20">
        <v>0.000107044441495328</v>
      </c>
      <c r="G88" s="15">
        <v>5.83376261098672e-5</v>
      </c>
    </row>
    <row r="89" ht="15.75" customHeight="1" spans="1:7">
      <c r="A89" s="12" t="s">
        <v>1225</v>
      </c>
      <c r="B89" s="7" t="s">
        <v>1104</v>
      </c>
      <c r="C89" s="13">
        <v>2020</v>
      </c>
      <c r="D89" s="15">
        <v>0.00678571428571429</v>
      </c>
      <c r="E89" s="15">
        <v>0.00369811320754717</v>
      </c>
      <c r="F89" s="20">
        <v>0.000107044441495328</v>
      </c>
      <c r="G89" s="15">
        <v>5.83376261098672e-5</v>
      </c>
    </row>
    <row r="90" ht="15.75" hidden="1" customHeight="1" spans="1:7">
      <c r="A90" s="12" t="s">
        <v>1225</v>
      </c>
      <c r="B90" s="7" t="s">
        <v>1104</v>
      </c>
      <c r="C90" s="13">
        <v>2021</v>
      </c>
      <c r="D90" s="15">
        <v>0.00678571428571429</v>
      </c>
      <c r="E90" s="15">
        <v>0.00369811320754717</v>
      </c>
      <c r="F90" s="15">
        <v>0.000107044441495328</v>
      </c>
      <c r="G90" s="15">
        <v>5.83376261098672e-5</v>
      </c>
    </row>
    <row r="91" ht="15.75" hidden="1" customHeight="1" spans="1:7">
      <c r="A91" s="12" t="s">
        <v>1225</v>
      </c>
      <c r="B91" s="7" t="s">
        <v>1104</v>
      </c>
      <c r="C91" s="13">
        <v>2022</v>
      </c>
      <c r="D91" s="15">
        <v>0.00678571428571429</v>
      </c>
      <c r="E91" s="15">
        <v>0.00369811320754717</v>
      </c>
      <c r="F91" s="15">
        <v>0.000107044441495328</v>
      </c>
      <c r="G91" s="15">
        <v>5.83376261098672e-5</v>
      </c>
    </row>
    <row r="92" ht="15.75" hidden="1" customHeight="1" spans="1:7">
      <c r="A92" s="12" t="s">
        <v>1225</v>
      </c>
      <c r="B92" s="7" t="s">
        <v>1104</v>
      </c>
      <c r="C92" s="13">
        <v>2023</v>
      </c>
      <c r="D92" s="15">
        <v>0.00678571428571429</v>
      </c>
      <c r="E92" s="15">
        <v>0.00369811320754717</v>
      </c>
      <c r="F92" s="15">
        <v>0.000107044441495328</v>
      </c>
      <c r="G92" s="15">
        <v>5.83376261098672e-5</v>
      </c>
    </row>
    <row r="93" ht="15.75" hidden="1" customHeight="1" spans="1:7">
      <c r="A93" s="12" t="s">
        <v>1225</v>
      </c>
      <c r="B93" s="7" t="s">
        <v>1104</v>
      </c>
      <c r="C93" s="13">
        <v>2024</v>
      </c>
      <c r="D93" s="15">
        <v>0.00678571428571429</v>
      </c>
      <c r="E93" s="15">
        <v>0.00369811320754717</v>
      </c>
      <c r="F93" s="15">
        <v>0.000107044441495328</v>
      </c>
      <c r="G93" s="15">
        <v>5.83376261098672e-5</v>
      </c>
    </row>
    <row r="94" ht="15.75" hidden="1" customHeight="1" spans="1:7">
      <c r="A94" s="12" t="s">
        <v>1225</v>
      </c>
      <c r="B94" s="7" t="s">
        <v>1105</v>
      </c>
      <c r="C94" s="13">
        <v>2024</v>
      </c>
      <c r="D94" s="15">
        <v>0.00928571428571428</v>
      </c>
      <c r="E94" s="15">
        <v>0.000754717</v>
      </c>
      <c r="F94" s="15">
        <v>0.000189676078194341</v>
      </c>
      <c r="G94" s="15">
        <v>1.54163434607106e-5</v>
      </c>
    </row>
    <row r="95" ht="15.75" hidden="1" customHeight="1" spans="1:7">
      <c r="A95" s="30" t="s">
        <v>1069</v>
      </c>
      <c r="B95" s="4" t="s">
        <v>1070</v>
      </c>
      <c r="C95" s="13">
        <v>2006</v>
      </c>
      <c r="D95" s="17">
        <v>0.005</v>
      </c>
      <c r="E95" s="18">
        <v>0.02</v>
      </c>
      <c r="F95" s="18">
        <v>4.8e-5</v>
      </c>
      <c r="G95" s="18">
        <v>0.000192</v>
      </c>
    </row>
    <row r="96" ht="15.75" hidden="1" customHeight="1" spans="1:7">
      <c r="A96" s="30" t="s">
        <v>1069</v>
      </c>
      <c r="B96" s="4" t="s">
        <v>1070</v>
      </c>
      <c r="C96" s="13">
        <v>2013</v>
      </c>
      <c r="D96" s="17">
        <v>0.014</v>
      </c>
      <c r="E96" s="18">
        <v>0.02</v>
      </c>
      <c r="F96" s="18">
        <v>0.0001456</v>
      </c>
      <c r="G96" s="18">
        <v>0.000208</v>
      </c>
    </row>
    <row r="97" ht="15.75" hidden="1" customHeight="1" spans="1:7">
      <c r="A97" s="30" t="s">
        <v>1069</v>
      </c>
      <c r="B97" s="4" t="s">
        <v>1071</v>
      </c>
      <c r="C97" s="13">
        <v>2006</v>
      </c>
      <c r="D97" s="14">
        <v>0.06</v>
      </c>
      <c r="E97" s="15">
        <v>0.03</v>
      </c>
      <c r="F97" s="15">
        <v>0.000204</v>
      </c>
      <c r="G97" s="15">
        <v>0.000102</v>
      </c>
    </row>
    <row r="98" ht="15.75" hidden="1" customHeight="1" spans="1:7">
      <c r="A98" s="30" t="s">
        <v>1069</v>
      </c>
      <c r="B98" s="4" t="s">
        <v>1071</v>
      </c>
      <c r="C98" s="13">
        <v>2013</v>
      </c>
      <c r="D98" s="17">
        <v>0.06</v>
      </c>
      <c r="E98" s="18">
        <v>0.03</v>
      </c>
      <c r="F98" s="18">
        <v>0.000204</v>
      </c>
      <c r="G98" s="18">
        <v>0.000102</v>
      </c>
    </row>
    <row r="99" ht="15.75" hidden="1" customHeight="1" spans="1:7">
      <c r="A99" s="30" t="s">
        <v>1069</v>
      </c>
      <c r="B99" s="4" t="s">
        <v>1072</v>
      </c>
      <c r="C99" s="13">
        <v>2013</v>
      </c>
      <c r="D99" s="17">
        <v>0.06</v>
      </c>
      <c r="E99" s="18">
        <v>0.03</v>
      </c>
      <c r="F99" s="18">
        <v>0.0002028</v>
      </c>
      <c r="G99" s="18">
        <v>0.0001014</v>
      </c>
    </row>
    <row r="100" ht="15.75" hidden="1" customHeight="1" spans="1:7">
      <c r="A100" s="30" t="s">
        <v>1069</v>
      </c>
      <c r="B100" s="4" t="s">
        <v>1073</v>
      </c>
      <c r="C100" s="13">
        <v>2013</v>
      </c>
      <c r="D100" s="17">
        <v>0.06</v>
      </c>
      <c r="E100" s="18">
        <v>0.03</v>
      </c>
      <c r="F100" s="18">
        <v>0.000126</v>
      </c>
      <c r="G100" s="18">
        <v>6.3e-5</v>
      </c>
    </row>
    <row r="101" ht="15.75" hidden="1" customHeight="1" spans="1:7">
      <c r="A101" s="30" t="s">
        <v>1069</v>
      </c>
      <c r="B101" s="4" t="s">
        <v>1070</v>
      </c>
      <c r="C101" s="13">
        <v>2014</v>
      </c>
      <c r="D101" s="17">
        <v>0.013</v>
      </c>
      <c r="E101" s="18">
        <v>0.02</v>
      </c>
      <c r="F101" s="18">
        <v>0.0001352</v>
      </c>
      <c r="G101" s="18">
        <v>0.000208</v>
      </c>
    </row>
    <row r="102" ht="15.75" hidden="1" customHeight="1" spans="1:7">
      <c r="A102" s="30" t="s">
        <v>1069</v>
      </c>
      <c r="B102" s="4" t="s">
        <v>1071</v>
      </c>
      <c r="C102" s="13">
        <v>2014</v>
      </c>
      <c r="D102" s="17">
        <v>0.06</v>
      </c>
      <c r="E102" s="18">
        <v>0.03</v>
      </c>
      <c r="F102" s="18">
        <v>0.000204</v>
      </c>
      <c r="G102" s="18">
        <v>0.000102</v>
      </c>
    </row>
    <row r="103" ht="15.75" hidden="1" customHeight="1" spans="1:7">
      <c r="A103" s="30" t="s">
        <v>1069</v>
      </c>
      <c r="B103" s="4" t="s">
        <v>1072</v>
      </c>
      <c r="C103" s="13">
        <v>2014</v>
      </c>
      <c r="D103" s="17">
        <v>0.06</v>
      </c>
      <c r="E103" s="18">
        <v>0.03</v>
      </c>
      <c r="F103" s="18">
        <v>0.0002028</v>
      </c>
      <c r="G103" s="18">
        <v>0.0001014</v>
      </c>
    </row>
    <row r="104" ht="15.75" hidden="1" customHeight="1" spans="1:7">
      <c r="A104" s="30" t="s">
        <v>1069</v>
      </c>
      <c r="B104" s="4" t="s">
        <v>1073</v>
      </c>
      <c r="C104" s="13">
        <v>2014</v>
      </c>
      <c r="D104" s="17">
        <v>0.06</v>
      </c>
      <c r="E104" s="18">
        <v>0.03</v>
      </c>
      <c r="F104" s="18">
        <v>0.000126</v>
      </c>
      <c r="G104" s="18">
        <v>6.3e-5</v>
      </c>
    </row>
    <row r="105" ht="15.75" hidden="1" customHeight="1" spans="1:7">
      <c r="A105" s="30" t="s">
        <v>1069</v>
      </c>
      <c r="B105" s="4" t="s">
        <v>1070</v>
      </c>
      <c r="C105" s="13">
        <v>2015</v>
      </c>
      <c r="D105" s="17">
        <v>0.012</v>
      </c>
      <c r="E105" s="18">
        <v>0.02</v>
      </c>
      <c r="F105" s="18">
        <v>0.0001272</v>
      </c>
      <c r="G105" s="18">
        <v>0.000212</v>
      </c>
    </row>
    <row r="106" ht="15.75" hidden="1" customHeight="1" spans="1:7">
      <c r="A106" s="30" t="s">
        <v>1069</v>
      </c>
      <c r="B106" s="4" t="s">
        <v>1071</v>
      </c>
      <c r="C106" s="13">
        <v>2015</v>
      </c>
      <c r="D106" s="17">
        <v>0.06</v>
      </c>
      <c r="E106" s="18">
        <v>0.03</v>
      </c>
      <c r="F106" s="18">
        <v>0.000198</v>
      </c>
      <c r="G106" s="18">
        <v>9.9e-5</v>
      </c>
    </row>
    <row r="107" ht="15.75" hidden="1" customHeight="1" spans="1:7">
      <c r="A107" s="30" t="s">
        <v>1069</v>
      </c>
      <c r="B107" s="4" t="s">
        <v>1072</v>
      </c>
      <c r="C107" s="13">
        <v>2015</v>
      </c>
      <c r="D107" s="17">
        <v>0.06</v>
      </c>
      <c r="E107" s="18">
        <v>0.03</v>
      </c>
      <c r="F107" s="18">
        <v>0.000204</v>
      </c>
      <c r="G107" s="18">
        <v>0.000102</v>
      </c>
    </row>
    <row r="108" ht="15.75" hidden="1" customHeight="1" spans="1:7">
      <c r="A108" s="30" t="s">
        <v>1069</v>
      </c>
      <c r="B108" s="4" t="s">
        <v>1073</v>
      </c>
      <c r="C108" s="13">
        <v>2015</v>
      </c>
      <c r="D108" s="31">
        <v>0.06</v>
      </c>
      <c r="E108" s="18">
        <v>0.03</v>
      </c>
      <c r="F108" s="18">
        <v>0.000126</v>
      </c>
      <c r="G108" s="18">
        <v>6.3e-5</v>
      </c>
    </row>
    <row r="109" ht="15.75" hidden="1" customHeight="1" spans="1:7">
      <c r="A109" s="30" t="s">
        <v>1069</v>
      </c>
      <c r="B109" s="4" t="s">
        <v>1070</v>
      </c>
      <c r="C109" s="13">
        <v>2016</v>
      </c>
      <c r="D109" s="18">
        <v>0.012</v>
      </c>
      <c r="E109" s="18">
        <v>0.02</v>
      </c>
      <c r="F109" s="18">
        <v>0.0001296</v>
      </c>
      <c r="G109" s="18">
        <v>0.000216</v>
      </c>
    </row>
    <row r="110" ht="15.75" hidden="1" customHeight="1" spans="1:7">
      <c r="A110" s="30" t="s">
        <v>1069</v>
      </c>
      <c r="B110" s="4" t="s">
        <v>1071</v>
      </c>
      <c r="C110" s="13">
        <v>2016</v>
      </c>
      <c r="D110" s="18">
        <v>0.06</v>
      </c>
      <c r="E110" s="18">
        <v>0.03</v>
      </c>
      <c r="F110" s="18">
        <v>0.000198</v>
      </c>
      <c r="G110" s="18">
        <v>9.9e-5</v>
      </c>
    </row>
    <row r="111" ht="15.75" hidden="1" customHeight="1" spans="1:7">
      <c r="A111" s="30" t="s">
        <v>1069</v>
      </c>
      <c r="B111" s="4" t="s">
        <v>1072</v>
      </c>
      <c r="C111" s="13">
        <v>2016</v>
      </c>
      <c r="D111" s="18">
        <v>0.06</v>
      </c>
      <c r="E111" s="18">
        <v>0.03</v>
      </c>
      <c r="F111" s="18">
        <v>0.000204</v>
      </c>
      <c r="G111" s="18">
        <v>0.000102</v>
      </c>
    </row>
    <row r="112" ht="15.75" hidden="1" customHeight="1" spans="1:7">
      <c r="A112" s="30" t="s">
        <v>1069</v>
      </c>
      <c r="B112" s="4" t="s">
        <v>1073</v>
      </c>
      <c r="C112" s="13">
        <v>2016</v>
      </c>
      <c r="D112" s="18">
        <v>0.06</v>
      </c>
      <c r="E112" s="18">
        <v>0.03</v>
      </c>
      <c r="F112" s="18">
        <v>0.000126</v>
      </c>
      <c r="G112" s="18">
        <v>6.3e-5</v>
      </c>
    </row>
    <row r="113" ht="15.75" hidden="1" customHeight="1" spans="1:7">
      <c r="A113" s="30" t="s">
        <v>1069</v>
      </c>
      <c r="B113" s="4" t="s">
        <v>1070</v>
      </c>
      <c r="C113" s="13">
        <v>2017</v>
      </c>
      <c r="D113" s="18">
        <v>0.01</v>
      </c>
      <c r="E113" s="18">
        <v>0.02</v>
      </c>
      <c r="F113" s="18">
        <v>0.000108</v>
      </c>
      <c r="G113" s="18">
        <v>0.000216</v>
      </c>
    </row>
    <row r="114" ht="15.75" hidden="1" customHeight="1" spans="1:7">
      <c r="A114" s="30" t="s">
        <v>1069</v>
      </c>
      <c r="B114" s="4" t="s">
        <v>1071</v>
      </c>
      <c r="C114" s="13">
        <v>2017</v>
      </c>
      <c r="D114" s="18">
        <v>0.06</v>
      </c>
      <c r="E114" s="18">
        <v>0.03</v>
      </c>
      <c r="F114" s="18">
        <v>0.000198</v>
      </c>
      <c r="G114" s="18">
        <v>9.9e-5</v>
      </c>
    </row>
    <row r="115" ht="15.75" hidden="1" customHeight="1" spans="1:7">
      <c r="A115" s="30" t="s">
        <v>1069</v>
      </c>
      <c r="B115" s="4" t="s">
        <v>1072</v>
      </c>
      <c r="C115" s="13">
        <v>2017</v>
      </c>
      <c r="D115" s="18">
        <v>0.06</v>
      </c>
      <c r="E115" s="18">
        <v>0.03</v>
      </c>
      <c r="F115" s="18">
        <v>0.000204</v>
      </c>
      <c r="G115" s="18">
        <v>0.000102</v>
      </c>
    </row>
    <row r="116" ht="15.75" hidden="1" customHeight="1" spans="1:7">
      <c r="A116" s="30" t="s">
        <v>1069</v>
      </c>
      <c r="B116" s="4" t="s">
        <v>1073</v>
      </c>
      <c r="C116" s="13">
        <v>2017</v>
      </c>
      <c r="D116" s="18">
        <v>0.06</v>
      </c>
      <c r="E116" s="18">
        <v>0.03</v>
      </c>
      <c r="F116" s="18">
        <v>0.000126</v>
      </c>
      <c r="G116" s="18">
        <v>6.3e-5</v>
      </c>
    </row>
    <row r="117" ht="15.75" hidden="1" customHeight="1" spans="1:7">
      <c r="A117" s="30" t="s">
        <v>1069</v>
      </c>
      <c r="B117" s="4" t="s">
        <v>1070</v>
      </c>
      <c r="C117" s="13">
        <v>2018</v>
      </c>
      <c r="D117" s="18">
        <v>0.011</v>
      </c>
      <c r="E117" s="18">
        <v>0.02</v>
      </c>
      <c r="F117" s="18">
        <v>0.0001221</v>
      </c>
      <c r="G117" s="18">
        <v>0.000222</v>
      </c>
    </row>
    <row r="118" ht="15.75" hidden="1" customHeight="1" spans="1:7">
      <c r="A118" s="30" t="s">
        <v>1069</v>
      </c>
      <c r="B118" s="4" t="s">
        <v>1071</v>
      </c>
      <c r="C118" s="13">
        <v>2018</v>
      </c>
      <c r="D118" s="18">
        <v>0.06</v>
      </c>
      <c r="E118" s="18">
        <v>0.03</v>
      </c>
      <c r="F118" s="18">
        <v>0.000198</v>
      </c>
      <c r="G118" s="18">
        <v>9.9e-5</v>
      </c>
    </row>
    <row r="119" ht="15.75" hidden="1" customHeight="1" spans="1:7">
      <c r="A119" s="30" t="s">
        <v>1069</v>
      </c>
      <c r="B119" s="4" t="s">
        <v>1072</v>
      </c>
      <c r="C119" s="13">
        <v>2018</v>
      </c>
      <c r="D119" s="18">
        <v>0.06</v>
      </c>
      <c r="E119" s="18">
        <v>0.03</v>
      </c>
      <c r="F119" s="18">
        <v>0.000204</v>
      </c>
      <c r="G119" s="18">
        <v>0.000102</v>
      </c>
    </row>
    <row r="120" ht="15.75" hidden="1" customHeight="1" spans="1:7">
      <c r="A120" s="30" t="s">
        <v>1069</v>
      </c>
      <c r="B120" s="4" t="s">
        <v>1073</v>
      </c>
      <c r="C120" s="13">
        <v>2018</v>
      </c>
      <c r="D120" s="18">
        <v>0.06</v>
      </c>
      <c r="E120" s="18">
        <v>0.03</v>
      </c>
      <c r="F120" s="18">
        <v>0.000126</v>
      </c>
      <c r="G120" s="18">
        <v>6.3e-5</v>
      </c>
    </row>
    <row r="121" ht="15.75" hidden="1" customHeight="1" spans="1:7">
      <c r="A121" s="30" t="s">
        <v>1069</v>
      </c>
      <c r="B121" s="4" t="s">
        <v>1070</v>
      </c>
      <c r="C121" s="13">
        <v>2019</v>
      </c>
      <c r="D121" s="18">
        <v>0.01</v>
      </c>
      <c r="E121" s="18">
        <v>0.02</v>
      </c>
      <c r="F121" s="18">
        <v>0.000112687736518468</v>
      </c>
      <c r="G121" s="18">
        <v>0.000225375473036935</v>
      </c>
    </row>
    <row r="122" ht="15.75" hidden="1" customHeight="1" spans="1:7">
      <c r="A122" s="30" t="s">
        <v>1069</v>
      </c>
      <c r="B122" s="4" t="s">
        <v>1071</v>
      </c>
      <c r="C122" s="13">
        <v>2019</v>
      </c>
      <c r="D122" s="18">
        <v>0.06</v>
      </c>
      <c r="E122" s="18">
        <v>0.03</v>
      </c>
      <c r="F122" s="18">
        <v>0.000198</v>
      </c>
      <c r="G122" s="18">
        <v>9.9e-5</v>
      </c>
    </row>
    <row r="123" ht="15.75" hidden="1" customHeight="1" spans="1:7">
      <c r="A123" s="30" t="s">
        <v>1069</v>
      </c>
      <c r="B123" s="4" t="s">
        <v>1072</v>
      </c>
      <c r="C123" s="13">
        <v>2019</v>
      </c>
      <c r="D123" s="18">
        <v>0.06</v>
      </c>
      <c r="E123" s="18">
        <v>0.03</v>
      </c>
      <c r="F123" s="18">
        <v>0.000204</v>
      </c>
      <c r="G123" s="18">
        <v>0.000102</v>
      </c>
    </row>
    <row r="124" ht="15.75" hidden="1" customHeight="1" spans="1:7">
      <c r="A124" s="30" t="s">
        <v>1069</v>
      </c>
      <c r="B124" s="4" t="s">
        <v>1073</v>
      </c>
      <c r="C124" s="13">
        <v>2019</v>
      </c>
      <c r="D124" s="18">
        <v>0.06</v>
      </c>
      <c r="E124" s="18">
        <v>0.03</v>
      </c>
      <c r="F124" s="18">
        <v>0.000126</v>
      </c>
      <c r="G124" s="18">
        <v>6.3e-5</v>
      </c>
    </row>
    <row r="125" ht="15.75" hidden="1" customHeight="1" spans="1:7">
      <c r="A125" s="30" t="s">
        <v>1069</v>
      </c>
      <c r="B125" s="4" t="s">
        <v>1070</v>
      </c>
      <c r="C125" s="13">
        <v>2020</v>
      </c>
      <c r="D125" s="18">
        <v>0.0174110536946083</v>
      </c>
      <c r="E125" s="18">
        <v>0.02</v>
      </c>
      <c r="F125" s="18">
        <v>0.000197463801691143</v>
      </c>
      <c r="G125" s="18">
        <v>0.00022682579142501</v>
      </c>
    </row>
    <row r="126" ht="15.75" hidden="1" customHeight="1" spans="1:7">
      <c r="A126" s="30" t="s">
        <v>1069</v>
      </c>
      <c r="B126" s="4" t="s">
        <v>1071</v>
      </c>
      <c r="C126" s="13">
        <v>2020</v>
      </c>
      <c r="D126" s="18">
        <v>0.06</v>
      </c>
      <c r="E126" s="18">
        <v>0.03</v>
      </c>
      <c r="F126" s="18">
        <v>0.000198</v>
      </c>
      <c r="G126" s="18">
        <v>9.9e-5</v>
      </c>
    </row>
    <row r="127" ht="15.75" hidden="1" customHeight="1" spans="1:7">
      <c r="A127" s="30" t="s">
        <v>1069</v>
      </c>
      <c r="B127" s="4" t="s">
        <v>1072</v>
      </c>
      <c r="C127" s="13">
        <v>2020</v>
      </c>
      <c r="D127" s="18">
        <v>0.06</v>
      </c>
      <c r="E127" s="18">
        <v>0.03</v>
      </c>
      <c r="F127" s="18">
        <v>0.000204</v>
      </c>
      <c r="G127" s="18">
        <v>0.000102</v>
      </c>
    </row>
    <row r="128" ht="15.75" hidden="1" customHeight="1" spans="1:7">
      <c r="A128" s="30" t="s">
        <v>1069</v>
      </c>
      <c r="B128" s="4" t="s">
        <v>1073</v>
      </c>
      <c r="C128" s="13">
        <v>2020</v>
      </c>
      <c r="D128" s="18">
        <v>0.06</v>
      </c>
      <c r="E128" s="18">
        <v>0.03</v>
      </c>
      <c r="F128" s="18">
        <v>0.000126</v>
      </c>
      <c r="G128" s="18">
        <v>6.3e-5</v>
      </c>
    </row>
    <row r="129" ht="15.75" hidden="1" customHeight="1" spans="1:7">
      <c r="A129" s="30" t="s">
        <v>1069</v>
      </c>
      <c r="B129" s="4" t="s">
        <v>1070</v>
      </c>
      <c r="C129" s="13">
        <v>2021</v>
      </c>
      <c r="D129" s="18">
        <v>0.0150891137676478</v>
      </c>
      <c r="E129" s="18">
        <v>0.02</v>
      </c>
      <c r="F129" s="18">
        <v>0.000173113683552832</v>
      </c>
      <c r="G129" s="18">
        <v>0.000229455071011527</v>
      </c>
    </row>
    <row r="130" ht="15.75" hidden="1" customHeight="1" spans="1:7">
      <c r="A130" s="30" t="s">
        <v>1069</v>
      </c>
      <c r="B130" s="4" t="s">
        <v>1071</v>
      </c>
      <c r="C130" s="13">
        <v>2021</v>
      </c>
      <c r="D130" s="18">
        <v>0.06</v>
      </c>
      <c r="E130" s="18">
        <v>0.03</v>
      </c>
      <c r="F130" s="18">
        <v>0.000198</v>
      </c>
      <c r="G130" s="18">
        <v>9.9e-5</v>
      </c>
    </row>
    <row r="131" ht="15.75" hidden="1" customHeight="1" spans="1:7">
      <c r="A131" s="30" t="s">
        <v>1069</v>
      </c>
      <c r="B131" s="4" t="s">
        <v>1072</v>
      </c>
      <c r="C131" s="13">
        <v>2021</v>
      </c>
      <c r="D131" s="18">
        <v>0.06</v>
      </c>
      <c r="E131" s="18">
        <v>0.03</v>
      </c>
      <c r="F131" s="18">
        <v>0.000204</v>
      </c>
      <c r="G131" s="18">
        <v>0.000102</v>
      </c>
    </row>
    <row r="132" ht="15.75" hidden="1" customHeight="1" spans="1:7">
      <c r="A132" s="30" t="s">
        <v>1069</v>
      </c>
      <c r="B132" s="4" t="s">
        <v>1073</v>
      </c>
      <c r="C132" s="13">
        <v>2021</v>
      </c>
      <c r="D132" s="18">
        <v>0.06</v>
      </c>
      <c r="E132" s="18">
        <v>0.03</v>
      </c>
      <c r="F132" s="18">
        <v>0.000126</v>
      </c>
      <c r="G132" s="18">
        <v>6.3e-5</v>
      </c>
    </row>
    <row r="133" ht="15.75" hidden="1" customHeight="1" spans="1:7">
      <c r="A133" s="30" t="s">
        <v>1069</v>
      </c>
      <c r="B133" s="4" t="s">
        <v>1070</v>
      </c>
      <c r="C133" s="13">
        <v>2022</v>
      </c>
      <c r="D133" s="18">
        <v>0.00775382307641874</v>
      </c>
      <c r="E133" s="18">
        <v>0.02</v>
      </c>
      <c r="F133" s="18">
        <v>9.07997383555104e-5</v>
      </c>
      <c r="G133" s="18">
        <v>0.000234206371387695</v>
      </c>
    </row>
    <row r="134" ht="15.75" hidden="1" customHeight="1" spans="1:7">
      <c r="A134" s="30" t="s">
        <v>1069</v>
      </c>
      <c r="B134" s="4" t="s">
        <v>1071</v>
      </c>
      <c r="C134" s="13">
        <v>2022</v>
      </c>
      <c r="D134" s="18">
        <v>0.06</v>
      </c>
      <c r="E134" s="18">
        <v>0.03</v>
      </c>
      <c r="F134" s="18">
        <v>0.000198</v>
      </c>
      <c r="G134" s="18">
        <v>9.9e-5</v>
      </c>
    </row>
    <row r="135" ht="15.75" hidden="1" customHeight="1" spans="1:7">
      <c r="A135" s="30" t="s">
        <v>1069</v>
      </c>
      <c r="B135" s="4" t="s">
        <v>1072</v>
      </c>
      <c r="C135" s="13">
        <v>2022</v>
      </c>
      <c r="D135" s="18">
        <v>0.06</v>
      </c>
      <c r="E135" s="18">
        <v>0.03</v>
      </c>
      <c r="F135" s="18">
        <v>0.000204</v>
      </c>
      <c r="G135" s="18">
        <v>0.000102</v>
      </c>
    </row>
    <row r="136" ht="15.75" hidden="1" customHeight="1" spans="1:7">
      <c r="A136" s="30" t="s">
        <v>1069</v>
      </c>
      <c r="B136" s="4" t="s">
        <v>1073</v>
      </c>
      <c r="C136" s="13">
        <v>2022</v>
      </c>
      <c r="D136" s="18">
        <v>0.06</v>
      </c>
      <c r="E136" s="18">
        <v>0.03</v>
      </c>
      <c r="F136" s="18">
        <v>0.000126</v>
      </c>
      <c r="G136" s="18">
        <v>6.3e-5</v>
      </c>
    </row>
    <row r="137" ht="15.75" hidden="1" customHeight="1" spans="1:7">
      <c r="A137" s="30" t="s">
        <v>1069</v>
      </c>
      <c r="B137" s="4" t="s">
        <v>1070</v>
      </c>
      <c r="C137" s="13">
        <v>2023</v>
      </c>
      <c r="D137" s="18">
        <v>0.007</v>
      </c>
      <c r="E137" s="18">
        <v>0.02</v>
      </c>
      <c r="F137" s="18">
        <v>7.91e-5</v>
      </c>
      <c r="G137" s="18">
        <v>0.000226</v>
      </c>
    </row>
    <row r="138" ht="15.75" hidden="1" customHeight="1" spans="1:7">
      <c r="A138" s="30" t="s">
        <v>1069</v>
      </c>
      <c r="B138" s="4" t="s">
        <v>1071</v>
      </c>
      <c r="C138" s="13">
        <v>2023</v>
      </c>
      <c r="D138" s="18">
        <v>0.00393338417313148</v>
      </c>
      <c r="E138" s="18">
        <v>0.03</v>
      </c>
      <c r="F138" s="18">
        <v>1.29801677713339e-5</v>
      </c>
      <c r="G138" s="18">
        <v>9.9e-5</v>
      </c>
    </row>
    <row r="139" ht="15.75" hidden="1" customHeight="1" spans="1:7">
      <c r="A139" s="30" t="s">
        <v>1069</v>
      </c>
      <c r="B139" s="4" t="s">
        <v>1072</v>
      </c>
      <c r="C139" s="13">
        <v>2023</v>
      </c>
      <c r="D139" s="18">
        <v>0.06</v>
      </c>
      <c r="E139" s="18">
        <v>0.03</v>
      </c>
      <c r="F139" s="18">
        <v>0.000204</v>
      </c>
      <c r="G139" s="18">
        <v>0.000102</v>
      </c>
    </row>
    <row r="140" ht="15.75" hidden="1" customHeight="1" spans="1:7">
      <c r="A140" s="30" t="s">
        <v>1069</v>
      </c>
      <c r="B140" s="4" t="s">
        <v>1073</v>
      </c>
      <c r="C140" s="13">
        <v>2023</v>
      </c>
      <c r="D140" s="18">
        <v>0.0091324200913242</v>
      </c>
      <c r="E140" s="18">
        <v>0.03</v>
      </c>
      <c r="F140" s="18">
        <v>1.91780821917808e-5</v>
      </c>
      <c r="G140" s="18">
        <v>6.3e-5</v>
      </c>
    </row>
    <row r="141" ht="15.75" hidden="1" customHeight="1" spans="1:7">
      <c r="A141" s="30" t="s">
        <v>1069</v>
      </c>
      <c r="B141" s="4" t="s">
        <v>1070</v>
      </c>
      <c r="C141" s="13">
        <v>2024</v>
      </c>
      <c r="D141" s="15">
        <v>0.007</v>
      </c>
      <c r="E141" s="15">
        <v>0.02</v>
      </c>
      <c r="F141" s="15">
        <v>7.91e-5</v>
      </c>
      <c r="G141" s="15">
        <v>0.000226</v>
      </c>
    </row>
    <row r="142" ht="15.75" hidden="1" customHeight="1" spans="1:7">
      <c r="A142" s="30" t="s">
        <v>1069</v>
      </c>
      <c r="B142" s="4" t="s">
        <v>1071</v>
      </c>
      <c r="C142" s="13">
        <v>2024</v>
      </c>
      <c r="D142" s="15">
        <v>0.00393338417313148</v>
      </c>
      <c r="E142" s="15">
        <v>0.03</v>
      </c>
      <c r="F142" s="15">
        <v>1.29801677713339e-5</v>
      </c>
      <c r="G142" s="15">
        <v>9.9e-5</v>
      </c>
    </row>
    <row r="143" ht="15.75" hidden="1" customHeight="1" spans="1:7">
      <c r="A143" s="30" t="s">
        <v>1069</v>
      </c>
      <c r="B143" s="4" t="s">
        <v>1072</v>
      </c>
      <c r="C143" s="13">
        <v>2024</v>
      </c>
      <c r="D143" s="15">
        <v>0.06</v>
      </c>
      <c r="E143" s="15">
        <v>0.03</v>
      </c>
      <c r="F143" s="15">
        <v>0.000204</v>
      </c>
      <c r="G143" s="15">
        <v>0.000102</v>
      </c>
    </row>
    <row r="144" ht="15.75" hidden="1" customHeight="1" spans="1:7">
      <c r="A144" s="30" t="s">
        <v>1069</v>
      </c>
      <c r="B144" s="4" t="s">
        <v>1073</v>
      </c>
      <c r="C144" s="13">
        <v>2024</v>
      </c>
      <c r="D144" s="15">
        <v>0.0091324200913242</v>
      </c>
      <c r="E144" s="15">
        <v>0.03</v>
      </c>
      <c r="F144" s="15">
        <v>1.91780821917808e-5</v>
      </c>
      <c r="G144" s="15">
        <v>6.3e-5</v>
      </c>
    </row>
    <row r="145" ht="15.75" hidden="1" customHeight="1" spans="1:7">
      <c r="A145" s="30" t="s">
        <v>1069</v>
      </c>
      <c r="B145" s="7" t="s">
        <v>1074</v>
      </c>
      <c r="C145" s="13">
        <v>2024</v>
      </c>
      <c r="D145" s="15">
        <v>0.003928571</v>
      </c>
      <c r="E145" s="15">
        <v>0.020075472</v>
      </c>
      <c r="F145" s="15">
        <v>2.03279805672954e-5</v>
      </c>
      <c r="G145" s="15">
        <v>0.000103878434345538</v>
      </c>
    </row>
    <row r="146" ht="15.75" hidden="1" customHeight="1" spans="1:7">
      <c r="A146" s="30" t="s">
        <v>1069</v>
      </c>
      <c r="B146" s="7" t="s">
        <v>1075</v>
      </c>
      <c r="C146" s="13">
        <v>2024</v>
      </c>
      <c r="D146" s="15">
        <v>0.004642857</v>
      </c>
      <c r="E146" s="15">
        <v>0.02445283</v>
      </c>
      <c r="F146" s="15">
        <v>1.96092522750315e-5</v>
      </c>
      <c r="G146" s="15">
        <v>0.000103277295059585</v>
      </c>
    </row>
    <row r="147" ht="15.75" hidden="1" customHeight="1" spans="1:7">
      <c r="A147" s="30" t="s">
        <v>1069</v>
      </c>
      <c r="B147" s="7" t="s">
        <v>1076</v>
      </c>
      <c r="C147" s="13">
        <v>2024</v>
      </c>
      <c r="D147" s="15">
        <v>0.007857143</v>
      </c>
      <c r="E147" s="15">
        <v>0.039962264</v>
      </c>
      <c r="F147" s="15">
        <v>2.02085512077729e-5</v>
      </c>
      <c r="G147" s="15">
        <v>0.00010278283829409</v>
      </c>
    </row>
    <row r="148" ht="15.75" hidden="1" customHeight="1" spans="1:7">
      <c r="A148" s="30" t="s">
        <v>1069</v>
      </c>
      <c r="B148" s="7" t="s">
        <v>1077</v>
      </c>
      <c r="C148" s="13">
        <v>2024</v>
      </c>
      <c r="D148" s="15">
        <v>0.006785714</v>
      </c>
      <c r="E148" s="15">
        <v>0.033509434</v>
      </c>
      <c r="F148" s="15">
        <v>2.06287117631417e-5</v>
      </c>
      <c r="G148" s="15">
        <v>0.000101869376653955</v>
      </c>
    </row>
    <row r="149" ht="15.75" hidden="1" customHeight="1" spans="1:7">
      <c r="A149" s="30" t="s">
        <v>1069</v>
      </c>
      <c r="B149" s="7" t="s">
        <v>1078</v>
      </c>
      <c r="C149" s="13">
        <v>2024</v>
      </c>
      <c r="D149" s="15">
        <v>0.004285714</v>
      </c>
      <c r="E149" s="15">
        <v>0.045622642</v>
      </c>
      <c r="F149" s="15">
        <v>1.40511720493463e-5</v>
      </c>
      <c r="G149" s="15">
        <v>0.000149578714792385</v>
      </c>
    </row>
    <row r="150" ht="15.75" hidden="1" customHeight="1" spans="1:7">
      <c r="A150" s="30" t="s">
        <v>1069</v>
      </c>
      <c r="B150" s="7" t="s">
        <v>1079</v>
      </c>
      <c r="C150" s="13">
        <v>2024</v>
      </c>
      <c r="D150" s="15">
        <v>0.005357143</v>
      </c>
      <c r="E150" s="15">
        <v>0.054264151</v>
      </c>
      <c r="F150" s="15">
        <v>1.47526771937379e-5</v>
      </c>
      <c r="G150" s="15">
        <v>0.000149434409888862</v>
      </c>
    </row>
    <row r="151" ht="15.75" hidden="1" customHeight="1" spans="1:7">
      <c r="A151" s="30" t="s">
        <v>1069</v>
      </c>
      <c r="B151" s="7" t="s">
        <v>1080</v>
      </c>
      <c r="C151" s="13">
        <v>2024</v>
      </c>
      <c r="D151" s="15">
        <v>0.005357143</v>
      </c>
      <c r="E151" s="15">
        <v>0.053886792</v>
      </c>
      <c r="F151" s="15">
        <v>1.48611467735728e-5</v>
      </c>
      <c r="G151" s="15">
        <v>0.00014948630735991</v>
      </c>
    </row>
    <row r="152" ht="15.75" hidden="1" customHeight="1" spans="1:7">
      <c r="A152" s="30" t="s">
        <v>1069</v>
      </c>
      <c r="B152" s="7" t="s">
        <v>1081</v>
      </c>
      <c r="C152" s="13">
        <v>2024</v>
      </c>
      <c r="D152" s="15">
        <v>0.005714286</v>
      </c>
      <c r="E152" s="15">
        <v>0.04509434</v>
      </c>
      <c r="F152" s="15">
        <v>1.64484062476402e-5</v>
      </c>
      <c r="G152" s="15">
        <v>0.000129802747672975</v>
      </c>
    </row>
    <row r="153" ht="15.75" hidden="1" customHeight="1" spans="1:7">
      <c r="A153" s="30" t="s">
        <v>1069</v>
      </c>
      <c r="B153" s="7" t="s">
        <v>1082</v>
      </c>
      <c r="C153" s="13">
        <v>2024</v>
      </c>
      <c r="D153" s="15">
        <v>0.003929</v>
      </c>
      <c r="E153" s="15">
        <v>0.020075472</v>
      </c>
      <c r="F153" s="15">
        <v>1.70123066358796e-5</v>
      </c>
      <c r="G153" s="15">
        <v>8.69254480845036e-5</v>
      </c>
    </row>
    <row r="154" ht="15.75" hidden="1" customHeight="1" spans="1:7">
      <c r="A154" s="30" t="s">
        <v>1069</v>
      </c>
      <c r="B154" s="7" t="s">
        <v>1083</v>
      </c>
      <c r="C154" s="13">
        <v>2024</v>
      </c>
      <c r="D154" s="15">
        <v>0.004643</v>
      </c>
      <c r="E154" s="15">
        <v>0.02445283</v>
      </c>
      <c r="F154" s="15">
        <v>1.64670204234298e-5</v>
      </c>
      <c r="G154" s="15">
        <v>8.67252317511644e-5</v>
      </c>
    </row>
    <row r="155" ht="15.75" hidden="1" customHeight="1" spans="1:7">
      <c r="A155" s="30" t="s">
        <v>1069</v>
      </c>
      <c r="B155" s="7" t="s">
        <v>1084</v>
      </c>
      <c r="C155" s="13">
        <v>2024</v>
      </c>
      <c r="D155" s="15">
        <v>0.007857</v>
      </c>
      <c r="E155" s="15">
        <v>0.039962264</v>
      </c>
      <c r="F155" s="15">
        <v>1.69694965189438e-5</v>
      </c>
      <c r="G155" s="15">
        <v>8.63102328925944e-5</v>
      </c>
    </row>
    <row r="156" ht="15.75" hidden="1" customHeight="1" spans="1:7">
      <c r="A156" s="30" t="s">
        <v>1069</v>
      </c>
      <c r="B156" s="7" t="s">
        <v>1085</v>
      </c>
      <c r="C156" s="13">
        <v>2024</v>
      </c>
      <c r="D156" s="15">
        <v>0.006786</v>
      </c>
      <c r="E156" s="15">
        <v>0.033509434</v>
      </c>
      <c r="F156" s="15">
        <v>1.73228962665718e-5</v>
      </c>
      <c r="G156" s="15">
        <v>8.5540885519236e-5</v>
      </c>
    </row>
    <row r="157" ht="15.75" hidden="1" customHeight="1" spans="1:7">
      <c r="A157" s="30" t="s">
        <v>1069</v>
      </c>
      <c r="B157" s="7" t="s">
        <v>1086</v>
      </c>
      <c r="C157" s="13">
        <v>2024</v>
      </c>
      <c r="D157" s="15">
        <v>0.004286</v>
      </c>
      <c r="E157" s="15">
        <v>0.045622642</v>
      </c>
      <c r="F157" s="15">
        <v>1.21437633222831e-5</v>
      </c>
      <c r="G157" s="15">
        <v>0.000129265181191146</v>
      </c>
    </row>
    <row r="158" ht="15.75" hidden="1" customHeight="1" spans="1:7">
      <c r="A158" s="30" t="s">
        <v>1069</v>
      </c>
      <c r="B158" s="7" t="s">
        <v>1087</v>
      </c>
      <c r="C158" s="13">
        <v>2024</v>
      </c>
      <c r="D158" s="15">
        <v>0.005357</v>
      </c>
      <c r="E158" s="15">
        <v>0.054264151</v>
      </c>
      <c r="F158" s="15">
        <v>1.27487437184502e-5</v>
      </c>
      <c r="G158" s="15">
        <v>0.000129139397834288</v>
      </c>
    </row>
    <row r="159" ht="15.75" hidden="1" customHeight="1" spans="1:7">
      <c r="A159" s="30" t="s">
        <v>1069</v>
      </c>
      <c r="B159" s="7" t="s">
        <v>1088</v>
      </c>
      <c r="C159" s="13">
        <v>2024</v>
      </c>
      <c r="D159" s="15">
        <v>0.005357</v>
      </c>
      <c r="E159" s="15">
        <v>0.053886792</v>
      </c>
      <c r="F159" s="15">
        <v>1.2842397731284e-5</v>
      </c>
      <c r="G159" s="15">
        <v>0.000129183426419073</v>
      </c>
    </row>
    <row r="160" ht="15.75" hidden="1" customHeight="1" spans="1:7">
      <c r="A160" s="30" t="s">
        <v>1069</v>
      </c>
      <c r="B160" s="7" t="s">
        <v>1089</v>
      </c>
      <c r="C160" s="13">
        <v>2024</v>
      </c>
      <c r="D160" s="15">
        <v>0.005714</v>
      </c>
      <c r="E160" s="15">
        <v>0.04509434</v>
      </c>
      <c r="F160" s="15">
        <v>1.40451559846617e-5</v>
      </c>
      <c r="G160" s="15">
        <v>0.000110843024033142</v>
      </c>
    </row>
    <row r="161" ht="15.75" hidden="1" customHeight="1" spans="1:7">
      <c r="A161" s="32" t="s">
        <v>1058</v>
      </c>
      <c r="B161" s="4" t="s">
        <v>1061</v>
      </c>
      <c r="C161" s="13">
        <v>2006</v>
      </c>
      <c r="D161" s="33">
        <v>0.039</v>
      </c>
      <c r="E161" s="34">
        <v>0.017</v>
      </c>
      <c r="F161" s="34">
        <v>0.0003042</v>
      </c>
      <c r="G161" s="34">
        <v>0.0001326</v>
      </c>
    </row>
    <row r="162" ht="15.75" hidden="1" customHeight="1" spans="1:7">
      <c r="A162" s="32" t="s">
        <v>1058</v>
      </c>
      <c r="B162" s="4" t="s">
        <v>1061</v>
      </c>
      <c r="C162" s="13">
        <v>2012</v>
      </c>
      <c r="D162" s="33">
        <v>0.027</v>
      </c>
      <c r="E162" s="34">
        <v>0.017</v>
      </c>
      <c r="F162" s="34">
        <v>0.0002295</v>
      </c>
      <c r="G162" s="34">
        <v>0.0001445</v>
      </c>
    </row>
    <row r="163" ht="15.75" hidden="1" customHeight="1" spans="1:7">
      <c r="A163" s="32" t="s">
        <v>1058</v>
      </c>
      <c r="B163" s="4" t="s">
        <v>1059</v>
      </c>
      <c r="C163" s="13">
        <v>2013</v>
      </c>
      <c r="D163" s="17" t="s">
        <v>1060</v>
      </c>
      <c r="E163" s="18" t="s">
        <v>1060</v>
      </c>
      <c r="F163" s="18" t="s">
        <v>1060</v>
      </c>
      <c r="G163" s="18" t="s">
        <v>1060</v>
      </c>
    </row>
    <row r="164" ht="15.75" hidden="1" customHeight="1" spans="1:7">
      <c r="A164" s="32" t="s">
        <v>1058</v>
      </c>
      <c r="B164" s="4" t="s">
        <v>1061</v>
      </c>
      <c r="C164" s="13">
        <v>2013</v>
      </c>
      <c r="D164" s="17">
        <v>0.026</v>
      </c>
      <c r="E164" s="18">
        <v>0.017</v>
      </c>
      <c r="F164" s="18">
        <v>0.0002236</v>
      </c>
      <c r="G164" s="18">
        <v>0.0001462</v>
      </c>
    </row>
    <row r="165" ht="15.75" hidden="1" customHeight="1" spans="1:7">
      <c r="A165" s="32" t="s">
        <v>1058</v>
      </c>
      <c r="B165" s="4" t="s">
        <v>1062</v>
      </c>
      <c r="C165" s="13">
        <v>2013</v>
      </c>
      <c r="D165" s="17">
        <v>0.037848</v>
      </c>
      <c r="E165" s="18">
        <v>0.002</v>
      </c>
      <c r="F165" s="18">
        <v>0.0011127312</v>
      </c>
      <c r="G165" s="18">
        <v>5.88e-5</v>
      </c>
    </row>
    <row r="166" ht="15.75" hidden="1" customHeight="1" spans="1:7">
      <c r="A166" s="32" t="s">
        <v>1058</v>
      </c>
      <c r="B166" s="4" t="s">
        <v>1063</v>
      </c>
      <c r="C166" s="13">
        <v>2013</v>
      </c>
      <c r="D166" s="17" t="s">
        <v>1060</v>
      </c>
      <c r="E166" s="18" t="s">
        <v>1060</v>
      </c>
      <c r="F166" s="18" t="s">
        <v>1060</v>
      </c>
      <c r="G166" s="18" t="s">
        <v>1060</v>
      </c>
    </row>
    <row r="167" ht="15.75" hidden="1" customHeight="1" spans="1:7">
      <c r="A167" s="32" t="s">
        <v>1058</v>
      </c>
      <c r="B167" s="4" t="s">
        <v>1064</v>
      </c>
      <c r="C167" s="13">
        <v>2013</v>
      </c>
      <c r="D167" s="17">
        <v>0.034</v>
      </c>
      <c r="E167" s="18">
        <v>0.017</v>
      </c>
      <c r="F167" s="18">
        <v>0.0002142</v>
      </c>
      <c r="G167" s="18">
        <v>0.0001071</v>
      </c>
    </row>
    <row r="168" ht="15.75" hidden="1" customHeight="1" spans="1:7">
      <c r="A168" s="32" t="s">
        <v>1058</v>
      </c>
      <c r="B168" s="4" t="s">
        <v>1059</v>
      </c>
      <c r="C168" s="13">
        <v>2014</v>
      </c>
      <c r="D168" s="18" t="s">
        <v>1060</v>
      </c>
      <c r="E168" s="18" t="s">
        <v>1060</v>
      </c>
      <c r="F168" s="18" t="s">
        <v>1060</v>
      </c>
      <c r="G168" s="18" t="s">
        <v>1060</v>
      </c>
    </row>
    <row r="169" ht="15.75" hidden="1" customHeight="1" spans="1:7">
      <c r="A169" s="32" t="s">
        <v>1058</v>
      </c>
      <c r="B169" s="4" t="s">
        <v>1061</v>
      </c>
      <c r="C169" s="13">
        <v>2014</v>
      </c>
      <c r="D169" s="18">
        <v>0.02</v>
      </c>
      <c r="E169" s="18">
        <v>0.017</v>
      </c>
      <c r="F169" s="18">
        <v>0.000176</v>
      </c>
      <c r="G169" s="18">
        <v>0.0001496</v>
      </c>
    </row>
    <row r="170" ht="15.75" hidden="1" customHeight="1" spans="1:7">
      <c r="A170" s="32" t="s">
        <v>1058</v>
      </c>
      <c r="B170" s="4" t="s">
        <v>1062</v>
      </c>
      <c r="C170" s="13">
        <v>2014</v>
      </c>
      <c r="D170" s="18">
        <v>0.037848</v>
      </c>
      <c r="E170" s="18">
        <v>0.002</v>
      </c>
      <c r="F170" s="18">
        <v>0.0011127312</v>
      </c>
      <c r="G170" s="18">
        <v>5.88e-5</v>
      </c>
    </row>
    <row r="171" ht="15.75" hidden="1" customHeight="1" spans="1:7">
      <c r="A171" s="32" t="s">
        <v>1058</v>
      </c>
      <c r="B171" s="4" t="s">
        <v>1063</v>
      </c>
      <c r="C171" s="13">
        <v>2014</v>
      </c>
      <c r="D171" s="18" t="s">
        <v>1060</v>
      </c>
      <c r="E171" s="18" t="s">
        <v>1060</v>
      </c>
      <c r="F171" s="18" t="s">
        <v>1060</v>
      </c>
      <c r="G171" s="18" t="s">
        <v>1060</v>
      </c>
    </row>
    <row r="172" ht="15.75" hidden="1" customHeight="1" spans="1:7">
      <c r="A172" s="32" t="s">
        <v>1058</v>
      </c>
      <c r="B172" s="4" t="s">
        <v>1064</v>
      </c>
      <c r="C172" s="13">
        <v>2014</v>
      </c>
      <c r="D172" s="18">
        <v>0.022</v>
      </c>
      <c r="E172" s="18">
        <v>0.017</v>
      </c>
      <c r="F172" s="18">
        <v>0.0001386</v>
      </c>
      <c r="G172" s="18">
        <v>0.0001071</v>
      </c>
    </row>
    <row r="173" ht="15.75" hidden="1" customHeight="1" spans="1:7">
      <c r="A173" s="32" t="s">
        <v>1058</v>
      </c>
      <c r="B173" s="4" t="s">
        <v>1059</v>
      </c>
      <c r="C173" s="13">
        <v>2015</v>
      </c>
      <c r="D173" s="18" t="s">
        <v>1060</v>
      </c>
      <c r="E173" s="18" t="s">
        <v>1060</v>
      </c>
      <c r="F173" s="18" t="s">
        <v>1060</v>
      </c>
      <c r="G173" s="18" t="s">
        <v>1060</v>
      </c>
    </row>
    <row r="174" ht="15.75" hidden="1" customHeight="1" spans="1:7">
      <c r="A174" s="32" t="s">
        <v>1058</v>
      </c>
      <c r="B174" s="4" t="s">
        <v>1061</v>
      </c>
      <c r="C174" s="13">
        <v>2015</v>
      </c>
      <c r="D174" s="18">
        <v>0.015</v>
      </c>
      <c r="E174" s="18">
        <v>0.017</v>
      </c>
      <c r="F174" s="18">
        <v>0.000138</v>
      </c>
      <c r="G174" s="18">
        <v>0.0001564</v>
      </c>
    </row>
    <row r="175" ht="15.75" hidden="1" customHeight="1" spans="1:7">
      <c r="A175" s="32" t="s">
        <v>1058</v>
      </c>
      <c r="B175" s="4" t="s">
        <v>1062</v>
      </c>
      <c r="C175" s="13">
        <v>2015</v>
      </c>
      <c r="D175" s="18">
        <v>0.033864</v>
      </c>
      <c r="E175" s="18">
        <v>0.002</v>
      </c>
      <c r="F175" s="18">
        <v>0.00110058</v>
      </c>
      <c r="G175" s="18">
        <v>6.5e-5</v>
      </c>
    </row>
    <row r="176" ht="15.75" hidden="1" customHeight="1" spans="1:7">
      <c r="A176" s="32" t="s">
        <v>1058</v>
      </c>
      <c r="B176" s="4" t="s">
        <v>1063</v>
      </c>
      <c r="C176" s="13">
        <v>2105</v>
      </c>
      <c r="D176" s="18" t="s">
        <v>1060</v>
      </c>
      <c r="E176" s="18" t="s">
        <v>1060</v>
      </c>
      <c r="F176" s="18" t="s">
        <v>1060</v>
      </c>
      <c r="G176" s="18" t="s">
        <v>1060</v>
      </c>
    </row>
    <row r="177" ht="15.75" hidden="1" customHeight="1" spans="1:7">
      <c r="A177" s="32" t="s">
        <v>1058</v>
      </c>
      <c r="B177" s="4" t="s">
        <v>1064</v>
      </c>
      <c r="C177" s="13">
        <v>2015</v>
      </c>
      <c r="D177" s="18">
        <v>0.018</v>
      </c>
      <c r="E177" s="18">
        <v>0.017</v>
      </c>
      <c r="F177" s="18">
        <v>0.0001224</v>
      </c>
      <c r="G177" s="18">
        <v>0.0001156</v>
      </c>
    </row>
    <row r="178" ht="15.75" hidden="1" customHeight="1" spans="1:7">
      <c r="A178" s="32" t="s">
        <v>1058</v>
      </c>
      <c r="B178" s="4" t="s">
        <v>1059</v>
      </c>
      <c r="C178" s="13">
        <v>2016</v>
      </c>
      <c r="D178" s="18" t="s">
        <v>1060</v>
      </c>
      <c r="E178" s="18" t="s">
        <v>1060</v>
      </c>
      <c r="F178" s="18" t="s">
        <v>1060</v>
      </c>
      <c r="G178" s="18" t="s">
        <v>1060</v>
      </c>
    </row>
    <row r="179" ht="15.75" hidden="1" customHeight="1" spans="1:7">
      <c r="A179" s="32" t="s">
        <v>1058</v>
      </c>
      <c r="B179" s="4" t="s">
        <v>1061</v>
      </c>
      <c r="C179" s="13">
        <v>2016</v>
      </c>
      <c r="D179" s="18">
        <v>0.028</v>
      </c>
      <c r="E179" s="18">
        <v>0.017</v>
      </c>
      <c r="F179" s="18">
        <v>0.0002688</v>
      </c>
      <c r="G179" s="18">
        <v>0.0001632</v>
      </c>
    </row>
    <row r="180" ht="15.75" hidden="1" customHeight="1" spans="1:7">
      <c r="A180" s="32" t="s">
        <v>1058</v>
      </c>
      <c r="B180" s="4" t="s">
        <v>1062</v>
      </c>
      <c r="C180" s="13">
        <v>2016</v>
      </c>
      <c r="D180" s="18">
        <v>0.03984</v>
      </c>
      <c r="E180" s="18">
        <v>0.002</v>
      </c>
      <c r="F180" s="18">
        <v>0.001243008</v>
      </c>
      <c r="G180" s="18">
        <v>6.24e-5</v>
      </c>
    </row>
    <row r="181" ht="15.75" hidden="1" customHeight="1" spans="1:7">
      <c r="A181" s="32" t="s">
        <v>1058</v>
      </c>
      <c r="B181" s="4" t="s">
        <v>1063</v>
      </c>
      <c r="C181" s="13">
        <v>2016</v>
      </c>
      <c r="D181" s="18" t="s">
        <v>1060</v>
      </c>
      <c r="E181" s="18" t="s">
        <v>1060</v>
      </c>
      <c r="F181" s="18" t="s">
        <v>1060</v>
      </c>
      <c r="G181" s="18" t="s">
        <v>1060</v>
      </c>
    </row>
    <row r="182" ht="15.75" hidden="1" customHeight="1" spans="1:7">
      <c r="A182" s="32" t="s">
        <v>1058</v>
      </c>
      <c r="B182" s="4" t="s">
        <v>1064</v>
      </c>
      <c r="C182" s="13">
        <v>2016</v>
      </c>
      <c r="D182" s="18">
        <v>0.016</v>
      </c>
      <c r="E182" s="18">
        <v>0.017</v>
      </c>
      <c r="F182" s="18">
        <v>0.0001072</v>
      </c>
      <c r="G182" s="18">
        <v>0.0001139</v>
      </c>
    </row>
    <row r="183" ht="15.75" hidden="1" customHeight="1" spans="1:7">
      <c r="A183" s="32" t="s">
        <v>1058</v>
      </c>
      <c r="B183" s="4" t="s">
        <v>1059</v>
      </c>
      <c r="C183" s="13">
        <v>2017</v>
      </c>
      <c r="D183" s="18" t="s">
        <v>1060</v>
      </c>
      <c r="E183" s="18" t="s">
        <v>1060</v>
      </c>
      <c r="F183" s="18" t="s">
        <v>1060</v>
      </c>
      <c r="G183" s="18" t="s">
        <v>1060</v>
      </c>
    </row>
    <row r="184" ht="15.75" hidden="1" customHeight="1" spans="1:7">
      <c r="A184" s="32" t="s">
        <v>1058</v>
      </c>
      <c r="B184" s="4" t="s">
        <v>1061</v>
      </c>
      <c r="C184" s="13">
        <v>2017</v>
      </c>
      <c r="D184" s="18">
        <v>0.023</v>
      </c>
      <c r="E184" s="18">
        <v>0.017</v>
      </c>
      <c r="F184" s="18">
        <v>0.0002254</v>
      </c>
      <c r="G184" s="18">
        <v>0.0001666</v>
      </c>
    </row>
    <row r="185" ht="15.75" hidden="1" customHeight="1" spans="1:7">
      <c r="A185" s="32" t="s">
        <v>1058</v>
      </c>
      <c r="B185" s="4" t="s">
        <v>1062</v>
      </c>
      <c r="C185" s="13">
        <v>2017</v>
      </c>
      <c r="D185" s="18">
        <v>0.037599</v>
      </c>
      <c r="E185" s="18">
        <v>0.002</v>
      </c>
      <c r="F185" s="18">
        <v>0.0013460442</v>
      </c>
      <c r="G185" s="18">
        <v>7.16e-5</v>
      </c>
    </row>
    <row r="186" ht="15.75" hidden="1" customHeight="1" spans="1:7">
      <c r="A186" s="32" t="s">
        <v>1058</v>
      </c>
      <c r="B186" s="4" t="s">
        <v>1063</v>
      </c>
      <c r="C186" s="13">
        <v>2017</v>
      </c>
      <c r="D186" s="18" t="s">
        <v>1060</v>
      </c>
      <c r="E186" s="18" t="s">
        <v>1060</v>
      </c>
      <c r="F186" s="18" t="s">
        <v>1060</v>
      </c>
      <c r="G186" s="18" t="s">
        <v>1060</v>
      </c>
    </row>
    <row r="187" ht="15.75" hidden="1" customHeight="1" spans="1:7">
      <c r="A187" s="32" t="s">
        <v>1058</v>
      </c>
      <c r="B187" s="4" t="s">
        <v>1064</v>
      </c>
      <c r="C187" s="13">
        <v>2017</v>
      </c>
      <c r="D187" s="18">
        <v>0.015</v>
      </c>
      <c r="E187" s="18">
        <v>0.017</v>
      </c>
      <c r="F187" s="18">
        <v>0.000111</v>
      </c>
      <c r="G187" s="18">
        <v>0.0001258</v>
      </c>
    </row>
    <row r="188" ht="15.75" hidden="1" customHeight="1" spans="1:7">
      <c r="A188" s="32" t="s">
        <v>1058</v>
      </c>
      <c r="B188" s="4" t="s">
        <v>1059</v>
      </c>
      <c r="C188" s="13">
        <v>2018</v>
      </c>
      <c r="D188" s="18" t="s">
        <v>1060</v>
      </c>
      <c r="E188" s="18" t="s">
        <v>1060</v>
      </c>
      <c r="F188" s="18" t="s">
        <v>1060</v>
      </c>
      <c r="G188" s="18" t="s">
        <v>1060</v>
      </c>
    </row>
    <row r="189" ht="15.75" hidden="1" customHeight="1" spans="1:7">
      <c r="A189" s="32" t="s">
        <v>1058</v>
      </c>
      <c r="B189" s="4" t="s">
        <v>1061</v>
      </c>
      <c r="C189" s="13">
        <v>2018</v>
      </c>
      <c r="D189" s="18">
        <v>0.023</v>
      </c>
      <c r="E189" s="18">
        <v>0.017</v>
      </c>
      <c r="F189" s="18">
        <v>0.0002254</v>
      </c>
      <c r="G189" s="18">
        <v>0.0001666</v>
      </c>
    </row>
    <row r="190" ht="15.75" hidden="1" customHeight="1" spans="1:7">
      <c r="A190" s="32" t="s">
        <v>1058</v>
      </c>
      <c r="B190" s="4" t="s">
        <v>1062</v>
      </c>
      <c r="C190" s="13">
        <v>2018</v>
      </c>
      <c r="D190" s="18">
        <v>0.034611</v>
      </c>
      <c r="E190" s="18">
        <v>0.002</v>
      </c>
      <c r="F190" s="18">
        <v>0.0012321516</v>
      </c>
      <c r="G190" s="18">
        <v>7.12e-5</v>
      </c>
    </row>
    <row r="191" ht="15.75" hidden="1" customHeight="1" spans="1:7">
      <c r="A191" s="32" t="s">
        <v>1058</v>
      </c>
      <c r="B191" s="4" t="s">
        <v>1063</v>
      </c>
      <c r="C191" s="13">
        <v>2018</v>
      </c>
      <c r="D191" s="18" t="s">
        <v>1060</v>
      </c>
      <c r="E191" s="18" t="s">
        <v>1060</v>
      </c>
      <c r="F191" s="18" t="s">
        <v>1060</v>
      </c>
      <c r="G191" s="18" t="s">
        <v>1060</v>
      </c>
    </row>
    <row r="192" ht="15.75" hidden="1" customHeight="1" spans="1:7">
      <c r="A192" s="32" t="s">
        <v>1058</v>
      </c>
      <c r="B192" s="4" t="s">
        <v>1064</v>
      </c>
      <c r="C192" s="13">
        <v>2018</v>
      </c>
      <c r="D192" s="18">
        <v>0.019</v>
      </c>
      <c r="E192" s="18">
        <v>0.017</v>
      </c>
      <c r="F192" s="18">
        <v>0.0001482</v>
      </c>
      <c r="G192" s="18">
        <v>0.0001326</v>
      </c>
    </row>
    <row r="193" ht="15.75" hidden="1" customHeight="1" spans="1:7">
      <c r="A193" s="32" t="s">
        <v>1058</v>
      </c>
      <c r="B193" s="4" t="s">
        <v>1059</v>
      </c>
      <c r="C193" s="13">
        <v>2019</v>
      </c>
      <c r="D193" s="18" t="s">
        <v>1060</v>
      </c>
      <c r="E193" s="18" t="s">
        <v>1060</v>
      </c>
      <c r="F193" s="18" t="s">
        <v>1060</v>
      </c>
      <c r="G193" s="18" t="s">
        <v>1060</v>
      </c>
    </row>
    <row r="194" ht="15.75" hidden="1" customHeight="1" spans="1:7">
      <c r="A194" s="32" t="s">
        <v>1058</v>
      </c>
      <c r="B194" s="4" t="s">
        <v>1061</v>
      </c>
      <c r="C194" s="13">
        <v>2019</v>
      </c>
      <c r="D194" s="18">
        <v>0.0232138521975074</v>
      </c>
      <c r="E194" s="18">
        <v>0.017</v>
      </c>
      <c r="F194" s="18">
        <v>0.000231256011498536</v>
      </c>
      <c r="G194" s="18">
        <v>0.000169353718720465</v>
      </c>
    </row>
    <row r="195" ht="15.75" hidden="1" customHeight="1" spans="1:7">
      <c r="A195" s="32" t="s">
        <v>1058</v>
      </c>
      <c r="B195" s="4" t="s">
        <v>1062</v>
      </c>
      <c r="C195" s="13">
        <v>2019</v>
      </c>
      <c r="D195" s="18">
        <v>0.034833879981101</v>
      </c>
      <c r="E195" s="18">
        <v>0.002</v>
      </c>
      <c r="F195" s="18">
        <v>0.00126747373405428</v>
      </c>
      <c r="G195" s="18">
        <v>7.27724694890113e-5</v>
      </c>
    </row>
    <row r="196" ht="15.75" hidden="1" customHeight="1" spans="1:7">
      <c r="A196" s="32" t="s">
        <v>1058</v>
      </c>
      <c r="B196" s="4" t="s">
        <v>1063</v>
      </c>
      <c r="C196" s="13">
        <v>2019</v>
      </c>
      <c r="D196" s="18" t="s">
        <v>1060</v>
      </c>
      <c r="E196" s="18" t="s">
        <v>1060</v>
      </c>
      <c r="F196" s="18" t="s">
        <v>1060</v>
      </c>
      <c r="G196" s="18" t="s">
        <v>1060</v>
      </c>
    </row>
    <row r="197" ht="15.75" hidden="1" customHeight="1" spans="1:7">
      <c r="A197" s="32" t="s">
        <v>1058</v>
      </c>
      <c r="B197" s="4" t="s">
        <v>1064</v>
      </c>
      <c r="C197" s="13">
        <v>2019</v>
      </c>
      <c r="D197" s="18">
        <v>0.015</v>
      </c>
      <c r="E197" s="18">
        <v>0.017</v>
      </c>
      <c r="F197" s="18">
        <v>0.000113262061402421</v>
      </c>
      <c r="G197" s="18">
        <v>0.000128363669589411</v>
      </c>
    </row>
    <row r="198" ht="15.75" hidden="1" customHeight="1" spans="1:7">
      <c r="A198" s="32" t="s">
        <v>1058</v>
      </c>
      <c r="B198" s="4" t="s">
        <v>1059</v>
      </c>
      <c r="C198" s="13">
        <v>2020</v>
      </c>
      <c r="D198" s="18" t="s">
        <v>1060</v>
      </c>
      <c r="E198" s="18" t="s">
        <v>1060</v>
      </c>
      <c r="F198" s="18" t="s">
        <v>1060</v>
      </c>
      <c r="G198" s="18" t="s">
        <v>1060</v>
      </c>
    </row>
    <row r="199" ht="15.75" hidden="1" customHeight="1" spans="1:7">
      <c r="A199" s="32" t="s">
        <v>1058</v>
      </c>
      <c r="B199" s="4" t="s">
        <v>1061</v>
      </c>
      <c r="C199" s="13">
        <v>2020</v>
      </c>
      <c r="D199" s="18">
        <v>0.0220849329306022</v>
      </c>
      <c r="E199" s="18">
        <v>0.017</v>
      </c>
      <c r="F199" s="18">
        <v>0.000225002264007209</v>
      </c>
      <c r="G199" s="18">
        <v>0.000173196744592435</v>
      </c>
    </row>
    <row r="200" ht="15.75" hidden="1" customHeight="1" spans="1:7">
      <c r="A200" s="32" t="s">
        <v>1058</v>
      </c>
      <c r="B200" s="4" t="s">
        <v>1062</v>
      </c>
      <c r="C200" s="13">
        <v>2020</v>
      </c>
      <c r="D200" s="18">
        <v>0.0351258377578972</v>
      </c>
      <c r="E200" s="18">
        <v>0.002</v>
      </c>
      <c r="F200" s="18">
        <v>0.00124333571090788</v>
      </c>
      <c r="G200" s="18">
        <v>7.07932274513994e-5</v>
      </c>
    </row>
    <row r="201" ht="15.75" hidden="1" customHeight="1" spans="1:7">
      <c r="A201" s="32" t="s">
        <v>1058</v>
      </c>
      <c r="B201" s="4" t="s">
        <v>1063</v>
      </c>
      <c r="C201" s="13">
        <v>2020</v>
      </c>
      <c r="D201" s="18" t="s">
        <v>1060</v>
      </c>
      <c r="E201" s="18" t="s">
        <v>1060</v>
      </c>
      <c r="F201" s="18" t="s">
        <v>1060</v>
      </c>
      <c r="G201" s="18" t="s">
        <v>1060</v>
      </c>
    </row>
    <row r="202" ht="15.75" hidden="1" customHeight="1" spans="1:7">
      <c r="A202" s="32" t="s">
        <v>1058</v>
      </c>
      <c r="B202" s="4" t="s">
        <v>1064</v>
      </c>
      <c r="C202" s="13">
        <v>2020</v>
      </c>
      <c r="D202" s="18">
        <v>0.0217377493552661</v>
      </c>
      <c r="E202" s="18">
        <v>0.017</v>
      </c>
      <c r="F202" s="18">
        <v>0.00017358499456331</v>
      </c>
      <c r="G202" s="18">
        <v>0.000135752090032329</v>
      </c>
    </row>
    <row r="203" ht="15.75" hidden="1" customHeight="1" spans="1:7">
      <c r="A203" s="32" t="s">
        <v>1058</v>
      </c>
      <c r="B203" s="4" t="s">
        <v>1059</v>
      </c>
      <c r="C203" s="13">
        <v>2021</v>
      </c>
      <c r="D203" s="18" t="s">
        <v>1060</v>
      </c>
      <c r="E203" s="18" t="s">
        <v>1060</v>
      </c>
      <c r="F203" s="18" t="s">
        <v>1060</v>
      </c>
      <c r="G203" s="18" t="s">
        <v>1060</v>
      </c>
    </row>
    <row r="204" ht="15.75" hidden="1" customHeight="1" spans="1:7">
      <c r="A204" s="32" t="s">
        <v>1058</v>
      </c>
      <c r="B204" s="4" t="s">
        <v>1061</v>
      </c>
      <c r="C204" s="13">
        <v>2021</v>
      </c>
      <c r="D204" s="18">
        <v>0.0224103477694637</v>
      </c>
      <c r="E204" s="18">
        <v>0.017</v>
      </c>
      <c r="F204" s="18">
        <v>0.000232606436229335</v>
      </c>
      <c r="G204" s="18">
        <v>0.000176450158497176</v>
      </c>
    </row>
    <row r="205" ht="15.75" hidden="1" customHeight="1" spans="1:7">
      <c r="A205" s="32" t="s">
        <v>1058</v>
      </c>
      <c r="B205" s="4" t="s">
        <v>1062</v>
      </c>
      <c r="C205" s="13">
        <v>2021</v>
      </c>
      <c r="D205" s="18">
        <v>0.0336307276371727</v>
      </c>
      <c r="E205" s="18">
        <v>0.002</v>
      </c>
      <c r="F205" s="18">
        <v>0.00121019880651744</v>
      </c>
      <c r="G205" s="18">
        <v>7.19698259028912e-5</v>
      </c>
    </row>
    <row r="206" ht="15.75" hidden="1" customHeight="1" spans="1:7">
      <c r="A206" s="32" t="s">
        <v>1058</v>
      </c>
      <c r="B206" s="4" t="s">
        <v>1063</v>
      </c>
      <c r="C206" s="13">
        <v>2021</v>
      </c>
      <c r="D206" s="18" t="s">
        <v>1060</v>
      </c>
      <c r="E206" s="18" t="s">
        <v>1060</v>
      </c>
      <c r="F206" s="18" t="s">
        <v>1060</v>
      </c>
      <c r="G206" s="18" t="s">
        <v>1060</v>
      </c>
    </row>
    <row r="207" ht="15.75" hidden="1" customHeight="1" spans="1:7">
      <c r="A207" s="32" t="s">
        <v>1058</v>
      </c>
      <c r="B207" s="4" t="s">
        <v>1064</v>
      </c>
      <c r="C207" s="13">
        <v>2021</v>
      </c>
      <c r="D207" s="18">
        <v>0.0233918943080606</v>
      </c>
      <c r="E207" s="18">
        <v>0.017</v>
      </c>
      <c r="F207" s="18">
        <v>0.000218936646110719</v>
      </c>
      <c r="G207" s="18">
        <v>0.00015911165358676</v>
      </c>
    </row>
    <row r="208" ht="15.75" hidden="1" customHeight="1" spans="1:7">
      <c r="A208" s="32" t="s">
        <v>1058</v>
      </c>
      <c r="B208" s="4" t="s">
        <v>1059</v>
      </c>
      <c r="C208" s="13">
        <v>2022</v>
      </c>
      <c r="D208" s="18" t="s">
        <v>1060</v>
      </c>
      <c r="E208" s="18" t="s">
        <v>1060</v>
      </c>
      <c r="F208" s="18" t="s">
        <v>1060</v>
      </c>
      <c r="G208" s="18" t="s">
        <v>1060</v>
      </c>
    </row>
    <row r="209" ht="15.75" hidden="1" customHeight="1" spans="1:7">
      <c r="A209" s="32" t="s">
        <v>1058</v>
      </c>
      <c r="B209" s="4" t="s">
        <v>1061</v>
      </c>
      <c r="C209" s="13">
        <v>2022</v>
      </c>
      <c r="D209" s="18">
        <v>0.0145252235402367</v>
      </c>
      <c r="E209" s="18">
        <v>0.02</v>
      </c>
      <c r="F209" s="18">
        <v>0.000156446644205951</v>
      </c>
      <c r="G209" s="18">
        <v>0.000215413750807446</v>
      </c>
    </row>
    <row r="210" ht="15.75" hidden="1" customHeight="1" spans="1:7">
      <c r="A210" s="32" t="s">
        <v>1058</v>
      </c>
      <c r="B210" s="4" t="s">
        <v>1062</v>
      </c>
      <c r="C210" s="13">
        <v>2022</v>
      </c>
      <c r="D210" s="18">
        <v>0.0371575131770026</v>
      </c>
      <c r="E210" s="18">
        <v>0.002</v>
      </c>
      <c r="F210" s="18">
        <v>0.0014258953108333</v>
      </c>
      <c r="G210" s="18">
        <v>7.67486943510424e-5</v>
      </c>
    </row>
    <row r="211" ht="15.75" hidden="1" customHeight="1" spans="1:7">
      <c r="A211" s="32" t="s">
        <v>1058</v>
      </c>
      <c r="B211" s="4" t="s">
        <v>1063</v>
      </c>
      <c r="C211" s="13">
        <v>2022</v>
      </c>
      <c r="D211" s="18" t="s">
        <v>1060</v>
      </c>
      <c r="E211" s="18" t="s">
        <v>1060</v>
      </c>
      <c r="F211" s="18" t="s">
        <v>1060</v>
      </c>
      <c r="G211" s="18" t="s">
        <v>1060</v>
      </c>
    </row>
    <row r="212" ht="15.75" hidden="1" customHeight="1" spans="1:7">
      <c r="A212" s="32" t="s">
        <v>1058</v>
      </c>
      <c r="B212" s="4" t="s">
        <v>1064</v>
      </c>
      <c r="C212" s="13">
        <v>2022</v>
      </c>
      <c r="D212" s="18">
        <v>0.0195883973740198</v>
      </c>
      <c r="E212" s="18">
        <v>0.017</v>
      </c>
      <c r="F212" s="18">
        <v>0.000180820555320398</v>
      </c>
      <c r="G212" s="18">
        <v>0.000156927051343352</v>
      </c>
    </row>
    <row r="213" ht="15.75" hidden="1" customHeight="1" spans="1:7">
      <c r="A213" s="32" t="s">
        <v>1058</v>
      </c>
      <c r="B213" s="4" t="s">
        <v>1059</v>
      </c>
      <c r="C213" s="13">
        <v>2023</v>
      </c>
      <c r="D213" s="18" t="s">
        <v>1060</v>
      </c>
      <c r="E213" s="18" t="s">
        <v>1060</v>
      </c>
      <c r="F213" s="18" t="s">
        <v>1060</v>
      </c>
      <c r="G213" s="18" t="s">
        <v>1060</v>
      </c>
    </row>
    <row r="214" ht="15.75" hidden="1" customHeight="1" spans="1:7">
      <c r="A214" s="32" t="s">
        <v>1058</v>
      </c>
      <c r="B214" s="4" t="s">
        <v>1061</v>
      </c>
      <c r="C214" s="13">
        <v>2023</v>
      </c>
      <c r="D214" s="18">
        <v>0.0166775541445022</v>
      </c>
      <c r="E214" s="18">
        <v>0.017</v>
      </c>
      <c r="F214" s="18">
        <v>0.000173446563102823</v>
      </c>
      <c r="G214" s="18">
        <v>0.0001768</v>
      </c>
    </row>
    <row r="215" ht="15.75" hidden="1" customHeight="1" spans="1:7">
      <c r="A215" s="32" t="s">
        <v>1058</v>
      </c>
      <c r="B215" s="4" t="s">
        <v>1062</v>
      </c>
      <c r="C215" s="13">
        <v>2023</v>
      </c>
      <c r="D215" s="18">
        <v>0.0346412665128073</v>
      </c>
      <c r="E215" s="18">
        <v>0.002</v>
      </c>
      <c r="F215" s="18">
        <v>0.00122976496120466</v>
      </c>
      <c r="G215" s="18">
        <v>7.1e-5</v>
      </c>
    </row>
    <row r="216" ht="15.75" hidden="1" customHeight="1" spans="1:7">
      <c r="A216" s="32" t="s">
        <v>1058</v>
      </c>
      <c r="B216" s="4" t="s">
        <v>1063</v>
      </c>
      <c r="C216" s="13">
        <v>2023</v>
      </c>
      <c r="D216" s="18" t="s">
        <v>1060</v>
      </c>
      <c r="E216" s="18" t="s">
        <v>1060</v>
      </c>
      <c r="F216" s="18" t="s">
        <v>1060</v>
      </c>
      <c r="G216" s="18" t="s">
        <v>1060</v>
      </c>
    </row>
    <row r="217" ht="15.75" hidden="1" customHeight="1" spans="1:7">
      <c r="A217" s="32" t="s">
        <v>1058</v>
      </c>
      <c r="B217" s="4" t="s">
        <v>1064</v>
      </c>
      <c r="C217" s="13">
        <v>2023</v>
      </c>
      <c r="D217" s="18">
        <v>0.017</v>
      </c>
      <c r="E217" s="18">
        <v>0.017</v>
      </c>
      <c r="F217" s="18">
        <v>0.000126616</v>
      </c>
      <c r="G217" s="18">
        <v>0.000126616</v>
      </c>
    </row>
    <row r="218" ht="15.75" hidden="1" customHeight="1" spans="1:7">
      <c r="A218" s="32" t="s">
        <v>1058</v>
      </c>
      <c r="B218" s="4" t="s">
        <v>1059</v>
      </c>
      <c r="C218" s="13">
        <v>2024</v>
      </c>
      <c r="D218" s="15" t="s">
        <v>1060</v>
      </c>
      <c r="E218" s="15" t="s">
        <v>1060</v>
      </c>
      <c r="F218" s="15" t="s">
        <v>1060</v>
      </c>
      <c r="G218" s="15" t="s">
        <v>1060</v>
      </c>
    </row>
    <row r="219" ht="15.75" hidden="1" customHeight="1" spans="1:7">
      <c r="A219" s="32" t="s">
        <v>1058</v>
      </c>
      <c r="B219" s="4" t="s">
        <v>1061</v>
      </c>
      <c r="C219" s="13">
        <v>2024</v>
      </c>
      <c r="D219" s="15">
        <v>0.0166775541445022</v>
      </c>
      <c r="E219" s="15">
        <v>0.017</v>
      </c>
      <c r="F219" s="15">
        <v>0.000173446563102823</v>
      </c>
      <c r="G219" s="15">
        <v>0.0001768</v>
      </c>
    </row>
    <row r="220" ht="15.75" hidden="1" customHeight="1" spans="1:7">
      <c r="A220" s="32" t="s">
        <v>1058</v>
      </c>
      <c r="B220" s="4" t="s">
        <v>1062</v>
      </c>
      <c r="C220" s="13">
        <v>2024</v>
      </c>
      <c r="D220" s="15">
        <v>0.0346412665128073</v>
      </c>
      <c r="E220" s="15">
        <v>0.002</v>
      </c>
      <c r="F220" s="15">
        <v>0.00122976496120466</v>
      </c>
      <c r="G220" s="15">
        <v>7.1e-5</v>
      </c>
    </row>
    <row r="221" ht="15.75" hidden="1" customHeight="1" spans="1:7">
      <c r="A221" s="32" t="s">
        <v>1058</v>
      </c>
      <c r="B221" s="4" t="s">
        <v>1063</v>
      </c>
      <c r="C221" s="13">
        <v>2024</v>
      </c>
      <c r="D221" s="15" t="s">
        <v>1060</v>
      </c>
      <c r="E221" s="15" t="s">
        <v>1060</v>
      </c>
      <c r="F221" s="15" t="s">
        <v>1060</v>
      </c>
      <c r="G221" s="15" t="s">
        <v>1060</v>
      </c>
    </row>
    <row r="222" ht="15.75" hidden="1" customHeight="1" spans="1:7">
      <c r="A222" s="32" t="s">
        <v>1058</v>
      </c>
      <c r="B222" s="4" t="s">
        <v>1064</v>
      </c>
      <c r="C222" s="13">
        <v>2024</v>
      </c>
      <c r="D222" s="15">
        <v>0.017</v>
      </c>
      <c r="E222" s="15">
        <v>0.017</v>
      </c>
      <c r="F222" s="15">
        <v>0.000126616</v>
      </c>
      <c r="G222" s="15">
        <v>0.000126616</v>
      </c>
    </row>
    <row r="223" ht="15.75" hidden="1" customHeight="1" spans="1:7">
      <c r="A223" s="32" t="s">
        <v>1058</v>
      </c>
      <c r="B223" s="4" t="s">
        <v>1065</v>
      </c>
      <c r="C223" s="13">
        <v>2024</v>
      </c>
      <c r="D223" s="15">
        <v>0.006785714</v>
      </c>
      <c r="E223" s="15">
        <v>0.003698113</v>
      </c>
      <c r="F223" s="15">
        <v>7.7114355100482e-5</v>
      </c>
      <c r="G223" s="28">
        <v>4.20261742660697e-5</v>
      </c>
    </row>
    <row r="224" ht="15.75" hidden="1" customHeight="1" spans="1:7">
      <c r="A224" s="32" t="s">
        <v>1058</v>
      </c>
      <c r="B224" s="4" t="s">
        <v>1066</v>
      </c>
      <c r="C224" s="13">
        <v>2024</v>
      </c>
      <c r="D224" s="15">
        <v>0.009285714</v>
      </c>
      <c r="E224" s="15">
        <v>0.000754717</v>
      </c>
      <c r="F224" s="15">
        <v>0.000136641832209408</v>
      </c>
      <c r="G224" s="28">
        <v>1.11058679687516e-5</v>
      </c>
    </row>
    <row r="225" ht="15.75" hidden="1" customHeight="1" spans="1:7">
      <c r="A225" s="35" t="s">
        <v>1067</v>
      </c>
      <c r="B225" s="3" t="s">
        <v>1068</v>
      </c>
      <c r="C225" s="13">
        <v>2024</v>
      </c>
      <c r="D225" s="15">
        <v>0.063214286</v>
      </c>
      <c r="E225" s="15">
        <v>0.001358491</v>
      </c>
      <c r="F225" s="15">
        <v>0.000758571432</v>
      </c>
      <c r="G225" s="15">
        <v>1.6301892e-5</v>
      </c>
    </row>
    <row r="226" ht="15.75" hidden="1" customHeight="1" spans="1:7">
      <c r="A226" s="36" t="s">
        <v>1227</v>
      </c>
      <c r="B226" s="4" t="s">
        <v>1091</v>
      </c>
      <c r="C226" s="13">
        <v>2013</v>
      </c>
      <c r="D226" s="17">
        <v>0.22</v>
      </c>
      <c r="E226" s="18">
        <v>0.0313</v>
      </c>
      <c r="F226" s="18">
        <v>0.00264</v>
      </c>
      <c r="G226" s="18">
        <v>0.0003756</v>
      </c>
    </row>
    <row r="227" ht="15.75" hidden="1" customHeight="1" spans="1:7">
      <c r="A227" s="36" t="s">
        <v>1227</v>
      </c>
      <c r="B227" s="4" t="s">
        <v>1091</v>
      </c>
      <c r="C227" s="13">
        <v>2014</v>
      </c>
      <c r="D227" s="17">
        <v>0.22</v>
      </c>
      <c r="E227" s="18">
        <v>0.0313</v>
      </c>
      <c r="F227" s="18">
        <v>0.00264</v>
      </c>
      <c r="G227" s="18">
        <v>0.0003756</v>
      </c>
    </row>
    <row r="228" ht="15.75" hidden="1" customHeight="1" spans="1:7">
      <c r="A228" s="36" t="s">
        <v>1227</v>
      </c>
      <c r="B228" s="4" t="s">
        <v>1091</v>
      </c>
      <c r="C228" s="13">
        <v>2015</v>
      </c>
      <c r="D228" s="17">
        <v>0.22</v>
      </c>
      <c r="E228" s="18">
        <v>0.0313</v>
      </c>
      <c r="F228" s="18">
        <v>0.00264</v>
      </c>
      <c r="G228" s="18">
        <v>0.0003756</v>
      </c>
    </row>
    <row r="229" ht="15.75" hidden="1" customHeight="1" spans="1:7">
      <c r="A229" s="36" t="s">
        <v>1227</v>
      </c>
      <c r="B229" s="4" t="s">
        <v>1091</v>
      </c>
      <c r="C229" s="13">
        <v>2016</v>
      </c>
      <c r="D229" s="17">
        <v>0.22</v>
      </c>
      <c r="E229" s="18">
        <v>0.0313</v>
      </c>
      <c r="F229" s="18">
        <v>0.00264</v>
      </c>
      <c r="G229" s="18">
        <v>0.0003756</v>
      </c>
    </row>
    <row r="230" ht="15.75" hidden="1" customHeight="1" spans="1:7">
      <c r="A230" s="36" t="s">
        <v>1227</v>
      </c>
      <c r="B230" s="4" t="s">
        <v>1091</v>
      </c>
      <c r="C230" s="13">
        <v>2017</v>
      </c>
      <c r="D230" s="17">
        <v>0.22</v>
      </c>
      <c r="E230" s="18">
        <v>0.0313</v>
      </c>
      <c r="F230" s="18">
        <v>0.00264</v>
      </c>
      <c r="G230" s="18">
        <v>0.0003756</v>
      </c>
    </row>
    <row r="231" ht="15.75" hidden="1" customHeight="1" spans="1:7">
      <c r="A231" s="36" t="s">
        <v>1227</v>
      </c>
      <c r="B231" s="4" t="s">
        <v>1091</v>
      </c>
      <c r="C231" s="13">
        <v>2018</v>
      </c>
      <c r="D231" s="17">
        <v>0.22</v>
      </c>
      <c r="E231" s="18">
        <v>0.0313</v>
      </c>
      <c r="F231" s="18">
        <v>0.00264</v>
      </c>
      <c r="G231" s="18">
        <v>0.0003756</v>
      </c>
    </row>
    <row r="232" ht="15.75" hidden="1" customHeight="1" spans="1:7">
      <c r="A232" s="36" t="s">
        <v>1227</v>
      </c>
      <c r="B232" s="4" t="s">
        <v>1091</v>
      </c>
      <c r="C232" s="13">
        <v>2019</v>
      </c>
      <c r="D232" s="17">
        <v>0.22</v>
      </c>
      <c r="E232" s="18">
        <v>0.0313</v>
      </c>
      <c r="F232" s="18">
        <v>0.00264</v>
      </c>
      <c r="G232" s="18">
        <v>0.0003756</v>
      </c>
    </row>
    <row r="233" ht="15.75" hidden="1" customHeight="1" spans="1:7">
      <c r="A233" s="36" t="s">
        <v>1227</v>
      </c>
      <c r="B233" s="4" t="s">
        <v>1091</v>
      </c>
      <c r="C233" s="13">
        <v>2020</v>
      </c>
      <c r="D233" s="17">
        <v>0.22</v>
      </c>
      <c r="E233" s="18">
        <v>0.0313</v>
      </c>
      <c r="F233" s="18">
        <v>0.00264</v>
      </c>
      <c r="G233" s="18">
        <v>0.0003756</v>
      </c>
    </row>
    <row r="234" ht="15.75" hidden="1" customHeight="1" spans="1:7">
      <c r="A234" s="36" t="s">
        <v>1227</v>
      </c>
      <c r="B234" s="4" t="s">
        <v>1091</v>
      </c>
      <c r="C234" s="13">
        <v>2021</v>
      </c>
      <c r="D234" s="17">
        <v>0.22</v>
      </c>
      <c r="E234" s="18">
        <v>0.0313</v>
      </c>
      <c r="F234" s="18">
        <v>0.00264</v>
      </c>
      <c r="G234" s="18">
        <v>0.0003756</v>
      </c>
    </row>
    <row r="235" ht="15.75" hidden="1" customHeight="1" spans="1:7">
      <c r="A235" s="36" t="s">
        <v>1227</v>
      </c>
      <c r="B235" s="4" t="s">
        <v>1091</v>
      </c>
      <c r="C235" s="13">
        <v>2022</v>
      </c>
      <c r="D235" s="17">
        <v>0.22</v>
      </c>
      <c r="E235" s="18">
        <v>0.0313</v>
      </c>
      <c r="F235" s="18">
        <v>0.00264</v>
      </c>
      <c r="G235" s="18">
        <v>0.0003756</v>
      </c>
    </row>
    <row r="236" ht="15.75" hidden="1" customHeight="1" spans="1:7">
      <c r="A236" s="36" t="s">
        <v>1227</v>
      </c>
      <c r="B236" s="4" t="s">
        <v>1091</v>
      </c>
      <c r="C236" s="13">
        <v>2023</v>
      </c>
      <c r="D236" s="17">
        <v>0.22</v>
      </c>
      <c r="E236" s="18">
        <v>0.0313</v>
      </c>
      <c r="F236" s="18">
        <v>0.00264</v>
      </c>
      <c r="G236" s="18">
        <v>0.0003756</v>
      </c>
    </row>
    <row r="237" ht="15.75" hidden="1" customHeight="1" spans="1:7">
      <c r="A237" s="36" t="s">
        <v>1227</v>
      </c>
      <c r="B237" s="4" t="s">
        <v>1091</v>
      </c>
      <c r="C237" s="13">
        <v>2024</v>
      </c>
      <c r="D237" s="14">
        <v>0.22</v>
      </c>
      <c r="E237" s="15">
        <v>0.0313</v>
      </c>
      <c r="F237" s="15">
        <v>0.00264</v>
      </c>
      <c r="G237" s="15">
        <v>0.0003756</v>
      </c>
    </row>
    <row r="238" ht="15.75" customHeight="1" spans="4:7">
      <c r="D238" s="37"/>
      <c r="E238" s="37"/>
      <c r="F238" s="37"/>
      <c r="G238" s="37"/>
    </row>
    <row r="239" ht="15.75" customHeight="1" spans="4:7">
      <c r="D239" s="37"/>
      <c r="E239" s="37"/>
      <c r="F239" s="37"/>
      <c r="G239" s="37"/>
    </row>
    <row r="240" ht="15.75" customHeight="1" spans="4:7">
      <c r="D240" s="37"/>
      <c r="E240" s="37"/>
      <c r="F240" s="37"/>
      <c r="G240" s="37"/>
    </row>
    <row r="241" ht="15.75" customHeight="1" spans="4:7">
      <c r="D241" s="37"/>
      <c r="E241" s="37"/>
      <c r="F241" s="37"/>
      <c r="G241" s="37"/>
    </row>
    <row r="242" ht="15.75" customHeight="1" spans="4:7">
      <c r="D242" s="37"/>
      <c r="E242" s="37"/>
      <c r="F242" s="37"/>
      <c r="G242" s="37"/>
    </row>
    <row r="243" ht="15.75" customHeight="1" spans="4:7">
      <c r="D243" s="37"/>
      <c r="E243" s="37"/>
      <c r="F243" s="37"/>
      <c r="G243" s="37"/>
    </row>
    <row r="244" ht="15.75" customHeight="1" spans="4:7">
      <c r="D244" s="37"/>
      <c r="E244" s="37"/>
      <c r="F244" s="37"/>
      <c r="G244" s="37"/>
    </row>
    <row r="245" ht="15.75" customHeight="1" spans="4:7">
      <c r="D245" s="37"/>
      <c r="E245" s="37"/>
      <c r="F245" s="37"/>
      <c r="G245" s="37"/>
    </row>
    <row r="246" ht="15.75" customHeight="1" spans="4:7">
      <c r="D246" s="37"/>
      <c r="E246" s="37"/>
      <c r="F246" s="37"/>
      <c r="G246" s="37"/>
    </row>
    <row r="247" ht="15.75" customHeight="1" spans="4:7">
      <c r="D247" s="37"/>
      <c r="E247" s="37"/>
      <c r="F247" s="37"/>
      <c r="G247" s="37"/>
    </row>
    <row r="248" ht="15.75" customHeight="1" spans="4:7">
      <c r="D248" s="37"/>
      <c r="E248" s="37"/>
      <c r="F248" s="37"/>
      <c r="G248" s="37"/>
    </row>
    <row r="249" ht="15.75" customHeight="1" spans="4:7">
      <c r="D249" s="37"/>
      <c r="E249" s="37"/>
      <c r="F249" s="37"/>
      <c r="G249" s="37"/>
    </row>
    <row r="250" ht="15.75" customHeight="1" spans="4:7">
      <c r="D250" s="37"/>
      <c r="E250" s="37"/>
      <c r="F250" s="37"/>
      <c r="G250" s="37"/>
    </row>
    <row r="251" ht="15.75" customHeight="1" spans="4:7">
      <c r="D251" s="37"/>
      <c r="E251" s="37"/>
      <c r="F251" s="37"/>
      <c r="G251" s="37"/>
    </row>
    <row r="252" ht="15.75" customHeight="1" spans="4:7">
      <c r="D252" s="37"/>
      <c r="E252" s="37"/>
      <c r="F252" s="37"/>
      <c r="G252" s="37"/>
    </row>
    <row r="253" ht="15.75" customHeight="1" spans="4:7">
      <c r="D253" s="37"/>
      <c r="E253" s="37"/>
      <c r="F253" s="37"/>
      <c r="G253" s="37"/>
    </row>
    <row r="254" ht="15.75" customHeight="1" spans="4:7">
      <c r="D254" s="37"/>
      <c r="E254" s="37"/>
      <c r="F254" s="37"/>
      <c r="G254" s="37"/>
    </row>
    <row r="255" ht="15.75" customHeight="1" spans="4:7">
      <c r="D255" s="37"/>
      <c r="E255" s="37"/>
      <c r="F255" s="37"/>
      <c r="G255" s="37"/>
    </row>
    <row r="256" ht="15.75" customHeight="1" spans="4:7">
      <c r="D256" s="37"/>
      <c r="E256" s="37"/>
      <c r="F256" s="37"/>
      <c r="G256" s="37"/>
    </row>
    <row r="257" ht="15.75" customHeight="1" spans="4:7">
      <c r="D257" s="37"/>
      <c r="E257" s="37"/>
      <c r="F257" s="37"/>
      <c r="G257" s="37"/>
    </row>
    <row r="258" ht="15.75" customHeight="1" spans="4:7">
      <c r="D258" s="37"/>
      <c r="E258" s="37"/>
      <c r="F258" s="37"/>
      <c r="G258" s="37"/>
    </row>
    <row r="259" ht="15.75" customHeight="1" spans="4:7">
      <c r="D259" s="37"/>
      <c r="E259" s="37"/>
      <c r="F259" s="37"/>
      <c r="G259" s="37"/>
    </row>
    <row r="260" ht="15.75" customHeight="1" spans="4:7">
      <c r="D260" s="37"/>
      <c r="E260" s="37"/>
      <c r="F260" s="37"/>
      <c r="G260" s="37"/>
    </row>
    <row r="261" ht="15.75" customHeight="1" spans="4:7">
      <c r="D261" s="37"/>
      <c r="E261" s="37"/>
      <c r="F261" s="37"/>
      <c r="G261" s="37"/>
    </row>
    <row r="262" ht="15.75" customHeight="1" spans="4:7">
      <c r="D262" s="37"/>
      <c r="E262" s="37"/>
      <c r="F262" s="37"/>
      <c r="G262" s="37"/>
    </row>
    <row r="263" ht="15.75" customHeight="1" spans="4:7">
      <c r="D263" s="37"/>
      <c r="E263" s="37"/>
      <c r="F263" s="37"/>
      <c r="G263" s="37"/>
    </row>
    <row r="264" ht="15.75" customHeight="1" spans="4:7">
      <c r="D264" s="37"/>
      <c r="E264" s="37"/>
      <c r="F264" s="37"/>
      <c r="G264" s="37"/>
    </row>
    <row r="265" ht="15.75" customHeight="1" spans="4:7">
      <c r="D265" s="37"/>
      <c r="E265" s="37"/>
      <c r="F265" s="37"/>
      <c r="G265" s="37"/>
    </row>
    <row r="266" ht="15.75" customHeight="1" spans="4:7">
      <c r="D266" s="37"/>
      <c r="E266" s="37"/>
      <c r="F266" s="37"/>
      <c r="G266" s="37"/>
    </row>
    <row r="267" ht="15.75" customHeight="1" spans="4:7">
      <c r="D267" s="37"/>
      <c r="E267" s="37"/>
      <c r="F267" s="37"/>
      <c r="G267" s="37"/>
    </row>
    <row r="268" ht="15.75" customHeight="1" spans="4:7">
      <c r="D268" s="37"/>
      <c r="E268" s="37"/>
      <c r="F268" s="37"/>
      <c r="G268" s="37"/>
    </row>
    <row r="269" ht="15.75" customHeight="1" spans="4:7">
      <c r="D269" s="37"/>
      <c r="E269" s="37"/>
      <c r="F269" s="37"/>
      <c r="G269" s="37"/>
    </row>
    <row r="270" ht="15.75" customHeight="1" spans="4:7">
      <c r="D270" s="37"/>
      <c r="E270" s="37"/>
      <c r="F270" s="37"/>
      <c r="G270" s="37"/>
    </row>
    <row r="271" ht="15.75" customHeight="1" spans="4:7">
      <c r="D271" s="37"/>
      <c r="E271" s="37"/>
      <c r="F271" s="37"/>
      <c r="G271" s="37"/>
    </row>
    <row r="272" ht="15.75" customHeight="1" spans="4:7">
      <c r="D272" s="37"/>
      <c r="E272" s="37"/>
      <c r="F272" s="37"/>
      <c r="G272" s="37"/>
    </row>
    <row r="273" ht="15.75" customHeight="1" spans="4:7">
      <c r="D273" s="37"/>
      <c r="E273" s="37"/>
      <c r="F273" s="37"/>
      <c r="G273" s="37"/>
    </row>
    <row r="274" ht="15.75" customHeight="1" spans="4:7">
      <c r="D274" s="37"/>
      <c r="E274" s="37"/>
      <c r="F274" s="37"/>
      <c r="G274" s="37"/>
    </row>
    <row r="275" ht="15.75" customHeight="1" spans="4:7">
      <c r="D275" s="37"/>
      <c r="E275" s="37"/>
      <c r="F275" s="37"/>
      <c r="G275" s="37"/>
    </row>
    <row r="276" ht="15.75" customHeight="1" spans="4:7">
      <c r="D276" s="37"/>
      <c r="E276" s="37"/>
      <c r="F276" s="37"/>
      <c r="G276" s="37"/>
    </row>
    <row r="277" ht="15.75" customHeight="1" spans="4:7">
      <c r="D277" s="37"/>
      <c r="E277" s="37"/>
      <c r="F277" s="37"/>
      <c r="G277" s="37"/>
    </row>
    <row r="278" ht="15.75" customHeight="1" spans="4:7">
      <c r="D278" s="37"/>
      <c r="E278" s="37"/>
      <c r="F278" s="37"/>
      <c r="G278" s="37"/>
    </row>
    <row r="279" ht="15.75" customHeight="1" spans="4:7">
      <c r="D279" s="37"/>
      <c r="E279" s="37"/>
      <c r="F279" s="37"/>
      <c r="G279" s="37"/>
    </row>
    <row r="280" ht="15.75" customHeight="1" spans="4:7">
      <c r="D280" s="37"/>
      <c r="E280" s="37"/>
      <c r="F280" s="37"/>
      <c r="G280" s="37"/>
    </row>
    <row r="281" ht="15.75" customHeight="1" spans="4:7">
      <c r="D281" s="37"/>
      <c r="E281" s="37"/>
      <c r="F281" s="37"/>
      <c r="G281" s="37"/>
    </row>
    <row r="282" ht="15.75" customHeight="1" spans="4:7">
      <c r="D282" s="37"/>
      <c r="E282" s="37"/>
      <c r="F282" s="37"/>
      <c r="G282" s="37"/>
    </row>
    <row r="283" ht="15.75" customHeight="1" spans="4:7">
      <c r="D283" s="37"/>
      <c r="E283" s="37"/>
      <c r="F283" s="37"/>
      <c r="G283" s="37"/>
    </row>
    <row r="284" ht="15.75" customHeight="1" spans="4:7">
      <c r="D284" s="37"/>
      <c r="E284" s="37"/>
      <c r="F284" s="37"/>
      <c r="G284" s="37"/>
    </row>
    <row r="285" ht="15.75" customHeight="1" spans="4:7">
      <c r="D285" s="37"/>
      <c r="E285" s="37"/>
      <c r="F285" s="37"/>
      <c r="G285" s="37"/>
    </row>
    <row r="286" ht="15.75" customHeight="1" spans="4:7">
      <c r="D286" s="37"/>
      <c r="E286" s="37"/>
      <c r="F286" s="37"/>
      <c r="G286" s="37"/>
    </row>
    <row r="287" ht="15.75" customHeight="1" spans="4:7">
      <c r="D287" s="37"/>
      <c r="E287" s="37"/>
      <c r="F287" s="37"/>
      <c r="G287" s="37"/>
    </row>
    <row r="288" ht="15.75" customHeight="1" spans="4:7">
      <c r="D288" s="37"/>
      <c r="E288" s="37"/>
      <c r="F288" s="37"/>
      <c r="G288" s="37"/>
    </row>
    <row r="289" ht="15.75" customHeight="1" spans="4:7">
      <c r="D289" s="37"/>
      <c r="E289" s="37"/>
      <c r="F289" s="37"/>
      <c r="G289" s="37"/>
    </row>
    <row r="290" ht="15.75" customHeight="1" spans="4:7">
      <c r="D290" s="37"/>
      <c r="E290" s="37"/>
      <c r="F290" s="37"/>
      <c r="G290" s="37"/>
    </row>
    <row r="291" ht="15.75" customHeight="1" spans="4:7">
      <c r="D291" s="37"/>
      <c r="E291" s="37"/>
      <c r="F291" s="37"/>
      <c r="G291" s="37"/>
    </row>
    <row r="292" ht="15.75" customHeight="1" spans="4:7">
      <c r="D292" s="37"/>
      <c r="E292" s="37"/>
      <c r="F292" s="37"/>
      <c r="G292" s="37"/>
    </row>
    <row r="293" ht="15.75" customHeight="1" spans="4:7">
      <c r="D293" s="37"/>
      <c r="E293" s="37"/>
      <c r="F293" s="37"/>
      <c r="G293" s="37"/>
    </row>
    <row r="294" ht="15.75" customHeight="1" spans="4:7">
      <c r="D294" s="37"/>
      <c r="E294" s="37"/>
      <c r="F294" s="37"/>
      <c r="G294" s="37"/>
    </row>
    <row r="295" ht="15.75" customHeight="1" spans="4:7">
      <c r="D295" s="37"/>
      <c r="E295" s="37"/>
      <c r="F295" s="37"/>
      <c r="G295" s="37"/>
    </row>
    <row r="296" ht="15.75" customHeight="1" spans="4:7">
      <c r="D296" s="37"/>
      <c r="E296" s="37"/>
      <c r="F296" s="37"/>
      <c r="G296" s="37"/>
    </row>
    <row r="297" ht="15.75" customHeight="1" spans="4:7">
      <c r="D297" s="37"/>
      <c r="E297" s="37"/>
      <c r="F297" s="37"/>
      <c r="G297" s="37"/>
    </row>
    <row r="298" ht="15.75" customHeight="1" spans="4:7">
      <c r="D298" s="37"/>
      <c r="E298" s="37"/>
      <c r="F298" s="37"/>
      <c r="G298" s="37"/>
    </row>
    <row r="299" ht="15.75" customHeight="1" spans="4:7">
      <c r="D299" s="37"/>
      <c r="E299" s="37"/>
      <c r="F299" s="37"/>
      <c r="G299" s="37"/>
    </row>
    <row r="300" ht="15.75" customHeight="1" spans="4:7">
      <c r="D300" s="37"/>
      <c r="E300" s="37"/>
      <c r="F300" s="37"/>
      <c r="G300" s="37"/>
    </row>
    <row r="301" ht="15.75" customHeight="1" spans="4:7">
      <c r="D301" s="37"/>
      <c r="E301" s="37"/>
      <c r="F301" s="37"/>
      <c r="G301" s="37"/>
    </row>
    <row r="302" ht="15.75" customHeight="1" spans="4:7">
      <c r="D302" s="37"/>
      <c r="E302" s="37"/>
      <c r="F302" s="37"/>
      <c r="G302" s="37"/>
    </row>
    <row r="303" ht="15.75" customHeight="1" spans="4:7">
      <c r="D303" s="37"/>
      <c r="E303" s="37"/>
      <c r="F303" s="37"/>
      <c r="G303" s="37"/>
    </row>
    <row r="304" ht="15.75" customHeight="1" spans="4:7">
      <c r="D304" s="37"/>
      <c r="E304" s="37"/>
      <c r="F304" s="37"/>
      <c r="G304" s="37"/>
    </row>
    <row r="305" ht="15.75" customHeight="1" spans="4:7">
      <c r="D305" s="37"/>
      <c r="E305" s="37"/>
      <c r="F305" s="37"/>
      <c r="G305" s="37"/>
    </row>
    <row r="306" ht="15.75" customHeight="1" spans="4:7">
      <c r="D306" s="37"/>
      <c r="E306" s="37"/>
      <c r="F306" s="37"/>
      <c r="G306" s="37"/>
    </row>
    <row r="307" ht="15.75" customHeight="1" spans="4:7">
      <c r="D307" s="37"/>
      <c r="E307" s="37"/>
      <c r="F307" s="37"/>
      <c r="G307" s="37"/>
    </row>
    <row r="308" ht="15.75" customHeight="1" spans="4:7">
      <c r="D308" s="37"/>
      <c r="E308" s="37"/>
      <c r="F308" s="37"/>
      <c r="G308" s="37"/>
    </row>
    <row r="309" ht="15.75" customHeight="1" spans="4:7">
      <c r="D309" s="37"/>
      <c r="E309" s="37"/>
      <c r="F309" s="37"/>
      <c r="G309" s="37"/>
    </row>
    <row r="310" ht="15.75" customHeight="1" spans="4:7">
      <c r="D310" s="37"/>
      <c r="E310" s="37"/>
      <c r="F310" s="37"/>
      <c r="G310" s="37"/>
    </row>
    <row r="311" ht="15.75" customHeight="1" spans="4:7">
      <c r="D311" s="37"/>
      <c r="E311" s="37"/>
      <c r="F311" s="37"/>
      <c r="G311" s="37"/>
    </row>
    <row r="312" ht="15.75" customHeight="1" spans="4:7">
      <c r="D312" s="37"/>
      <c r="E312" s="37"/>
      <c r="F312" s="37"/>
      <c r="G312" s="37"/>
    </row>
    <row r="313" ht="15.75" customHeight="1" spans="4:7">
      <c r="D313" s="37"/>
      <c r="E313" s="37"/>
      <c r="F313" s="37"/>
      <c r="G313" s="37"/>
    </row>
    <row r="314" ht="15.75" customHeight="1" spans="4:7">
      <c r="D314" s="37"/>
      <c r="E314" s="37"/>
      <c r="F314" s="37"/>
      <c r="G314" s="37"/>
    </row>
    <row r="315" ht="15.75" customHeight="1" spans="4:7">
      <c r="D315" s="37"/>
      <c r="E315" s="37"/>
      <c r="F315" s="37"/>
      <c r="G315" s="37"/>
    </row>
    <row r="316" ht="15.75" customHeight="1" spans="4:7">
      <c r="D316" s="37"/>
      <c r="E316" s="37"/>
      <c r="F316" s="37"/>
      <c r="G316" s="37"/>
    </row>
    <row r="317" ht="15.75" customHeight="1" spans="4:7">
      <c r="D317" s="37"/>
      <c r="E317" s="37"/>
      <c r="F317" s="37"/>
      <c r="G317" s="37"/>
    </row>
    <row r="318" ht="15.75" customHeight="1" spans="4:7">
      <c r="D318" s="37"/>
      <c r="E318" s="37"/>
      <c r="F318" s="37"/>
      <c r="G318" s="37"/>
    </row>
    <row r="319" ht="15.75" customHeight="1" spans="4:7">
      <c r="D319" s="37"/>
      <c r="E319" s="37"/>
      <c r="F319" s="37"/>
      <c r="G319" s="37"/>
    </row>
    <row r="320" ht="15.75" customHeight="1" spans="4:7">
      <c r="D320" s="37"/>
      <c r="E320" s="37"/>
      <c r="F320" s="37"/>
      <c r="G320" s="37"/>
    </row>
    <row r="321" ht="15.75" customHeight="1" spans="4:7">
      <c r="D321" s="37"/>
      <c r="E321" s="37"/>
      <c r="F321" s="37"/>
      <c r="G321" s="37"/>
    </row>
    <row r="322" ht="15.75" customHeight="1" spans="4:7">
      <c r="D322" s="37"/>
      <c r="E322" s="37"/>
      <c r="F322" s="37"/>
      <c r="G322" s="37"/>
    </row>
    <row r="323" ht="15.75" customHeight="1" spans="4:7">
      <c r="D323" s="37"/>
      <c r="E323" s="37"/>
      <c r="F323" s="37"/>
      <c r="G323" s="37"/>
    </row>
    <row r="324" ht="15.75" customHeight="1" spans="4:7">
      <c r="D324" s="37"/>
      <c r="E324" s="37"/>
      <c r="F324" s="37"/>
      <c r="G324" s="37"/>
    </row>
    <row r="325" ht="15.75" customHeight="1" spans="4:7">
      <c r="D325" s="37"/>
      <c r="E325" s="37"/>
      <c r="F325" s="37"/>
      <c r="G325" s="37"/>
    </row>
    <row r="326" ht="15.75" customHeight="1" spans="4:7">
      <c r="D326" s="37"/>
      <c r="E326" s="37"/>
      <c r="F326" s="37"/>
      <c r="G326" s="37"/>
    </row>
    <row r="327" ht="15.75" customHeight="1" spans="4:7">
      <c r="D327" s="37"/>
      <c r="E327" s="37"/>
      <c r="F327" s="37"/>
      <c r="G327" s="37"/>
    </row>
    <row r="328" ht="15.75" customHeight="1" spans="4:7">
      <c r="D328" s="37"/>
      <c r="E328" s="37"/>
      <c r="F328" s="37"/>
      <c r="G328" s="37"/>
    </row>
    <row r="329" ht="15.75" customHeight="1" spans="4:7">
      <c r="D329" s="37"/>
      <c r="E329" s="37"/>
      <c r="F329" s="37"/>
      <c r="G329" s="37"/>
    </row>
    <row r="330" ht="15.75" customHeight="1" spans="4:7">
      <c r="D330" s="37"/>
      <c r="E330" s="37"/>
      <c r="F330" s="37"/>
      <c r="G330" s="37"/>
    </row>
    <row r="331" ht="15.75" customHeight="1" spans="4:7">
      <c r="D331" s="37"/>
      <c r="E331" s="37"/>
      <c r="F331" s="37"/>
      <c r="G331" s="37"/>
    </row>
    <row r="332" ht="15.75" customHeight="1" spans="4:7">
      <c r="D332" s="37"/>
      <c r="E332" s="37"/>
      <c r="F332" s="37"/>
      <c r="G332" s="37"/>
    </row>
    <row r="333" ht="15.75" customHeight="1" spans="4:7">
      <c r="D333" s="37"/>
      <c r="E333" s="37"/>
      <c r="F333" s="37"/>
      <c r="G333" s="37"/>
    </row>
    <row r="334" ht="15.75" customHeight="1" spans="4:7">
      <c r="D334" s="37"/>
      <c r="E334" s="37"/>
      <c r="F334" s="37"/>
      <c r="G334" s="37"/>
    </row>
    <row r="335" ht="15.75" customHeight="1" spans="4:7">
      <c r="D335" s="37"/>
      <c r="E335" s="37"/>
      <c r="F335" s="37"/>
      <c r="G335" s="37"/>
    </row>
    <row r="336" ht="15.75" customHeight="1" spans="4:7">
      <c r="D336" s="37"/>
      <c r="E336" s="37"/>
      <c r="F336" s="37"/>
      <c r="G336" s="37"/>
    </row>
    <row r="337" ht="15.75" customHeight="1" spans="4:7">
      <c r="D337" s="37"/>
      <c r="E337" s="37"/>
      <c r="F337" s="37"/>
      <c r="G337" s="37"/>
    </row>
    <row r="338" ht="15.75" customHeight="1" spans="4:7">
      <c r="D338" s="37"/>
      <c r="E338" s="37"/>
      <c r="F338" s="37"/>
      <c r="G338" s="37"/>
    </row>
    <row r="339" ht="15.75" customHeight="1" spans="4:7">
      <c r="D339" s="37"/>
      <c r="E339" s="37"/>
      <c r="F339" s="37"/>
      <c r="G339" s="37"/>
    </row>
    <row r="340" ht="15.75" customHeight="1" spans="4:7">
      <c r="D340" s="37"/>
      <c r="E340" s="37"/>
      <c r="F340" s="37"/>
      <c r="G340" s="37"/>
    </row>
    <row r="341" ht="15.75" customHeight="1" spans="4:7">
      <c r="D341" s="37"/>
      <c r="E341" s="37"/>
      <c r="F341" s="37"/>
      <c r="G341" s="37"/>
    </row>
    <row r="342" ht="15.75" customHeight="1" spans="4:7">
      <c r="D342" s="37"/>
      <c r="E342" s="37"/>
      <c r="F342" s="37"/>
      <c r="G342" s="37"/>
    </row>
    <row r="343" ht="15.75" customHeight="1" spans="4:7">
      <c r="D343" s="37"/>
      <c r="E343" s="37"/>
      <c r="F343" s="37"/>
      <c r="G343" s="37"/>
    </row>
    <row r="344" ht="15.75" customHeight="1" spans="4:7">
      <c r="D344" s="37"/>
      <c r="E344" s="37"/>
      <c r="F344" s="37"/>
      <c r="G344" s="37"/>
    </row>
    <row r="345" ht="15.75" customHeight="1" spans="4:7">
      <c r="D345" s="37"/>
      <c r="E345" s="37"/>
      <c r="F345" s="37"/>
      <c r="G345" s="37"/>
    </row>
    <row r="346" ht="15.75" customHeight="1" spans="4:7">
      <c r="D346" s="37"/>
      <c r="E346" s="37"/>
      <c r="F346" s="37"/>
      <c r="G346" s="37"/>
    </row>
    <row r="347" ht="15.75" customHeight="1" spans="4:7">
      <c r="D347" s="37"/>
      <c r="E347" s="37"/>
      <c r="F347" s="37"/>
      <c r="G347" s="37"/>
    </row>
    <row r="348" ht="15.75" customHeight="1" spans="4:7">
      <c r="D348" s="37"/>
      <c r="E348" s="37"/>
      <c r="F348" s="37"/>
      <c r="G348" s="37"/>
    </row>
    <row r="349" ht="15.75" customHeight="1" spans="4:7">
      <c r="D349" s="37"/>
      <c r="E349" s="37"/>
      <c r="F349" s="37"/>
      <c r="G349" s="37"/>
    </row>
    <row r="350" ht="15.75" customHeight="1" spans="4:7">
      <c r="D350" s="37"/>
      <c r="E350" s="37"/>
      <c r="F350" s="37"/>
      <c r="G350" s="37"/>
    </row>
    <row r="351" ht="15.75" customHeight="1" spans="4:7">
      <c r="D351" s="37"/>
      <c r="E351" s="37"/>
      <c r="F351" s="37"/>
      <c r="G351" s="37"/>
    </row>
    <row r="352" ht="15.75" customHeight="1" spans="4:7">
      <c r="D352" s="37"/>
      <c r="E352" s="37"/>
      <c r="F352" s="37"/>
      <c r="G352" s="37"/>
    </row>
    <row r="353" ht="15.75" customHeight="1" spans="4:7">
      <c r="D353" s="37"/>
      <c r="E353" s="37"/>
      <c r="F353" s="37"/>
      <c r="G353" s="37"/>
    </row>
    <row r="354" ht="15.75" customHeight="1" spans="4:7">
      <c r="D354" s="37"/>
      <c r="E354" s="37"/>
      <c r="F354" s="37"/>
      <c r="G354" s="37"/>
    </row>
    <row r="355" ht="15.75" customHeight="1" spans="4:7">
      <c r="D355" s="37"/>
      <c r="E355" s="37"/>
      <c r="F355" s="37"/>
      <c r="G355" s="37"/>
    </row>
    <row r="356" ht="15.75" customHeight="1" spans="4:7">
      <c r="D356" s="37"/>
      <c r="E356" s="37"/>
      <c r="F356" s="37"/>
      <c r="G356" s="37"/>
    </row>
    <row r="357" ht="15.75" customHeight="1" spans="4:7">
      <c r="D357" s="37"/>
      <c r="E357" s="37"/>
      <c r="F357" s="37"/>
      <c r="G357" s="37"/>
    </row>
    <row r="358" ht="15.75" customHeight="1" spans="4:7">
      <c r="D358" s="37"/>
      <c r="E358" s="37"/>
      <c r="F358" s="37"/>
      <c r="G358" s="37"/>
    </row>
    <row r="359" ht="15.75" customHeight="1" spans="4:7">
      <c r="D359" s="37"/>
      <c r="E359" s="37"/>
      <c r="F359" s="37"/>
      <c r="G359" s="37"/>
    </row>
    <row r="360" ht="15.75" customHeight="1" spans="4:7">
      <c r="D360" s="37"/>
      <c r="E360" s="37"/>
      <c r="F360" s="37"/>
      <c r="G360" s="37"/>
    </row>
    <row r="361" ht="15.75" customHeight="1" spans="4:7">
      <c r="D361" s="37"/>
      <c r="E361" s="37"/>
      <c r="F361" s="37"/>
      <c r="G361" s="37"/>
    </row>
    <row r="362" ht="15.75" customHeight="1" spans="4:7">
      <c r="D362" s="37"/>
      <c r="E362" s="37"/>
      <c r="F362" s="37"/>
      <c r="G362" s="37"/>
    </row>
    <row r="363" ht="15.75" customHeight="1" spans="4:7">
      <c r="D363" s="37"/>
      <c r="E363" s="37"/>
      <c r="F363" s="37"/>
      <c r="G363" s="37"/>
    </row>
    <row r="364" ht="15.75" customHeight="1" spans="4:7">
      <c r="D364" s="37"/>
      <c r="E364" s="37"/>
      <c r="F364" s="37"/>
      <c r="G364" s="37"/>
    </row>
    <row r="365" ht="15.75" customHeight="1" spans="4:7">
      <c r="D365" s="37"/>
      <c r="E365" s="37"/>
      <c r="F365" s="37"/>
      <c r="G365" s="37"/>
    </row>
    <row r="366" ht="15.75" customHeight="1" spans="4:7">
      <c r="D366" s="37"/>
      <c r="E366" s="37"/>
      <c r="F366" s="37"/>
      <c r="G366" s="37"/>
    </row>
    <row r="367" ht="15.75" customHeight="1" spans="4:7">
      <c r="D367" s="37"/>
      <c r="E367" s="37"/>
      <c r="F367" s="37"/>
      <c r="G367" s="37"/>
    </row>
    <row r="368" ht="15.75" customHeight="1" spans="4:7">
      <c r="D368" s="37"/>
      <c r="E368" s="37"/>
      <c r="F368" s="37"/>
      <c r="G368" s="37"/>
    </row>
    <row r="369" ht="15.75" customHeight="1" spans="4:7">
      <c r="D369" s="37"/>
      <c r="E369" s="37"/>
      <c r="F369" s="37"/>
      <c r="G369" s="37"/>
    </row>
    <row r="370" ht="15.75" customHeight="1" spans="4:7">
      <c r="D370" s="37"/>
      <c r="E370" s="37"/>
      <c r="F370" s="37"/>
      <c r="G370" s="37"/>
    </row>
    <row r="371" ht="15.75" customHeight="1" spans="4:7">
      <c r="D371" s="37"/>
      <c r="E371" s="37"/>
      <c r="F371" s="37"/>
      <c r="G371" s="37"/>
    </row>
    <row r="372" ht="15.75" customHeight="1" spans="4:7">
      <c r="D372" s="37"/>
      <c r="E372" s="37"/>
      <c r="F372" s="37"/>
      <c r="G372" s="37"/>
    </row>
    <row r="373" ht="15.75" customHeight="1" spans="4:7">
      <c r="D373" s="37"/>
      <c r="E373" s="37"/>
      <c r="F373" s="37"/>
      <c r="G373" s="37"/>
    </row>
    <row r="374" ht="15.75" customHeight="1" spans="4:7">
      <c r="D374" s="37"/>
      <c r="E374" s="37"/>
      <c r="F374" s="37"/>
      <c r="G374" s="37"/>
    </row>
    <row r="375" ht="15.75" customHeight="1" spans="4:7">
      <c r="D375" s="37"/>
      <c r="E375" s="37"/>
      <c r="F375" s="37"/>
      <c r="G375" s="37"/>
    </row>
    <row r="376" ht="15.75" customHeight="1" spans="4:7">
      <c r="D376" s="37"/>
      <c r="E376" s="37"/>
      <c r="F376" s="37"/>
      <c r="G376" s="37"/>
    </row>
    <row r="377" ht="15.75" customHeight="1" spans="4:7">
      <c r="D377" s="37"/>
      <c r="E377" s="37"/>
      <c r="F377" s="37"/>
      <c r="G377" s="37"/>
    </row>
    <row r="378" ht="15.75" customHeight="1" spans="4:7">
      <c r="D378" s="37"/>
      <c r="E378" s="37"/>
      <c r="F378" s="37"/>
      <c r="G378" s="37"/>
    </row>
    <row r="379" ht="15.75" customHeight="1" spans="4:7">
      <c r="D379" s="37"/>
      <c r="E379" s="37"/>
      <c r="F379" s="37"/>
      <c r="G379" s="37"/>
    </row>
    <row r="380" ht="15.75" customHeight="1" spans="4:7">
      <c r="D380" s="37"/>
      <c r="E380" s="37"/>
      <c r="F380" s="37"/>
      <c r="G380" s="37"/>
    </row>
    <row r="381" ht="15.75" customHeight="1" spans="4:7">
      <c r="D381" s="37"/>
      <c r="E381" s="37"/>
      <c r="F381" s="37"/>
      <c r="G381" s="37"/>
    </row>
    <row r="382" ht="15.75" customHeight="1" spans="4:7">
      <c r="D382" s="37"/>
      <c r="E382" s="37"/>
      <c r="F382" s="37"/>
      <c r="G382" s="37"/>
    </row>
    <row r="383" ht="15.75" customHeight="1" spans="4:7">
      <c r="D383" s="37"/>
      <c r="E383" s="37"/>
      <c r="F383" s="37"/>
      <c r="G383" s="37"/>
    </row>
    <row r="384" ht="15.75" customHeight="1" spans="4:7">
      <c r="D384" s="37"/>
      <c r="E384" s="37"/>
      <c r="F384" s="37"/>
      <c r="G384" s="37"/>
    </row>
    <row r="385" ht="15.75" customHeight="1" spans="4:7">
      <c r="D385" s="37"/>
      <c r="E385" s="37"/>
      <c r="F385" s="37"/>
      <c r="G385" s="37"/>
    </row>
    <row r="386" ht="15.75" customHeight="1" spans="4:7">
      <c r="D386" s="37"/>
      <c r="E386" s="37"/>
      <c r="F386" s="37"/>
      <c r="G386" s="37"/>
    </row>
    <row r="387" ht="15.75" customHeight="1" spans="4:7">
      <c r="D387" s="37"/>
      <c r="E387" s="37"/>
      <c r="F387" s="37"/>
      <c r="G387" s="37"/>
    </row>
    <row r="388" ht="15.75" customHeight="1" spans="4:7">
      <c r="D388" s="37"/>
      <c r="E388" s="37"/>
      <c r="F388" s="37"/>
      <c r="G388" s="37"/>
    </row>
    <row r="389" ht="15.75" customHeight="1" spans="4:7">
      <c r="D389" s="37"/>
      <c r="E389" s="37"/>
      <c r="F389" s="37"/>
      <c r="G389" s="37"/>
    </row>
    <row r="390" ht="15.75" customHeight="1" spans="4:7">
      <c r="D390" s="37"/>
      <c r="E390" s="37"/>
      <c r="F390" s="37"/>
      <c r="G390" s="37"/>
    </row>
    <row r="391" ht="15.75" customHeight="1" spans="4:7">
      <c r="D391" s="37"/>
      <c r="E391" s="37"/>
      <c r="F391" s="37"/>
      <c r="G391" s="37"/>
    </row>
    <row r="392" ht="15.75" customHeight="1" spans="4:7">
      <c r="D392" s="37"/>
      <c r="E392" s="37"/>
      <c r="F392" s="37"/>
      <c r="G392" s="37"/>
    </row>
    <row r="393" ht="15.75" customHeight="1" spans="4:7">
      <c r="D393" s="37"/>
      <c r="E393" s="37"/>
      <c r="F393" s="37"/>
      <c r="G393" s="37"/>
    </row>
    <row r="394" ht="15.75" customHeight="1" spans="4:7">
      <c r="D394" s="37"/>
      <c r="E394" s="37"/>
      <c r="F394" s="37"/>
      <c r="G394" s="37"/>
    </row>
    <row r="395" ht="15.75" customHeight="1" spans="4:7">
      <c r="D395" s="37"/>
      <c r="E395" s="37"/>
      <c r="F395" s="37"/>
      <c r="G395" s="37"/>
    </row>
    <row r="396" ht="15.75" customHeight="1" spans="4:7">
      <c r="D396" s="37"/>
      <c r="E396" s="37"/>
      <c r="F396" s="37"/>
      <c r="G396" s="37"/>
    </row>
    <row r="397" ht="15.75" customHeight="1" spans="4:7">
      <c r="D397" s="37"/>
      <c r="E397" s="37"/>
      <c r="F397" s="37"/>
      <c r="G397" s="37"/>
    </row>
    <row r="398" ht="15.75" customHeight="1" spans="4:7">
      <c r="D398" s="37"/>
      <c r="E398" s="37"/>
      <c r="F398" s="37"/>
      <c r="G398" s="37"/>
    </row>
    <row r="399" ht="15.75" customHeight="1" spans="4:7">
      <c r="D399" s="37"/>
      <c r="E399" s="37"/>
      <c r="F399" s="37"/>
      <c r="G399" s="37"/>
    </row>
    <row r="400" ht="15.75" customHeight="1" spans="4:7">
      <c r="D400" s="37"/>
      <c r="E400" s="37"/>
      <c r="F400" s="37"/>
      <c r="G400" s="37"/>
    </row>
    <row r="401" ht="15.75" customHeight="1" spans="4:7">
      <c r="D401" s="37"/>
      <c r="E401" s="37"/>
      <c r="F401" s="37"/>
      <c r="G401" s="37"/>
    </row>
    <row r="402" ht="15.75" customHeight="1" spans="4:7">
      <c r="D402" s="37"/>
      <c r="E402" s="37"/>
      <c r="F402" s="37"/>
      <c r="G402" s="37"/>
    </row>
    <row r="403" ht="15.75" customHeight="1" spans="4:7">
      <c r="D403" s="37"/>
      <c r="E403" s="37"/>
      <c r="F403" s="37"/>
      <c r="G403" s="37"/>
    </row>
    <row r="404" ht="15.75" customHeight="1" spans="4:7">
      <c r="D404" s="37"/>
      <c r="E404" s="37"/>
      <c r="F404" s="37"/>
      <c r="G404" s="37"/>
    </row>
    <row r="405" ht="15.75" customHeight="1" spans="4:7">
      <c r="D405" s="37"/>
      <c r="E405" s="37"/>
      <c r="F405" s="37"/>
      <c r="G405" s="37"/>
    </row>
    <row r="406" ht="15.75" customHeight="1" spans="4:7">
      <c r="D406" s="37"/>
      <c r="E406" s="37"/>
      <c r="F406" s="37"/>
      <c r="G406" s="37"/>
    </row>
    <row r="407" ht="15.75" customHeight="1" spans="4:7">
      <c r="D407" s="37"/>
      <c r="E407" s="37"/>
      <c r="F407" s="37"/>
      <c r="G407" s="37"/>
    </row>
    <row r="408" ht="15.75" customHeight="1" spans="4:7">
      <c r="D408" s="37"/>
      <c r="E408" s="37"/>
      <c r="F408" s="37"/>
      <c r="G408" s="37"/>
    </row>
    <row r="409" ht="15.75" customHeight="1" spans="4:7">
      <c r="D409" s="37"/>
      <c r="E409" s="37"/>
      <c r="F409" s="37"/>
      <c r="G409" s="37"/>
    </row>
    <row r="410" ht="15.75" customHeight="1" spans="4:7">
      <c r="D410" s="37"/>
      <c r="E410" s="37"/>
      <c r="F410" s="37"/>
      <c r="G410" s="37"/>
    </row>
    <row r="411" ht="15.75" customHeight="1" spans="4:7">
      <c r="D411" s="37"/>
      <c r="E411" s="37"/>
      <c r="F411" s="37"/>
      <c r="G411" s="37"/>
    </row>
    <row r="412" ht="15.75" customHeight="1" spans="4:7">
      <c r="D412" s="37"/>
      <c r="E412" s="37"/>
      <c r="F412" s="37"/>
      <c r="G412" s="37"/>
    </row>
    <row r="413" ht="15.75" customHeight="1" spans="4:7">
      <c r="D413" s="37"/>
      <c r="E413" s="37"/>
      <c r="F413" s="37"/>
      <c r="G413" s="37"/>
    </row>
    <row r="414" ht="15.75" customHeight="1" spans="4:7">
      <c r="D414" s="37"/>
      <c r="E414" s="37"/>
      <c r="F414" s="37"/>
      <c r="G414" s="37"/>
    </row>
    <row r="415" ht="15.75" customHeight="1" spans="4:7">
      <c r="D415" s="37"/>
      <c r="E415" s="37"/>
      <c r="F415" s="37"/>
      <c r="G415" s="37"/>
    </row>
    <row r="416" ht="15.75" customHeight="1" spans="4:7">
      <c r="D416" s="37"/>
      <c r="E416" s="37"/>
      <c r="F416" s="37"/>
      <c r="G416" s="37"/>
    </row>
    <row r="417" ht="15.75" customHeight="1" spans="4:7">
      <c r="D417" s="37"/>
      <c r="E417" s="37"/>
      <c r="F417" s="37"/>
      <c r="G417" s="37"/>
    </row>
    <row r="418" ht="15.75" customHeight="1" spans="4:7">
      <c r="D418" s="37"/>
      <c r="E418" s="37"/>
      <c r="F418" s="37"/>
      <c r="G418" s="37"/>
    </row>
    <row r="419" ht="15.75" customHeight="1" spans="4:7">
      <c r="D419" s="37"/>
      <c r="E419" s="37"/>
      <c r="F419" s="37"/>
      <c r="G419" s="37"/>
    </row>
    <row r="420" ht="15.75" customHeight="1" spans="4:7">
      <c r="D420" s="37"/>
      <c r="E420" s="37"/>
      <c r="F420" s="37"/>
      <c r="G420" s="37"/>
    </row>
    <row r="421" ht="15.75" customHeight="1" spans="4:7">
      <c r="D421" s="37"/>
      <c r="E421" s="37"/>
      <c r="F421" s="37"/>
      <c r="G421" s="37"/>
    </row>
    <row r="422" ht="15.75" customHeight="1" spans="4:7">
      <c r="D422" s="37"/>
      <c r="E422" s="37"/>
      <c r="F422" s="37"/>
      <c r="G422" s="37"/>
    </row>
    <row r="423" ht="15.75" customHeight="1" spans="4:7">
      <c r="D423" s="37"/>
      <c r="E423" s="37"/>
      <c r="F423" s="37"/>
      <c r="G423" s="37"/>
    </row>
    <row r="424" ht="15.75" customHeight="1" spans="4:7">
      <c r="D424" s="37"/>
      <c r="E424" s="37"/>
      <c r="F424" s="37"/>
      <c r="G424" s="37"/>
    </row>
    <row r="425" ht="15.75" customHeight="1" spans="4:7">
      <c r="D425" s="37"/>
      <c r="E425" s="37"/>
      <c r="F425" s="37"/>
      <c r="G425" s="37"/>
    </row>
    <row r="426" ht="15.75" customHeight="1" spans="4:7">
      <c r="D426" s="37"/>
      <c r="E426" s="37"/>
      <c r="F426" s="37"/>
      <c r="G426" s="37"/>
    </row>
    <row r="427" ht="15.75" customHeight="1" spans="4:7">
      <c r="D427" s="37"/>
      <c r="E427" s="37"/>
      <c r="F427" s="37"/>
      <c r="G427" s="37"/>
    </row>
    <row r="428" ht="15.75" customHeight="1" spans="4:7">
      <c r="D428" s="37"/>
      <c r="E428" s="37"/>
      <c r="F428" s="37"/>
      <c r="G428" s="37"/>
    </row>
    <row r="429" ht="15.75" customHeight="1" spans="4:7">
      <c r="D429" s="37"/>
      <c r="E429" s="37"/>
      <c r="F429" s="37"/>
      <c r="G429" s="37"/>
    </row>
    <row r="430" ht="15.75" customHeight="1" spans="4:7">
      <c r="D430" s="37"/>
      <c r="E430" s="37"/>
      <c r="F430" s="37"/>
      <c r="G430" s="37"/>
    </row>
    <row r="431" ht="15.75" customHeight="1" spans="4:7">
      <c r="D431" s="37"/>
      <c r="E431" s="37"/>
      <c r="F431" s="37"/>
      <c r="G431" s="37"/>
    </row>
    <row r="432" ht="15.75" customHeight="1" spans="4:7">
      <c r="D432" s="37"/>
      <c r="E432" s="37"/>
      <c r="F432" s="37"/>
      <c r="G432" s="37"/>
    </row>
    <row r="433" ht="15.75" customHeight="1" spans="4:7">
      <c r="D433" s="37"/>
      <c r="E433" s="37"/>
      <c r="F433" s="37"/>
      <c r="G433" s="37"/>
    </row>
    <row r="434" ht="15.75" customHeight="1" spans="4:7">
      <c r="D434" s="37"/>
      <c r="E434" s="37"/>
      <c r="F434" s="37"/>
      <c r="G434" s="37"/>
    </row>
    <row r="435" ht="15.75" customHeight="1" spans="4:7">
      <c r="D435" s="37"/>
      <c r="E435" s="37"/>
      <c r="F435" s="37"/>
      <c r="G435" s="37"/>
    </row>
    <row r="436" ht="15.75" customHeight="1" spans="4:7">
      <c r="D436" s="37"/>
      <c r="E436" s="37"/>
      <c r="F436" s="37"/>
      <c r="G436" s="37"/>
    </row>
    <row r="437" ht="15.75" customHeight="1" spans="4:7">
      <c r="D437" s="37"/>
      <c r="E437" s="37"/>
      <c r="F437" s="37"/>
      <c r="G437" s="37"/>
    </row>
    <row r="438" ht="15.75" customHeight="1" spans="4:7">
      <c r="D438" s="37"/>
      <c r="E438" s="37"/>
      <c r="F438" s="37"/>
      <c r="G438" s="37"/>
    </row>
    <row r="439" ht="15.75" customHeight="1" spans="4:7">
      <c r="D439" s="37"/>
      <c r="E439" s="37"/>
      <c r="F439" s="37"/>
      <c r="G439" s="37"/>
    </row>
    <row r="440" ht="15.75" customHeight="1" spans="4:7">
      <c r="D440" s="37"/>
      <c r="E440" s="37"/>
      <c r="F440" s="37"/>
      <c r="G440" s="37"/>
    </row>
    <row r="441" ht="15.75" customHeight="1" spans="4:7">
      <c r="D441" s="37"/>
      <c r="E441" s="37"/>
      <c r="F441" s="37"/>
      <c r="G441" s="37"/>
    </row>
    <row r="442" ht="15.75" customHeight="1" spans="4:7">
      <c r="D442" s="37"/>
      <c r="E442" s="37"/>
      <c r="F442" s="37"/>
      <c r="G442" s="37"/>
    </row>
    <row r="443" ht="15.75" customHeight="1" spans="4:7">
      <c r="D443" s="37"/>
      <c r="E443" s="37"/>
      <c r="F443" s="37"/>
      <c r="G443" s="37"/>
    </row>
    <row r="444" ht="15.75" customHeight="1" spans="4:7">
      <c r="D444" s="37"/>
      <c r="E444" s="37"/>
      <c r="F444" s="37"/>
      <c r="G444" s="37"/>
    </row>
    <row r="445" ht="15.75" customHeight="1" spans="4:7">
      <c r="D445" s="37"/>
      <c r="E445" s="37"/>
      <c r="F445" s="37"/>
      <c r="G445" s="37"/>
    </row>
    <row r="446" ht="15.75" customHeight="1" spans="4:7">
      <c r="D446" s="37"/>
      <c r="E446" s="37"/>
      <c r="F446" s="37"/>
      <c r="G446" s="37"/>
    </row>
    <row r="447" ht="15.75" customHeight="1" spans="4:7">
      <c r="D447" s="37"/>
      <c r="E447" s="37"/>
      <c r="F447" s="37"/>
      <c r="G447" s="37"/>
    </row>
    <row r="448" ht="15.75" customHeight="1" spans="4:7">
      <c r="D448" s="37"/>
      <c r="E448" s="37"/>
      <c r="F448" s="37"/>
      <c r="G448" s="37"/>
    </row>
    <row r="449" ht="15.75" customHeight="1" spans="4:7">
      <c r="D449" s="37"/>
      <c r="E449" s="37"/>
      <c r="F449" s="37"/>
      <c r="G449" s="37"/>
    </row>
    <row r="450" ht="15.75" customHeight="1" spans="4:7">
      <c r="D450" s="37"/>
      <c r="E450" s="37"/>
      <c r="F450" s="37"/>
      <c r="G450" s="37"/>
    </row>
    <row r="451" ht="15.75" customHeight="1" spans="4:7">
      <c r="D451" s="37"/>
      <c r="E451" s="37"/>
      <c r="F451" s="37"/>
      <c r="G451" s="37"/>
    </row>
    <row r="452" ht="15.75" customHeight="1" spans="4:7">
      <c r="D452" s="37"/>
      <c r="E452" s="37"/>
      <c r="F452" s="37"/>
      <c r="G452" s="37"/>
    </row>
    <row r="453" ht="15.75" customHeight="1" spans="4:7">
      <c r="D453" s="37"/>
      <c r="E453" s="37"/>
      <c r="F453" s="37"/>
      <c r="G453" s="37"/>
    </row>
    <row r="454" ht="15.75" customHeight="1" spans="4:7">
      <c r="D454" s="37"/>
      <c r="E454" s="37"/>
      <c r="F454" s="37"/>
      <c r="G454" s="37"/>
    </row>
    <row r="455" ht="15.75" customHeight="1" spans="4:7">
      <c r="D455" s="37"/>
      <c r="E455" s="37"/>
      <c r="F455" s="37"/>
      <c r="G455" s="37"/>
    </row>
    <row r="456" ht="15.75" customHeight="1" spans="4:7">
      <c r="D456" s="37"/>
      <c r="E456" s="37"/>
      <c r="F456" s="37"/>
      <c r="G456" s="37"/>
    </row>
    <row r="457" ht="15.75" customHeight="1" spans="4:7">
      <c r="D457" s="37"/>
      <c r="E457" s="37"/>
      <c r="F457" s="37"/>
      <c r="G457" s="37"/>
    </row>
    <row r="458" ht="15.75" customHeight="1" spans="4:7">
      <c r="D458" s="37"/>
      <c r="E458" s="37"/>
      <c r="F458" s="37"/>
      <c r="G458" s="37"/>
    </row>
    <row r="459" ht="15.75" customHeight="1" spans="4:7">
      <c r="D459" s="37"/>
      <c r="E459" s="37"/>
      <c r="F459" s="37"/>
      <c r="G459" s="37"/>
    </row>
    <row r="460" ht="15.75" customHeight="1" spans="4:7">
      <c r="D460" s="37"/>
      <c r="E460" s="37"/>
      <c r="F460" s="37"/>
      <c r="G460" s="37"/>
    </row>
    <row r="461" ht="15.75" customHeight="1" spans="4:7">
      <c r="D461" s="37"/>
      <c r="E461" s="37"/>
      <c r="F461" s="37"/>
      <c r="G461" s="37"/>
    </row>
    <row r="462" ht="15.75" customHeight="1" spans="4:7">
      <c r="D462" s="37"/>
      <c r="E462" s="37"/>
      <c r="F462" s="37"/>
      <c r="G462" s="37"/>
    </row>
    <row r="463" ht="15.75" customHeight="1" spans="4:7">
      <c r="D463" s="37"/>
      <c r="E463" s="37"/>
      <c r="F463" s="37"/>
      <c r="G463" s="37"/>
    </row>
    <row r="464" ht="15.75" customHeight="1" spans="4:7">
      <c r="D464" s="37"/>
      <c r="E464" s="37"/>
      <c r="F464" s="37"/>
      <c r="G464" s="37"/>
    </row>
    <row r="465" ht="15.75" customHeight="1" spans="4:7">
      <c r="D465" s="37"/>
      <c r="E465" s="37"/>
      <c r="F465" s="37"/>
      <c r="G465" s="37"/>
    </row>
    <row r="466" ht="15.75" customHeight="1" spans="4:7">
      <c r="D466" s="37"/>
      <c r="E466" s="37"/>
      <c r="F466" s="37"/>
      <c r="G466" s="37"/>
    </row>
    <row r="467" ht="15.75" customHeight="1" spans="4:7">
      <c r="D467" s="37"/>
      <c r="E467" s="37"/>
      <c r="F467" s="37"/>
      <c r="G467" s="37"/>
    </row>
    <row r="468" ht="15.75" customHeight="1" spans="4:7">
      <c r="D468" s="37"/>
      <c r="E468" s="37"/>
      <c r="F468" s="37"/>
      <c r="G468" s="37"/>
    </row>
    <row r="469" ht="15.75" customHeight="1" spans="4:7">
      <c r="D469" s="37"/>
      <c r="E469" s="37"/>
      <c r="F469" s="37"/>
      <c r="G469" s="37"/>
    </row>
    <row r="470" ht="15.75" customHeight="1" spans="4:7">
      <c r="D470" s="37"/>
      <c r="E470" s="37"/>
      <c r="F470" s="37"/>
      <c r="G470" s="37"/>
    </row>
    <row r="471" ht="15.75" customHeight="1" spans="4:7">
      <c r="D471" s="37"/>
      <c r="E471" s="37"/>
      <c r="F471" s="37"/>
      <c r="G471" s="37"/>
    </row>
    <row r="472" ht="15.75" customHeight="1" spans="4:7">
      <c r="D472" s="37"/>
      <c r="E472" s="37"/>
      <c r="F472" s="37"/>
      <c r="G472" s="37"/>
    </row>
    <row r="473" ht="15.75" customHeight="1" spans="4:7">
      <c r="D473" s="37"/>
      <c r="E473" s="37"/>
      <c r="F473" s="37"/>
      <c r="G473" s="37"/>
    </row>
    <row r="474" ht="15.75" customHeight="1" spans="4:7">
      <c r="D474" s="37"/>
      <c r="E474" s="37"/>
      <c r="F474" s="37"/>
      <c r="G474" s="37"/>
    </row>
    <row r="475" ht="15.75" customHeight="1" spans="4:7">
      <c r="D475" s="37"/>
      <c r="E475" s="37"/>
      <c r="F475" s="37"/>
      <c r="G475" s="37"/>
    </row>
    <row r="476" ht="15.75" customHeight="1" spans="4:7">
      <c r="D476" s="37"/>
      <c r="E476" s="37"/>
      <c r="F476" s="37"/>
      <c r="G476" s="37"/>
    </row>
    <row r="477" ht="15.75" customHeight="1" spans="4:7">
      <c r="D477" s="37"/>
      <c r="E477" s="37"/>
      <c r="F477" s="37"/>
      <c r="G477" s="37"/>
    </row>
    <row r="478" ht="15.75" customHeight="1" spans="4:7">
      <c r="D478" s="37"/>
      <c r="E478" s="37"/>
      <c r="F478" s="37"/>
      <c r="G478" s="37"/>
    </row>
    <row r="479" ht="15.75" customHeight="1" spans="4:7">
      <c r="D479" s="37"/>
      <c r="E479" s="37"/>
      <c r="F479" s="37"/>
      <c r="G479" s="37"/>
    </row>
    <row r="480" ht="15.75" customHeight="1" spans="4:7">
      <c r="D480" s="37"/>
      <c r="E480" s="37"/>
      <c r="F480" s="37"/>
      <c r="G480" s="37"/>
    </row>
    <row r="481" ht="15.75" customHeight="1" spans="4:7">
      <c r="D481" s="37"/>
      <c r="E481" s="37"/>
      <c r="F481" s="37"/>
      <c r="G481" s="37"/>
    </row>
    <row r="482" ht="15.75" customHeight="1" spans="4:7">
      <c r="D482" s="37"/>
      <c r="E482" s="37"/>
      <c r="F482" s="37"/>
      <c r="G482" s="37"/>
    </row>
    <row r="483" ht="15.75" customHeight="1" spans="4:7">
      <c r="D483" s="37"/>
      <c r="E483" s="37"/>
      <c r="F483" s="37"/>
      <c r="G483" s="37"/>
    </row>
    <row r="484" ht="15.75" customHeight="1" spans="4:7">
      <c r="D484" s="37"/>
      <c r="E484" s="37"/>
      <c r="F484" s="37"/>
      <c r="G484" s="37"/>
    </row>
    <row r="485" ht="15.75" customHeight="1" spans="4:7">
      <c r="D485" s="37"/>
      <c r="E485" s="37"/>
      <c r="F485" s="37"/>
      <c r="G485" s="37"/>
    </row>
    <row r="486" ht="15.75" customHeight="1" spans="4:7">
      <c r="D486" s="37"/>
      <c r="E486" s="37"/>
      <c r="F486" s="37"/>
      <c r="G486" s="37"/>
    </row>
    <row r="487" ht="15.75" customHeight="1" spans="4:7">
      <c r="D487" s="37"/>
      <c r="E487" s="37"/>
      <c r="F487" s="37"/>
      <c r="G487" s="37"/>
    </row>
    <row r="488" ht="15.75" customHeight="1" spans="4:7">
      <c r="D488" s="37"/>
      <c r="E488" s="37"/>
      <c r="F488" s="37"/>
      <c r="G488" s="37"/>
    </row>
    <row r="489" ht="15.75" customHeight="1" spans="4:7">
      <c r="D489" s="37"/>
      <c r="E489" s="37"/>
      <c r="F489" s="37"/>
      <c r="G489" s="37"/>
    </row>
    <row r="490" ht="15.75" customHeight="1" spans="4:7">
      <c r="D490" s="37"/>
      <c r="E490" s="37"/>
      <c r="F490" s="37"/>
      <c r="G490" s="37"/>
    </row>
    <row r="491" ht="15.75" customHeight="1" spans="4:7">
      <c r="D491" s="37"/>
      <c r="E491" s="37"/>
      <c r="F491" s="37"/>
      <c r="G491" s="37"/>
    </row>
    <row r="492" ht="15.75" customHeight="1" spans="4:7">
      <c r="D492" s="37"/>
      <c r="E492" s="37"/>
      <c r="F492" s="37"/>
      <c r="G492" s="37"/>
    </row>
    <row r="493" ht="15.75" customHeight="1" spans="4:7">
      <c r="D493" s="37"/>
      <c r="E493" s="37"/>
      <c r="F493" s="37"/>
      <c r="G493" s="37"/>
    </row>
    <row r="494" ht="15.75" customHeight="1" spans="4:7">
      <c r="D494" s="37"/>
      <c r="E494" s="37"/>
      <c r="F494" s="37"/>
      <c r="G494" s="37"/>
    </row>
    <row r="495" ht="15.75" customHeight="1" spans="4:7">
      <c r="D495" s="37"/>
      <c r="E495" s="37"/>
      <c r="F495" s="37"/>
      <c r="G495" s="37"/>
    </row>
    <row r="496" ht="15.75" customHeight="1" spans="4:7">
      <c r="D496" s="37"/>
      <c r="E496" s="37"/>
      <c r="F496" s="37"/>
      <c r="G496" s="37"/>
    </row>
    <row r="497" ht="15.75" customHeight="1" spans="4:7">
      <c r="D497" s="37"/>
      <c r="E497" s="37"/>
      <c r="F497" s="37"/>
      <c r="G497" s="37"/>
    </row>
    <row r="498" ht="15.75" customHeight="1" spans="4:7">
      <c r="D498" s="37"/>
      <c r="E498" s="37"/>
      <c r="F498" s="37"/>
      <c r="G498" s="37"/>
    </row>
    <row r="499" ht="15.75" customHeight="1" spans="4:7">
      <c r="D499" s="37"/>
      <c r="E499" s="37"/>
      <c r="F499" s="37"/>
      <c r="G499" s="37"/>
    </row>
    <row r="500" ht="15.75" customHeight="1" spans="4:7">
      <c r="D500" s="37"/>
      <c r="E500" s="37"/>
      <c r="F500" s="37"/>
      <c r="G500" s="37"/>
    </row>
    <row r="501" ht="15.75" customHeight="1" spans="4:7">
      <c r="D501" s="37"/>
      <c r="E501" s="37"/>
      <c r="F501" s="37"/>
      <c r="G501" s="37"/>
    </row>
    <row r="502" ht="15.75" customHeight="1" spans="4:7">
      <c r="D502" s="37"/>
      <c r="E502" s="37"/>
      <c r="F502" s="37"/>
      <c r="G502" s="37"/>
    </row>
    <row r="503" ht="15.75" customHeight="1" spans="4:7">
      <c r="D503" s="37"/>
      <c r="E503" s="37"/>
      <c r="F503" s="37"/>
      <c r="G503" s="37"/>
    </row>
    <row r="504" ht="15.75" customHeight="1" spans="4:7">
      <c r="D504" s="37"/>
      <c r="E504" s="37"/>
      <c r="F504" s="37"/>
      <c r="G504" s="37"/>
    </row>
    <row r="505" ht="15.75" customHeight="1" spans="4:7">
      <c r="D505" s="37"/>
      <c r="E505" s="37"/>
      <c r="F505" s="37"/>
      <c r="G505" s="37"/>
    </row>
    <row r="506" ht="15.75" customHeight="1" spans="4:7">
      <c r="D506" s="37"/>
      <c r="E506" s="37"/>
      <c r="F506" s="37"/>
      <c r="G506" s="37"/>
    </row>
    <row r="507" ht="15.75" customHeight="1" spans="4:7">
      <c r="D507" s="37"/>
      <c r="E507" s="37"/>
      <c r="F507" s="37"/>
      <c r="G507" s="37"/>
    </row>
    <row r="508" ht="15.75" customHeight="1" spans="4:7">
      <c r="D508" s="37"/>
      <c r="E508" s="37"/>
      <c r="F508" s="37"/>
      <c r="G508" s="37"/>
    </row>
    <row r="509" ht="15.75" customHeight="1" spans="4:7">
      <c r="D509" s="37"/>
      <c r="E509" s="37"/>
      <c r="F509" s="37"/>
      <c r="G509" s="37"/>
    </row>
    <row r="510" ht="15.75" customHeight="1" spans="4:7">
      <c r="D510" s="37"/>
      <c r="E510" s="37"/>
      <c r="F510" s="37"/>
      <c r="G510" s="37"/>
    </row>
    <row r="511" ht="15.75" customHeight="1" spans="4:7">
      <c r="D511" s="37"/>
      <c r="E511" s="37"/>
      <c r="F511" s="37"/>
      <c r="G511" s="37"/>
    </row>
    <row r="512" ht="15.75" customHeight="1" spans="4:7">
      <c r="D512" s="37"/>
      <c r="E512" s="37"/>
      <c r="F512" s="37"/>
      <c r="G512" s="37"/>
    </row>
    <row r="513" ht="15.75" customHeight="1" spans="4:7">
      <c r="D513" s="37"/>
      <c r="E513" s="37"/>
      <c r="F513" s="37"/>
      <c r="G513" s="37"/>
    </row>
    <row r="514" ht="15.75" customHeight="1" spans="4:7">
      <c r="D514" s="37"/>
      <c r="E514" s="37"/>
      <c r="F514" s="37"/>
      <c r="G514" s="37"/>
    </row>
    <row r="515" ht="15.75" customHeight="1" spans="4:7">
      <c r="D515" s="37"/>
      <c r="E515" s="37"/>
      <c r="F515" s="37"/>
      <c r="G515" s="37"/>
    </row>
    <row r="516" ht="15.75" customHeight="1" spans="4:7">
      <c r="D516" s="37"/>
      <c r="E516" s="37"/>
      <c r="F516" s="37"/>
      <c r="G516" s="37"/>
    </row>
    <row r="517" ht="15.75" customHeight="1" spans="4:7">
      <c r="D517" s="37"/>
      <c r="E517" s="37"/>
      <c r="F517" s="37"/>
      <c r="G517" s="37"/>
    </row>
    <row r="518" ht="15.75" customHeight="1" spans="4:7">
      <c r="D518" s="37"/>
      <c r="E518" s="37"/>
      <c r="F518" s="37"/>
      <c r="G518" s="37"/>
    </row>
    <row r="519" ht="15.75" customHeight="1" spans="4:7">
      <c r="D519" s="37"/>
      <c r="E519" s="37"/>
      <c r="F519" s="37"/>
      <c r="G519" s="37"/>
    </row>
    <row r="520" ht="15.75" customHeight="1" spans="4:7">
      <c r="D520" s="37"/>
      <c r="E520" s="37"/>
      <c r="F520" s="37"/>
      <c r="G520" s="37"/>
    </row>
    <row r="521" ht="15.75" customHeight="1" spans="4:7">
      <c r="D521" s="37"/>
      <c r="E521" s="37"/>
      <c r="F521" s="37"/>
      <c r="G521" s="37"/>
    </row>
    <row r="522" ht="15.75" customHeight="1" spans="4:7">
      <c r="D522" s="37"/>
      <c r="E522" s="37"/>
      <c r="F522" s="37"/>
      <c r="G522" s="37"/>
    </row>
    <row r="523" ht="15.75" customHeight="1" spans="4:7">
      <c r="D523" s="37"/>
      <c r="E523" s="37"/>
      <c r="F523" s="37"/>
      <c r="G523" s="37"/>
    </row>
    <row r="524" ht="15.75" customHeight="1" spans="4:7">
      <c r="D524" s="37"/>
      <c r="E524" s="37"/>
      <c r="F524" s="37"/>
      <c r="G524" s="37"/>
    </row>
    <row r="525" ht="15.75" customHeight="1" spans="4:7">
      <c r="D525" s="37"/>
      <c r="E525" s="37"/>
      <c r="F525" s="37"/>
      <c r="G525" s="37"/>
    </row>
    <row r="526" ht="15.75" customHeight="1" spans="4:7">
      <c r="D526" s="37"/>
      <c r="E526" s="37"/>
      <c r="F526" s="37"/>
      <c r="G526" s="37"/>
    </row>
    <row r="527" ht="15.75" customHeight="1" spans="4:7">
      <c r="D527" s="37"/>
      <c r="E527" s="37"/>
      <c r="F527" s="37"/>
      <c r="G527" s="37"/>
    </row>
    <row r="528" ht="15.75" customHeight="1" spans="4:7">
      <c r="D528" s="37"/>
      <c r="E528" s="37"/>
      <c r="F528" s="37"/>
      <c r="G528" s="37"/>
    </row>
    <row r="529" ht="15.75" customHeight="1" spans="4:7">
      <c r="D529" s="37"/>
      <c r="E529" s="37"/>
      <c r="F529" s="37"/>
      <c r="G529" s="37"/>
    </row>
    <row r="530" ht="15.75" customHeight="1" spans="4:7">
      <c r="D530" s="37"/>
      <c r="E530" s="37"/>
      <c r="F530" s="37"/>
      <c r="G530" s="37"/>
    </row>
    <row r="531" ht="15.75" customHeight="1" spans="4:7">
      <c r="D531" s="37"/>
      <c r="E531" s="37"/>
      <c r="F531" s="37"/>
      <c r="G531" s="37"/>
    </row>
    <row r="532" ht="15.75" customHeight="1" spans="4:7">
      <c r="D532" s="37"/>
      <c r="E532" s="37"/>
      <c r="F532" s="37"/>
      <c r="G532" s="37"/>
    </row>
    <row r="533" ht="15.75" customHeight="1" spans="4:7">
      <c r="D533" s="37"/>
      <c r="E533" s="37"/>
      <c r="F533" s="37"/>
      <c r="G533" s="37"/>
    </row>
    <row r="534" ht="15.75" customHeight="1" spans="4:7">
      <c r="D534" s="37"/>
      <c r="E534" s="37"/>
      <c r="F534" s="37"/>
      <c r="G534" s="37"/>
    </row>
    <row r="535" ht="15.75" customHeight="1" spans="4:7">
      <c r="D535" s="37"/>
      <c r="E535" s="37"/>
      <c r="F535" s="37"/>
      <c r="G535" s="37"/>
    </row>
    <row r="536" ht="15.75" customHeight="1" spans="4:7">
      <c r="D536" s="37"/>
      <c r="E536" s="37"/>
      <c r="F536" s="37"/>
      <c r="G536" s="37"/>
    </row>
    <row r="537" ht="15.75" customHeight="1" spans="4:7">
      <c r="D537" s="37"/>
      <c r="E537" s="37"/>
      <c r="F537" s="37"/>
      <c r="G537" s="37"/>
    </row>
    <row r="538" ht="15.75" customHeight="1" spans="4:7">
      <c r="D538" s="37"/>
      <c r="E538" s="37"/>
      <c r="F538" s="37"/>
      <c r="G538" s="37"/>
    </row>
    <row r="539" ht="15.75" customHeight="1" spans="4:7">
      <c r="D539" s="37"/>
      <c r="E539" s="37"/>
      <c r="F539" s="37"/>
      <c r="G539" s="37"/>
    </row>
    <row r="540" ht="15.75" customHeight="1" spans="4:7">
      <c r="D540" s="37"/>
      <c r="E540" s="37"/>
      <c r="F540" s="37"/>
      <c r="G540" s="37"/>
    </row>
    <row r="541" ht="15.75" customHeight="1" spans="4:7">
      <c r="D541" s="37"/>
      <c r="E541" s="37"/>
      <c r="F541" s="37"/>
      <c r="G541" s="37"/>
    </row>
    <row r="542" ht="15.75" customHeight="1" spans="4:7">
      <c r="D542" s="37"/>
      <c r="E542" s="37"/>
      <c r="F542" s="37"/>
      <c r="G542" s="37"/>
    </row>
    <row r="543" ht="15.75" customHeight="1" spans="4:7">
      <c r="D543" s="37"/>
      <c r="E543" s="37"/>
      <c r="F543" s="37"/>
      <c r="G543" s="37"/>
    </row>
    <row r="544" ht="15.75" customHeight="1" spans="4:7">
      <c r="D544" s="37"/>
      <c r="E544" s="37"/>
      <c r="F544" s="37"/>
      <c r="G544" s="37"/>
    </row>
    <row r="545" ht="15.75" customHeight="1" spans="4:7">
      <c r="D545" s="37"/>
      <c r="E545" s="37"/>
      <c r="F545" s="37"/>
      <c r="G545" s="37"/>
    </row>
    <row r="546" ht="15.75" customHeight="1" spans="4:7">
      <c r="D546" s="37"/>
      <c r="E546" s="37"/>
      <c r="F546" s="37"/>
      <c r="G546" s="37"/>
    </row>
    <row r="547" ht="15.75" customHeight="1" spans="4:7">
      <c r="D547" s="37"/>
      <c r="E547" s="37"/>
      <c r="F547" s="37"/>
      <c r="G547" s="37"/>
    </row>
    <row r="548" ht="15.75" customHeight="1" spans="4:7">
      <c r="D548" s="37"/>
      <c r="E548" s="37"/>
      <c r="F548" s="37"/>
      <c r="G548" s="37"/>
    </row>
    <row r="549" ht="15.75" customHeight="1" spans="4:7">
      <c r="D549" s="37"/>
      <c r="E549" s="37"/>
      <c r="F549" s="37"/>
      <c r="G549" s="37"/>
    </row>
    <row r="550" ht="15.75" customHeight="1" spans="4:7">
      <c r="D550" s="37"/>
      <c r="E550" s="37"/>
      <c r="F550" s="37"/>
      <c r="G550" s="37"/>
    </row>
    <row r="551" ht="15.75" customHeight="1" spans="4:7">
      <c r="D551" s="37"/>
      <c r="E551" s="37"/>
      <c r="F551" s="37"/>
      <c r="G551" s="37"/>
    </row>
    <row r="552" ht="15.75" customHeight="1" spans="4:7">
      <c r="D552" s="37"/>
      <c r="E552" s="37"/>
      <c r="F552" s="37"/>
      <c r="G552" s="37"/>
    </row>
    <row r="553" ht="15.75" customHeight="1" spans="4:7">
      <c r="D553" s="37"/>
      <c r="E553" s="37"/>
      <c r="F553" s="37"/>
      <c r="G553" s="37"/>
    </row>
    <row r="554" ht="15.75" customHeight="1" spans="4:7">
      <c r="D554" s="37"/>
      <c r="E554" s="37"/>
      <c r="F554" s="37"/>
      <c r="G554" s="37"/>
    </row>
    <row r="555" ht="15.75" customHeight="1" spans="4:7">
      <c r="D555" s="37"/>
      <c r="E555" s="37"/>
      <c r="F555" s="37"/>
      <c r="G555" s="37"/>
    </row>
    <row r="556" ht="15.75" customHeight="1" spans="4:7">
      <c r="D556" s="37"/>
      <c r="E556" s="37"/>
      <c r="F556" s="37"/>
      <c r="G556" s="37"/>
    </row>
    <row r="557" ht="15.75" customHeight="1" spans="4:7">
      <c r="D557" s="37"/>
      <c r="E557" s="37"/>
      <c r="F557" s="37"/>
      <c r="G557" s="37"/>
    </row>
    <row r="558" ht="15.75" customHeight="1" spans="4:7">
      <c r="D558" s="37"/>
      <c r="E558" s="37"/>
      <c r="F558" s="37"/>
      <c r="G558" s="37"/>
    </row>
    <row r="559" ht="15.75" customHeight="1" spans="4:7">
      <c r="D559" s="37"/>
      <c r="E559" s="37"/>
      <c r="F559" s="37"/>
      <c r="G559" s="37"/>
    </row>
    <row r="560" ht="15.75" customHeight="1" spans="4:7">
      <c r="D560" s="37"/>
      <c r="E560" s="37"/>
      <c r="F560" s="37"/>
      <c r="G560" s="37"/>
    </row>
    <row r="561" ht="15.75" customHeight="1" spans="4:7">
      <c r="D561" s="37"/>
      <c r="E561" s="37"/>
      <c r="F561" s="37"/>
      <c r="G561" s="37"/>
    </row>
    <row r="562" ht="15.75" customHeight="1" spans="4:7">
      <c r="D562" s="37"/>
      <c r="E562" s="37"/>
      <c r="F562" s="37"/>
      <c r="G562" s="37"/>
    </row>
    <row r="563" ht="15.75" customHeight="1" spans="4:7">
      <c r="D563" s="37"/>
      <c r="E563" s="37"/>
      <c r="F563" s="37"/>
      <c r="G563" s="37"/>
    </row>
    <row r="564" ht="15.75" customHeight="1" spans="4:7">
      <c r="D564" s="37"/>
      <c r="E564" s="37"/>
      <c r="F564" s="37"/>
      <c r="G564" s="37"/>
    </row>
    <row r="565" ht="15.75" customHeight="1" spans="4:7">
      <c r="D565" s="37"/>
      <c r="E565" s="37"/>
      <c r="F565" s="37"/>
      <c r="G565" s="37"/>
    </row>
    <row r="566" ht="15.75" customHeight="1" spans="4:7">
      <c r="D566" s="37"/>
      <c r="E566" s="37"/>
      <c r="F566" s="37"/>
      <c r="G566" s="37"/>
    </row>
    <row r="567" ht="15.75" customHeight="1" spans="4:7">
      <c r="D567" s="37"/>
      <c r="E567" s="37"/>
      <c r="F567" s="37"/>
      <c r="G567" s="37"/>
    </row>
    <row r="568" ht="15.75" customHeight="1" spans="4:7">
      <c r="D568" s="37"/>
      <c r="E568" s="37"/>
      <c r="F568" s="37"/>
      <c r="G568" s="37"/>
    </row>
    <row r="569" ht="15.75" customHeight="1" spans="4:7">
      <c r="D569" s="37"/>
      <c r="E569" s="37"/>
      <c r="F569" s="37"/>
      <c r="G569" s="37"/>
    </row>
    <row r="570" ht="15.75" customHeight="1" spans="4:7">
      <c r="D570" s="37"/>
      <c r="E570" s="37"/>
      <c r="F570" s="37"/>
      <c r="G570" s="37"/>
    </row>
    <row r="571" ht="15.75" customHeight="1" spans="4:7">
      <c r="D571" s="37"/>
      <c r="E571" s="37"/>
      <c r="F571" s="37"/>
      <c r="G571" s="37"/>
    </row>
    <row r="572" ht="15.75" customHeight="1" spans="4:7">
      <c r="D572" s="37"/>
      <c r="E572" s="37"/>
      <c r="F572" s="37"/>
      <c r="G572" s="37"/>
    </row>
    <row r="573" ht="15.75" customHeight="1" spans="4:7">
      <c r="D573" s="37"/>
      <c r="E573" s="37"/>
      <c r="F573" s="37"/>
      <c r="G573" s="37"/>
    </row>
    <row r="574" ht="15.75" customHeight="1" spans="4:7">
      <c r="D574" s="37"/>
      <c r="E574" s="37"/>
      <c r="F574" s="37"/>
      <c r="G574" s="37"/>
    </row>
    <row r="575" ht="15.75" customHeight="1" spans="4:7">
      <c r="D575" s="37"/>
      <c r="E575" s="37"/>
      <c r="F575" s="37"/>
      <c r="G575" s="37"/>
    </row>
    <row r="576" ht="15.75" customHeight="1" spans="4:7">
      <c r="D576" s="37"/>
      <c r="E576" s="37"/>
      <c r="F576" s="37"/>
      <c r="G576" s="37"/>
    </row>
    <row r="577" ht="15.75" customHeight="1" spans="4:7">
      <c r="D577" s="37"/>
      <c r="E577" s="37"/>
      <c r="F577" s="37"/>
      <c r="G577" s="37"/>
    </row>
    <row r="578" ht="15.75" customHeight="1" spans="4:7">
      <c r="D578" s="37"/>
      <c r="E578" s="37"/>
      <c r="F578" s="37"/>
      <c r="G578" s="37"/>
    </row>
    <row r="579" ht="15.75" customHeight="1" spans="4:7">
      <c r="D579" s="37"/>
      <c r="E579" s="37"/>
      <c r="F579" s="37"/>
      <c r="G579" s="37"/>
    </row>
    <row r="580" ht="15.75" customHeight="1" spans="4:7">
      <c r="D580" s="37"/>
      <c r="E580" s="37"/>
      <c r="F580" s="37"/>
      <c r="G580" s="37"/>
    </row>
    <row r="581" ht="15.75" customHeight="1" spans="4:7">
      <c r="D581" s="37"/>
      <c r="E581" s="37"/>
      <c r="F581" s="37"/>
      <c r="G581" s="37"/>
    </row>
    <row r="582" ht="15.75" customHeight="1" spans="4:7">
      <c r="D582" s="37"/>
      <c r="E582" s="37"/>
      <c r="F582" s="37"/>
      <c r="G582" s="37"/>
    </row>
    <row r="583" ht="15.75" customHeight="1" spans="4:7">
      <c r="D583" s="37"/>
      <c r="E583" s="37"/>
      <c r="F583" s="37"/>
      <c r="G583" s="37"/>
    </row>
    <row r="584" ht="15.75" customHeight="1" spans="4:7">
      <c r="D584" s="37"/>
      <c r="E584" s="37"/>
      <c r="F584" s="37"/>
      <c r="G584" s="37"/>
    </row>
    <row r="585" ht="15.75" customHeight="1" spans="4:7">
      <c r="D585" s="37"/>
      <c r="E585" s="37"/>
      <c r="F585" s="37"/>
      <c r="G585" s="37"/>
    </row>
    <row r="586" ht="15.75" customHeight="1" spans="4:7">
      <c r="D586" s="37"/>
      <c r="E586" s="37"/>
      <c r="F586" s="37"/>
      <c r="G586" s="37"/>
    </row>
    <row r="587" ht="15.75" customHeight="1" spans="4:7">
      <c r="D587" s="37"/>
      <c r="E587" s="37"/>
      <c r="F587" s="37"/>
      <c r="G587" s="37"/>
    </row>
    <row r="588" ht="15.75" customHeight="1" spans="4:7">
      <c r="D588" s="37"/>
      <c r="E588" s="37"/>
      <c r="F588" s="37"/>
      <c r="G588" s="37"/>
    </row>
    <row r="589" ht="15.75" customHeight="1" spans="4:7">
      <c r="D589" s="37"/>
      <c r="E589" s="37"/>
      <c r="F589" s="37"/>
      <c r="G589" s="37"/>
    </row>
    <row r="590" ht="15.75" customHeight="1" spans="4:7">
      <c r="D590" s="37"/>
      <c r="E590" s="37"/>
      <c r="F590" s="37"/>
      <c r="G590" s="37"/>
    </row>
    <row r="591" ht="15.75" customHeight="1" spans="4:7">
      <c r="D591" s="37"/>
      <c r="E591" s="37"/>
      <c r="F591" s="37"/>
      <c r="G591" s="37"/>
    </row>
    <row r="592" ht="15.75" customHeight="1" spans="4:7">
      <c r="D592" s="37"/>
      <c r="E592" s="37"/>
      <c r="F592" s="37"/>
      <c r="G592" s="37"/>
    </row>
    <row r="593" ht="15.75" customHeight="1" spans="4:7">
      <c r="D593" s="37"/>
      <c r="E593" s="37"/>
      <c r="F593" s="37"/>
      <c r="G593" s="37"/>
    </row>
    <row r="594" ht="15.75" customHeight="1" spans="4:7">
      <c r="D594" s="37"/>
      <c r="E594" s="37"/>
      <c r="F594" s="37"/>
      <c r="G594" s="37"/>
    </row>
    <row r="595" ht="15.75" customHeight="1" spans="4:7">
      <c r="D595" s="37"/>
      <c r="E595" s="37"/>
      <c r="F595" s="37"/>
      <c r="G595" s="37"/>
    </row>
    <row r="596" ht="15.75" customHeight="1" spans="4:7">
      <c r="D596" s="37"/>
      <c r="E596" s="37"/>
      <c r="F596" s="37"/>
      <c r="G596" s="37"/>
    </row>
    <row r="597" ht="15.75" customHeight="1" spans="4:7">
      <c r="D597" s="37"/>
      <c r="E597" s="37"/>
      <c r="F597" s="37"/>
      <c r="G597" s="37"/>
    </row>
    <row r="598" ht="15.75" customHeight="1" spans="4:7">
      <c r="D598" s="37"/>
      <c r="E598" s="37"/>
      <c r="F598" s="37"/>
      <c r="G598" s="37"/>
    </row>
    <row r="599" ht="15.75" customHeight="1" spans="4:7">
      <c r="D599" s="37"/>
      <c r="E599" s="37"/>
      <c r="F599" s="37"/>
      <c r="G599" s="37"/>
    </row>
    <row r="600" ht="15.75" customHeight="1" spans="4:7">
      <c r="D600" s="37"/>
      <c r="E600" s="37"/>
      <c r="F600" s="37"/>
      <c r="G600" s="37"/>
    </row>
    <row r="601" ht="15.75" customHeight="1" spans="4:7">
      <c r="D601" s="37"/>
      <c r="E601" s="37"/>
      <c r="F601" s="37"/>
      <c r="G601" s="37"/>
    </row>
    <row r="602" ht="15.75" customHeight="1" spans="4:7">
      <c r="D602" s="37"/>
      <c r="E602" s="37"/>
      <c r="F602" s="37"/>
      <c r="G602" s="37"/>
    </row>
    <row r="603" ht="15.75" customHeight="1" spans="4:7">
      <c r="D603" s="37"/>
      <c r="E603" s="37"/>
      <c r="F603" s="37"/>
      <c r="G603" s="37"/>
    </row>
    <row r="604" ht="15.75" customHeight="1" spans="4:7">
      <c r="D604" s="37"/>
      <c r="E604" s="37"/>
      <c r="F604" s="37"/>
      <c r="G604" s="37"/>
    </row>
    <row r="605" ht="15.75" customHeight="1" spans="4:7">
      <c r="D605" s="37"/>
      <c r="E605" s="37"/>
      <c r="F605" s="37"/>
      <c r="G605" s="37"/>
    </row>
    <row r="606" ht="15.75" customHeight="1" spans="4:7">
      <c r="D606" s="37"/>
      <c r="E606" s="37"/>
      <c r="F606" s="37"/>
      <c r="G606" s="37"/>
    </row>
    <row r="607" ht="15.75" customHeight="1" spans="4:7">
      <c r="D607" s="37"/>
      <c r="E607" s="37"/>
      <c r="F607" s="37"/>
      <c r="G607" s="37"/>
    </row>
    <row r="608" ht="15.75" customHeight="1" spans="4:7">
      <c r="D608" s="37"/>
      <c r="E608" s="37"/>
      <c r="F608" s="37"/>
      <c r="G608" s="37"/>
    </row>
    <row r="609" ht="15.75" customHeight="1" spans="4:7">
      <c r="D609" s="37"/>
      <c r="E609" s="37"/>
      <c r="F609" s="37"/>
      <c r="G609" s="37"/>
    </row>
    <row r="610" ht="15.75" customHeight="1" spans="4:7">
      <c r="D610" s="37"/>
      <c r="E610" s="37"/>
      <c r="F610" s="37"/>
      <c r="G610" s="37"/>
    </row>
    <row r="611" ht="15.75" customHeight="1" spans="4:7">
      <c r="D611" s="37"/>
      <c r="E611" s="37"/>
      <c r="F611" s="37"/>
      <c r="G611" s="37"/>
    </row>
    <row r="612" ht="15.75" customHeight="1" spans="4:7">
      <c r="D612" s="37"/>
      <c r="E612" s="37"/>
      <c r="F612" s="37"/>
      <c r="G612" s="37"/>
    </row>
    <row r="613" ht="15.75" customHeight="1" spans="4:7">
      <c r="D613" s="37"/>
      <c r="E613" s="37"/>
      <c r="F613" s="37"/>
      <c r="G613" s="37"/>
    </row>
    <row r="614" ht="15.75" customHeight="1" spans="4:7">
      <c r="D614" s="37"/>
      <c r="E614" s="37"/>
      <c r="F614" s="37"/>
      <c r="G614" s="37"/>
    </row>
    <row r="615" ht="15.75" customHeight="1" spans="4:7">
      <c r="D615" s="37"/>
      <c r="E615" s="37"/>
      <c r="F615" s="37"/>
      <c r="G615" s="37"/>
    </row>
    <row r="616" ht="15.75" customHeight="1" spans="4:7">
      <c r="D616" s="37"/>
      <c r="E616" s="37"/>
      <c r="F616" s="37"/>
      <c r="G616" s="37"/>
    </row>
    <row r="617" ht="15.75" customHeight="1" spans="4:7">
      <c r="D617" s="37"/>
      <c r="E617" s="37"/>
      <c r="F617" s="37"/>
      <c r="G617" s="37"/>
    </row>
    <row r="618" ht="15.75" customHeight="1" spans="4:7">
      <c r="D618" s="37"/>
      <c r="E618" s="37"/>
      <c r="F618" s="37"/>
      <c r="G618" s="37"/>
    </row>
    <row r="619" ht="15.75" customHeight="1" spans="4:7">
      <c r="D619" s="37"/>
      <c r="E619" s="37"/>
      <c r="F619" s="37"/>
      <c r="G619" s="37"/>
    </row>
    <row r="620" ht="15.75" customHeight="1" spans="4:7">
      <c r="D620" s="37"/>
      <c r="E620" s="37"/>
      <c r="F620" s="37"/>
      <c r="G620" s="37"/>
    </row>
    <row r="621" ht="15.75" customHeight="1" spans="4:7">
      <c r="D621" s="37"/>
      <c r="E621" s="37"/>
      <c r="F621" s="37"/>
      <c r="G621" s="37"/>
    </row>
    <row r="622" ht="15.75" customHeight="1" spans="4:7">
      <c r="D622" s="37"/>
      <c r="E622" s="37"/>
      <c r="F622" s="37"/>
      <c r="G622" s="37"/>
    </row>
    <row r="623" ht="15.75" customHeight="1" spans="4:7">
      <c r="D623" s="37"/>
      <c r="E623" s="37"/>
      <c r="F623" s="37"/>
      <c r="G623" s="37"/>
    </row>
    <row r="624" ht="15.75" customHeight="1" spans="4:7">
      <c r="D624" s="37"/>
      <c r="E624" s="37"/>
      <c r="F624" s="37"/>
      <c r="G624" s="37"/>
    </row>
    <row r="625" ht="15.75" customHeight="1" spans="4:7">
      <c r="D625" s="37"/>
      <c r="E625" s="37"/>
      <c r="F625" s="37"/>
      <c r="G625" s="37"/>
    </row>
    <row r="626" ht="15.75" customHeight="1" spans="4:7">
      <c r="D626" s="37"/>
      <c r="E626" s="37"/>
      <c r="F626" s="37"/>
      <c r="G626" s="37"/>
    </row>
    <row r="627" ht="15.75" customHeight="1" spans="4:7">
      <c r="D627" s="37"/>
      <c r="E627" s="37"/>
      <c r="F627" s="37"/>
      <c r="G627" s="37"/>
    </row>
    <row r="628" ht="15.75" customHeight="1" spans="4:7">
      <c r="D628" s="37"/>
      <c r="E628" s="37"/>
      <c r="F628" s="37"/>
      <c r="G628" s="37"/>
    </row>
    <row r="629" ht="15.75" customHeight="1" spans="4:7">
      <c r="D629" s="37"/>
      <c r="E629" s="37"/>
      <c r="F629" s="37"/>
      <c r="G629" s="37"/>
    </row>
    <row r="630" ht="15.75" customHeight="1" spans="4:7">
      <c r="D630" s="37"/>
      <c r="E630" s="37"/>
      <c r="F630" s="37"/>
      <c r="G630" s="37"/>
    </row>
    <row r="631" ht="15.75" customHeight="1" spans="4:7">
      <c r="D631" s="37"/>
      <c r="E631" s="37"/>
      <c r="F631" s="37"/>
      <c r="G631" s="37"/>
    </row>
    <row r="632" ht="15.75" customHeight="1" spans="4:7">
      <c r="D632" s="37"/>
      <c r="E632" s="37"/>
      <c r="F632" s="37"/>
      <c r="G632" s="37"/>
    </row>
    <row r="633" ht="15.75" customHeight="1" spans="4:7">
      <c r="D633" s="37"/>
      <c r="E633" s="37"/>
      <c r="F633" s="37"/>
      <c r="G633" s="37"/>
    </row>
    <row r="634" ht="15.75" customHeight="1" spans="4:7">
      <c r="D634" s="37"/>
      <c r="E634" s="37"/>
      <c r="F634" s="37"/>
      <c r="G634" s="37"/>
    </row>
    <row r="635" ht="15.75" customHeight="1" spans="4:7">
      <c r="D635" s="37"/>
      <c r="E635" s="37"/>
      <c r="F635" s="37"/>
      <c r="G635" s="37"/>
    </row>
    <row r="636" ht="15.75" customHeight="1" spans="4:7">
      <c r="D636" s="37"/>
      <c r="E636" s="37"/>
      <c r="F636" s="37"/>
      <c r="G636" s="37"/>
    </row>
    <row r="637" ht="15.75" customHeight="1" spans="4:7">
      <c r="D637" s="37"/>
      <c r="E637" s="37"/>
      <c r="F637" s="37"/>
      <c r="G637" s="37"/>
    </row>
    <row r="638" ht="15.75" customHeight="1" spans="4:7">
      <c r="D638" s="37"/>
      <c r="E638" s="37"/>
      <c r="F638" s="37"/>
      <c r="G638" s="37"/>
    </row>
    <row r="639" ht="15.75" customHeight="1" spans="4:7">
      <c r="D639" s="37"/>
      <c r="E639" s="37"/>
      <c r="F639" s="37"/>
      <c r="G639" s="37"/>
    </row>
    <row r="640" ht="15.75" customHeight="1" spans="4:7">
      <c r="D640" s="37"/>
      <c r="E640" s="37"/>
      <c r="F640" s="37"/>
      <c r="G640" s="37"/>
    </row>
    <row r="641" ht="15.75" customHeight="1" spans="4:7">
      <c r="D641" s="37"/>
      <c r="E641" s="37"/>
      <c r="F641" s="37"/>
      <c r="G641" s="37"/>
    </row>
    <row r="642" ht="15.75" customHeight="1" spans="4:7">
      <c r="D642" s="37"/>
      <c r="E642" s="37"/>
      <c r="F642" s="37"/>
      <c r="G642" s="37"/>
    </row>
    <row r="643" ht="15.75" customHeight="1" spans="4:7">
      <c r="D643" s="37"/>
      <c r="E643" s="37"/>
      <c r="F643" s="37"/>
      <c r="G643" s="37"/>
    </row>
    <row r="644" ht="15.75" customHeight="1" spans="4:7">
      <c r="D644" s="37"/>
      <c r="E644" s="37"/>
      <c r="F644" s="37"/>
      <c r="G644" s="37"/>
    </row>
    <row r="645" ht="15.75" customHeight="1" spans="4:7">
      <c r="D645" s="37"/>
      <c r="E645" s="37"/>
      <c r="F645" s="37"/>
      <c r="G645" s="37"/>
    </row>
    <row r="646" ht="15.75" customHeight="1" spans="4:7">
      <c r="D646" s="37"/>
      <c r="E646" s="37"/>
      <c r="F646" s="37"/>
      <c r="G646" s="37"/>
    </row>
    <row r="647" ht="15.75" customHeight="1" spans="4:7">
      <c r="D647" s="37"/>
      <c r="E647" s="37"/>
      <c r="F647" s="37"/>
      <c r="G647" s="37"/>
    </row>
    <row r="648" ht="15.75" customHeight="1" spans="4:7">
      <c r="D648" s="37"/>
      <c r="E648" s="37"/>
      <c r="F648" s="37"/>
      <c r="G648" s="37"/>
    </row>
    <row r="649" ht="15.75" customHeight="1" spans="4:7">
      <c r="D649" s="37"/>
      <c r="E649" s="37"/>
      <c r="F649" s="37"/>
      <c r="G649" s="37"/>
    </row>
    <row r="650" ht="15.75" customHeight="1" spans="4:7">
      <c r="D650" s="37"/>
      <c r="E650" s="37"/>
      <c r="F650" s="37"/>
      <c r="G650" s="37"/>
    </row>
    <row r="651" ht="15.75" customHeight="1" spans="4:7">
      <c r="D651" s="37"/>
      <c r="E651" s="37"/>
      <c r="F651" s="37"/>
      <c r="G651" s="37"/>
    </row>
    <row r="652" ht="15.75" customHeight="1" spans="4:7">
      <c r="D652" s="37"/>
      <c r="E652" s="37"/>
      <c r="F652" s="37"/>
      <c r="G652" s="37"/>
    </row>
    <row r="653" ht="15.75" customHeight="1" spans="4:7">
      <c r="D653" s="37"/>
      <c r="E653" s="37"/>
      <c r="F653" s="37"/>
      <c r="G653" s="37"/>
    </row>
    <row r="654" ht="15.75" customHeight="1" spans="4:7">
      <c r="D654" s="37"/>
      <c r="E654" s="37"/>
      <c r="F654" s="37"/>
      <c r="G654" s="37"/>
    </row>
    <row r="655" ht="15.75" customHeight="1" spans="4:7">
      <c r="D655" s="37"/>
      <c r="E655" s="37"/>
      <c r="F655" s="37"/>
      <c r="G655" s="37"/>
    </row>
    <row r="656" ht="15.75" customHeight="1" spans="4:7">
      <c r="D656" s="37"/>
      <c r="E656" s="37"/>
      <c r="F656" s="37"/>
      <c r="G656" s="37"/>
    </row>
    <row r="657" ht="15.75" customHeight="1" spans="4:7">
      <c r="D657" s="37"/>
      <c r="E657" s="37"/>
      <c r="F657" s="37"/>
      <c r="G657" s="37"/>
    </row>
    <row r="658" ht="15.75" customHeight="1" spans="4:7">
      <c r="D658" s="37"/>
      <c r="E658" s="37"/>
      <c r="F658" s="37"/>
      <c r="G658" s="37"/>
    </row>
    <row r="659" ht="15.75" customHeight="1" spans="4:7">
      <c r="D659" s="37"/>
      <c r="E659" s="37"/>
      <c r="F659" s="37"/>
      <c r="G659" s="37"/>
    </row>
    <row r="660" ht="15.75" customHeight="1" spans="4:7">
      <c r="D660" s="37"/>
      <c r="E660" s="37"/>
      <c r="F660" s="37"/>
      <c r="G660" s="37"/>
    </row>
    <row r="661" ht="15.75" customHeight="1" spans="4:7">
      <c r="D661" s="37"/>
      <c r="E661" s="37"/>
      <c r="F661" s="37"/>
      <c r="G661" s="37"/>
    </row>
    <row r="662" ht="15.75" customHeight="1" spans="4:7">
      <c r="D662" s="37"/>
      <c r="E662" s="37"/>
      <c r="F662" s="37"/>
      <c r="G662" s="37"/>
    </row>
    <row r="663" ht="15.75" customHeight="1" spans="4:7">
      <c r="D663" s="37"/>
      <c r="E663" s="37"/>
      <c r="F663" s="37"/>
      <c r="G663" s="37"/>
    </row>
    <row r="664" ht="15.75" customHeight="1" spans="4:7">
      <c r="D664" s="37"/>
      <c r="E664" s="37"/>
      <c r="F664" s="37"/>
      <c r="G664" s="37"/>
    </row>
    <row r="665" ht="15.75" customHeight="1" spans="4:7">
      <c r="D665" s="37"/>
      <c r="E665" s="37"/>
      <c r="F665" s="37"/>
      <c r="G665" s="37"/>
    </row>
    <row r="666" ht="15.75" customHeight="1" spans="4:7">
      <c r="D666" s="37"/>
      <c r="E666" s="37"/>
      <c r="F666" s="37"/>
      <c r="G666" s="37"/>
    </row>
    <row r="667" ht="15.75" customHeight="1" spans="4:7">
      <c r="D667" s="37"/>
      <c r="E667" s="37"/>
      <c r="F667" s="37"/>
      <c r="G667" s="37"/>
    </row>
    <row r="668" ht="15.75" customHeight="1" spans="4:7">
      <c r="D668" s="37"/>
      <c r="E668" s="37"/>
      <c r="F668" s="37"/>
      <c r="G668" s="37"/>
    </row>
    <row r="669" ht="15.75" customHeight="1" spans="4:7">
      <c r="D669" s="37"/>
      <c r="E669" s="37"/>
      <c r="F669" s="37"/>
      <c r="G669" s="37"/>
    </row>
    <row r="670" ht="15.75" customHeight="1" spans="4:7">
      <c r="D670" s="37"/>
      <c r="E670" s="37"/>
      <c r="F670" s="37"/>
      <c r="G670" s="37"/>
    </row>
    <row r="671" ht="15.75" customHeight="1" spans="4:7">
      <c r="D671" s="37"/>
      <c r="E671" s="37"/>
      <c r="F671" s="37"/>
      <c r="G671" s="37"/>
    </row>
    <row r="672" ht="15.75" customHeight="1" spans="4:7">
      <c r="D672" s="37"/>
      <c r="E672" s="37"/>
      <c r="F672" s="37"/>
      <c r="G672" s="37"/>
    </row>
    <row r="673" ht="15.75" customHeight="1" spans="4:7">
      <c r="D673" s="37"/>
      <c r="E673" s="37"/>
      <c r="F673" s="37"/>
      <c r="G673" s="37"/>
    </row>
    <row r="674" ht="15.75" customHeight="1" spans="4:7">
      <c r="D674" s="37"/>
      <c r="E674" s="37"/>
      <c r="F674" s="37"/>
      <c r="G674" s="37"/>
    </row>
    <row r="675" ht="15.75" customHeight="1" spans="4:7">
      <c r="D675" s="37"/>
      <c r="E675" s="37"/>
      <c r="F675" s="37"/>
      <c r="G675" s="37"/>
    </row>
    <row r="676" ht="15.75" customHeight="1" spans="4:7">
      <c r="D676" s="37"/>
      <c r="E676" s="37"/>
      <c r="F676" s="37"/>
      <c r="G676" s="37"/>
    </row>
    <row r="677" ht="15.75" customHeight="1" spans="4:7">
      <c r="D677" s="37"/>
      <c r="E677" s="37"/>
      <c r="F677" s="37"/>
      <c r="G677" s="37"/>
    </row>
    <row r="678" ht="15.75" customHeight="1" spans="4:7">
      <c r="D678" s="37"/>
      <c r="E678" s="37"/>
      <c r="F678" s="37"/>
      <c r="G678" s="37"/>
    </row>
    <row r="679" ht="15.75" customHeight="1" spans="4:7">
      <c r="D679" s="37"/>
      <c r="E679" s="37"/>
      <c r="F679" s="37"/>
      <c r="G679" s="37"/>
    </row>
    <row r="680" ht="15.75" customHeight="1" spans="4:7">
      <c r="D680" s="37"/>
      <c r="E680" s="37"/>
      <c r="F680" s="37"/>
      <c r="G680" s="37"/>
    </row>
    <row r="681" ht="15.75" customHeight="1" spans="4:7">
      <c r="D681" s="37"/>
      <c r="E681" s="37"/>
      <c r="F681" s="37"/>
      <c r="G681" s="37"/>
    </row>
    <row r="682" ht="15.75" customHeight="1" spans="4:7">
      <c r="D682" s="37"/>
      <c r="E682" s="37"/>
      <c r="F682" s="37"/>
      <c r="G682" s="37"/>
    </row>
    <row r="683" ht="15.75" customHeight="1" spans="4:7">
      <c r="D683" s="37"/>
      <c r="E683" s="37"/>
      <c r="F683" s="37"/>
      <c r="G683" s="37"/>
    </row>
    <row r="684" ht="15.75" customHeight="1" spans="4:7">
      <c r="D684" s="37"/>
      <c r="E684" s="37"/>
      <c r="F684" s="37"/>
      <c r="G684" s="37"/>
    </row>
    <row r="685" ht="15.75" customHeight="1" spans="4:7">
      <c r="D685" s="37"/>
      <c r="E685" s="37"/>
      <c r="F685" s="37"/>
      <c r="G685" s="37"/>
    </row>
    <row r="686" ht="15.75" customHeight="1" spans="4:7">
      <c r="D686" s="37"/>
      <c r="E686" s="37"/>
      <c r="F686" s="37"/>
      <c r="G686" s="37"/>
    </row>
    <row r="687" ht="15.75" customHeight="1" spans="4:7">
      <c r="D687" s="37"/>
      <c r="E687" s="37"/>
      <c r="F687" s="37"/>
      <c r="G687" s="37"/>
    </row>
    <row r="688" ht="15.75" customHeight="1" spans="4:7">
      <c r="D688" s="37"/>
      <c r="E688" s="37"/>
      <c r="F688" s="37"/>
      <c r="G688" s="37"/>
    </row>
    <row r="689" ht="15.75" customHeight="1" spans="4:7">
      <c r="D689" s="37"/>
      <c r="E689" s="37"/>
      <c r="F689" s="37"/>
      <c r="G689" s="37"/>
    </row>
    <row r="690" ht="15.75" customHeight="1" spans="4:7">
      <c r="D690" s="37"/>
      <c r="E690" s="37"/>
      <c r="F690" s="37"/>
      <c r="G690" s="37"/>
    </row>
    <row r="691" ht="15.75" customHeight="1" spans="4:7">
      <c r="D691" s="37"/>
      <c r="E691" s="37"/>
      <c r="F691" s="37"/>
      <c r="G691" s="37"/>
    </row>
    <row r="692" ht="15.75" customHeight="1" spans="4:7">
      <c r="D692" s="37"/>
      <c r="E692" s="37"/>
      <c r="F692" s="37"/>
      <c r="G692" s="37"/>
    </row>
    <row r="693" ht="15.75" customHeight="1" spans="4:7">
      <c r="D693" s="37"/>
      <c r="E693" s="37"/>
      <c r="F693" s="37"/>
      <c r="G693" s="37"/>
    </row>
    <row r="694" ht="15.75" customHeight="1" spans="4:7">
      <c r="D694" s="37"/>
      <c r="E694" s="37"/>
      <c r="F694" s="37"/>
      <c r="G694" s="37"/>
    </row>
    <row r="695" ht="15.75" customHeight="1" spans="4:7">
      <c r="D695" s="37"/>
      <c r="E695" s="37"/>
      <c r="F695" s="37"/>
      <c r="G695" s="37"/>
    </row>
    <row r="696" ht="15.75" customHeight="1" spans="4:7">
      <c r="D696" s="37"/>
      <c r="E696" s="37"/>
      <c r="F696" s="37"/>
      <c r="G696" s="37"/>
    </row>
    <row r="697" ht="15.75" customHeight="1" spans="4:7">
      <c r="D697" s="37"/>
      <c r="E697" s="37"/>
      <c r="F697" s="37"/>
      <c r="G697" s="37"/>
    </row>
    <row r="698" ht="15.75" customHeight="1" spans="4:7">
      <c r="D698" s="37"/>
      <c r="E698" s="37"/>
      <c r="F698" s="37"/>
      <c r="G698" s="37"/>
    </row>
    <row r="699" ht="15.75" customHeight="1" spans="4:7">
      <c r="D699" s="37"/>
      <c r="E699" s="37"/>
      <c r="F699" s="37"/>
      <c r="G699" s="37"/>
    </row>
    <row r="700" ht="15.75" customHeight="1" spans="4:7">
      <c r="D700" s="37"/>
      <c r="E700" s="37"/>
      <c r="F700" s="37"/>
      <c r="G700" s="37"/>
    </row>
    <row r="701" ht="15.75" customHeight="1" spans="4:7">
      <c r="D701" s="37"/>
      <c r="E701" s="37"/>
      <c r="F701" s="37"/>
      <c r="G701" s="37"/>
    </row>
    <row r="702" ht="15.75" customHeight="1" spans="4:7">
      <c r="D702" s="37"/>
      <c r="E702" s="37"/>
      <c r="F702" s="37"/>
      <c r="G702" s="37"/>
    </row>
    <row r="703" ht="15.75" customHeight="1" spans="4:7">
      <c r="D703" s="37"/>
      <c r="E703" s="37"/>
      <c r="F703" s="37"/>
      <c r="G703" s="37"/>
    </row>
    <row r="704" ht="15.75" customHeight="1" spans="4:7">
      <c r="D704" s="37"/>
      <c r="E704" s="37"/>
      <c r="F704" s="37"/>
      <c r="G704" s="37"/>
    </row>
    <row r="705" ht="15.75" customHeight="1" spans="4:7">
      <c r="D705" s="37"/>
      <c r="E705" s="37"/>
      <c r="F705" s="37"/>
      <c r="G705" s="37"/>
    </row>
    <row r="706" ht="15.75" customHeight="1" spans="4:7">
      <c r="D706" s="37"/>
      <c r="E706" s="37"/>
      <c r="F706" s="37"/>
      <c r="G706" s="37"/>
    </row>
    <row r="707" ht="15.75" customHeight="1" spans="4:7">
      <c r="D707" s="37"/>
      <c r="E707" s="37"/>
      <c r="F707" s="37"/>
      <c r="G707" s="37"/>
    </row>
    <row r="708" ht="15.75" customHeight="1" spans="4:7">
      <c r="D708" s="37"/>
      <c r="E708" s="37"/>
      <c r="F708" s="37"/>
      <c r="G708" s="37"/>
    </row>
    <row r="709" ht="15.75" customHeight="1" spans="4:7">
      <c r="D709" s="37"/>
      <c r="E709" s="37"/>
      <c r="F709" s="37"/>
      <c r="G709" s="37"/>
    </row>
    <row r="710" ht="15.75" customHeight="1" spans="4:7">
      <c r="D710" s="37"/>
      <c r="E710" s="37"/>
      <c r="F710" s="37"/>
      <c r="G710" s="37"/>
    </row>
    <row r="711" ht="15.75" customHeight="1" spans="4:7">
      <c r="D711" s="37"/>
      <c r="E711" s="37"/>
      <c r="F711" s="37"/>
      <c r="G711" s="37"/>
    </row>
    <row r="712" ht="15.75" customHeight="1" spans="4:7">
      <c r="D712" s="37"/>
      <c r="E712" s="37"/>
      <c r="F712" s="37"/>
      <c r="G712" s="37"/>
    </row>
    <row r="713" ht="15.75" customHeight="1" spans="4:7">
      <c r="D713" s="37"/>
      <c r="E713" s="37"/>
      <c r="F713" s="37"/>
      <c r="G713" s="37"/>
    </row>
    <row r="714" ht="15.75" customHeight="1" spans="4:7">
      <c r="D714" s="37"/>
      <c r="E714" s="37"/>
      <c r="F714" s="37"/>
      <c r="G714" s="37"/>
    </row>
    <row r="715" ht="15.75" customHeight="1" spans="4:7">
      <c r="D715" s="37"/>
      <c r="E715" s="37"/>
      <c r="F715" s="37"/>
      <c r="G715" s="37"/>
    </row>
    <row r="716" ht="15.75" customHeight="1" spans="4:7">
      <c r="D716" s="37"/>
      <c r="E716" s="37"/>
      <c r="F716" s="37"/>
      <c r="G716" s="37"/>
    </row>
    <row r="717" ht="15.75" customHeight="1" spans="4:7">
      <c r="D717" s="37"/>
      <c r="E717" s="37"/>
      <c r="F717" s="37"/>
      <c r="G717" s="37"/>
    </row>
    <row r="718" ht="15.75" customHeight="1" spans="4:7">
      <c r="D718" s="37"/>
      <c r="E718" s="37"/>
      <c r="F718" s="37"/>
      <c r="G718" s="37"/>
    </row>
    <row r="719" ht="15.75" customHeight="1" spans="4:7">
      <c r="D719" s="37"/>
      <c r="E719" s="37"/>
      <c r="F719" s="37"/>
      <c r="G719" s="37"/>
    </row>
    <row r="720" ht="15.75" customHeight="1" spans="4:7">
      <c r="D720" s="37"/>
      <c r="E720" s="37"/>
      <c r="F720" s="37"/>
      <c r="G720" s="37"/>
    </row>
    <row r="721" ht="15.75" customHeight="1" spans="4:7">
      <c r="D721" s="37"/>
      <c r="E721" s="37"/>
      <c r="F721" s="37"/>
      <c r="G721" s="37"/>
    </row>
    <row r="722" ht="15.75" customHeight="1" spans="4:7">
      <c r="D722" s="37"/>
      <c r="E722" s="37"/>
      <c r="F722" s="37"/>
      <c r="G722" s="37"/>
    </row>
    <row r="723" ht="15.75" customHeight="1" spans="4:7">
      <c r="D723" s="37"/>
      <c r="E723" s="37"/>
      <c r="F723" s="37"/>
      <c r="G723" s="37"/>
    </row>
    <row r="724" ht="15.75" customHeight="1" spans="4:7">
      <c r="D724" s="37"/>
      <c r="E724" s="37"/>
      <c r="F724" s="37"/>
      <c r="G724" s="37"/>
    </row>
    <row r="725" ht="15.75" customHeight="1" spans="4:7">
      <c r="D725" s="37"/>
      <c r="E725" s="37"/>
      <c r="F725" s="37"/>
      <c r="G725" s="37"/>
    </row>
    <row r="726" ht="15.75" customHeight="1" spans="4:7">
      <c r="D726" s="37"/>
      <c r="E726" s="37"/>
      <c r="F726" s="37"/>
      <c r="G726" s="37"/>
    </row>
    <row r="727" ht="15.75" customHeight="1" spans="4:7">
      <c r="D727" s="37"/>
      <c r="E727" s="37"/>
      <c r="F727" s="37"/>
      <c r="G727" s="37"/>
    </row>
    <row r="728" ht="15.75" customHeight="1" spans="4:7">
      <c r="D728" s="37"/>
      <c r="E728" s="37"/>
      <c r="F728" s="37"/>
      <c r="G728" s="37"/>
    </row>
    <row r="729" ht="15.75" customHeight="1" spans="4:7">
      <c r="D729" s="37"/>
      <c r="E729" s="37"/>
      <c r="F729" s="37"/>
      <c r="G729" s="37"/>
    </row>
    <row r="730" ht="15.75" customHeight="1" spans="4:7">
      <c r="D730" s="37"/>
      <c r="E730" s="37"/>
      <c r="F730" s="37"/>
      <c r="G730" s="37"/>
    </row>
    <row r="731" ht="15.75" customHeight="1" spans="4:7">
      <c r="D731" s="37"/>
      <c r="E731" s="37"/>
      <c r="F731" s="37"/>
      <c r="G731" s="37"/>
    </row>
    <row r="732" ht="15.75" customHeight="1" spans="4:7">
      <c r="D732" s="37"/>
      <c r="E732" s="37"/>
      <c r="F732" s="37"/>
      <c r="G732" s="37"/>
    </row>
    <row r="733" ht="15.75" customHeight="1" spans="4:7">
      <c r="D733" s="37"/>
      <c r="E733" s="37"/>
      <c r="F733" s="37"/>
      <c r="G733" s="37"/>
    </row>
    <row r="734" ht="15.75" customHeight="1" spans="4:7">
      <c r="D734" s="37"/>
      <c r="E734" s="37"/>
      <c r="F734" s="37"/>
      <c r="G734" s="37"/>
    </row>
    <row r="735" ht="15.75" customHeight="1" spans="4:7">
      <c r="D735" s="37"/>
      <c r="E735" s="37"/>
      <c r="F735" s="37"/>
      <c r="G735" s="37"/>
    </row>
    <row r="736" ht="15.75" customHeight="1" spans="4:7">
      <c r="D736" s="37"/>
      <c r="E736" s="37"/>
      <c r="F736" s="37"/>
      <c r="G736" s="37"/>
    </row>
    <row r="737" ht="15.75" customHeight="1" spans="4:7">
      <c r="D737" s="37"/>
      <c r="E737" s="37"/>
      <c r="F737" s="37"/>
      <c r="G737" s="37"/>
    </row>
    <row r="738" ht="15.75" customHeight="1" spans="4:7">
      <c r="D738" s="37"/>
      <c r="E738" s="37"/>
      <c r="F738" s="37"/>
      <c r="G738" s="37"/>
    </row>
    <row r="739" ht="15.75" customHeight="1" spans="4:7">
      <c r="D739" s="37"/>
      <c r="E739" s="37"/>
      <c r="F739" s="37"/>
      <c r="G739" s="37"/>
    </row>
    <row r="740" ht="15.75" customHeight="1" spans="4:7">
      <c r="D740" s="37"/>
      <c r="E740" s="37"/>
      <c r="F740" s="37"/>
      <c r="G740" s="37"/>
    </row>
    <row r="741" ht="15.75" customHeight="1" spans="4:7">
      <c r="D741" s="37"/>
      <c r="E741" s="37"/>
      <c r="F741" s="37"/>
      <c r="G741" s="37"/>
    </row>
    <row r="742" ht="15.75" customHeight="1" spans="4:7">
      <c r="D742" s="37"/>
      <c r="E742" s="37"/>
      <c r="F742" s="37"/>
      <c r="G742" s="37"/>
    </row>
    <row r="743" ht="15.75" customHeight="1" spans="4:7">
      <c r="D743" s="37"/>
      <c r="E743" s="37"/>
      <c r="F743" s="37"/>
      <c r="G743" s="37"/>
    </row>
    <row r="744" ht="15.75" customHeight="1" spans="4:7">
      <c r="D744" s="37"/>
      <c r="E744" s="37"/>
      <c r="F744" s="37"/>
      <c r="G744" s="37"/>
    </row>
    <row r="745" ht="15.75" customHeight="1" spans="4:7">
      <c r="D745" s="37"/>
      <c r="E745" s="37"/>
      <c r="F745" s="37"/>
      <c r="G745" s="37"/>
    </row>
    <row r="746" ht="15.75" customHeight="1" spans="4:7">
      <c r="D746" s="37"/>
      <c r="E746" s="37"/>
      <c r="F746" s="37"/>
      <c r="G746" s="37"/>
    </row>
    <row r="747" ht="15.75" customHeight="1" spans="4:7">
      <c r="D747" s="37"/>
      <c r="E747" s="37"/>
      <c r="F747" s="37"/>
      <c r="G747" s="37"/>
    </row>
    <row r="748" ht="15.75" customHeight="1" spans="4:7">
      <c r="D748" s="37"/>
      <c r="E748" s="37"/>
      <c r="F748" s="37"/>
      <c r="G748" s="37"/>
    </row>
    <row r="749" ht="15.75" customHeight="1" spans="4:7">
      <c r="D749" s="37"/>
      <c r="E749" s="37"/>
      <c r="F749" s="37"/>
      <c r="G749" s="37"/>
    </row>
    <row r="750" ht="15.75" customHeight="1" spans="4:7">
      <c r="D750" s="37"/>
      <c r="E750" s="37"/>
      <c r="F750" s="37"/>
      <c r="G750" s="37"/>
    </row>
    <row r="751" ht="15.75" customHeight="1" spans="4:7">
      <c r="D751" s="37"/>
      <c r="E751" s="37"/>
      <c r="F751" s="37"/>
      <c r="G751" s="37"/>
    </row>
    <row r="752" ht="15.75" customHeight="1" spans="4:7">
      <c r="D752" s="37"/>
      <c r="E752" s="37"/>
      <c r="F752" s="37"/>
      <c r="G752" s="37"/>
    </row>
    <row r="753" ht="15.75" customHeight="1" spans="4:7">
      <c r="D753" s="37"/>
      <c r="E753" s="37"/>
      <c r="F753" s="37"/>
      <c r="G753" s="37"/>
    </row>
    <row r="754" ht="15.75" customHeight="1" spans="4:7">
      <c r="D754" s="37"/>
      <c r="E754" s="37"/>
      <c r="F754" s="37"/>
      <c r="G754" s="37"/>
    </row>
    <row r="755" ht="15.75" customHeight="1" spans="4:7">
      <c r="D755" s="37"/>
      <c r="E755" s="37"/>
      <c r="F755" s="37"/>
      <c r="G755" s="37"/>
    </row>
    <row r="756" ht="15.75" customHeight="1" spans="4:7">
      <c r="D756" s="37"/>
      <c r="E756" s="37"/>
      <c r="F756" s="37"/>
      <c r="G756" s="37"/>
    </row>
    <row r="757" ht="15.75" customHeight="1" spans="4:7">
      <c r="D757" s="37"/>
      <c r="E757" s="37"/>
      <c r="F757" s="37"/>
      <c r="G757" s="37"/>
    </row>
    <row r="758" ht="15.75" customHeight="1" spans="4:7">
      <c r="D758" s="37"/>
      <c r="E758" s="37"/>
      <c r="F758" s="37"/>
      <c r="G758" s="37"/>
    </row>
    <row r="759" ht="15.75" customHeight="1" spans="4:7">
      <c r="D759" s="37"/>
      <c r="E759" s="37"/>
      <c r="F759" s="37"/>
      <c r="G759" s="37"/>
    </row>
    <row r="760" ht="15.75" customHeight="1" spans="4:7">
      <c r="D760" s="37"/>
      <c r="E760" s="37"/>
      <c r="F760" s="37"/>
      <c r="G760" s="37"/>
    </row>
    <row r="761" ht="15.75" customHeight="1" spans="4:7">
      <c r="D761" s="37"/>
      <c r="E761" s="37"/>
      <c r="F761" s="37"/>
      <c r="G761" s="37"/>
    </row>
    <row r="762" ht="15.75" customHeight="1" spans="4:7">
      <c r="D762" s="37"/>
      <c r="E762" s="37"/>
      <c r="F762" s="37"/>
      <c r="G762" s="37"/>
    </row>
    <row r="763" ht="15.75" customHeight="1" spans="4:7">
      <c r="D763" s="37"/>
      <c r="E763" s="37"/>
      <c r="F763" s="37"/>
      <c r="G763" s="37"/>
    </row>
    <row r="764" ht="15.75" customHeight="1" spans="4:7">
      <c r="D764" s="37"/>
      <c r="E764" s="37"/>
      <c r="F764" s="37"/>
      <c r="G764" s="37"/>
    </row>
    <row r="765" ht="15.75" customHeight="1" spans="4:7">
      <c r="D765" s="37"/>
      <c r="E765" s="37"/>
      <c r="F765" s="37"/>
      <c r="G765" s="37"/>
    </row>
    <row r="766" ht="15.75" customHeight="1" spans="4:7">
      <c r="D766" s="37"/>
      <c r="E766" s="37"/>
      <c r="F766" s="37"/>
      <c r="G766" s="37"/>
    </row>
    <row r="767" ht="15.75" customHeight="1" spans="4:7">
      <c r="D767" s="37"/>
      <c r="E767" s="37"/>
      <c r="F767" s="37"/>
      <c r="G767" s="37"/>
    </row>
    <row r="768" ht="15.75" customHeight="1" spans="4:7">
      <c r="D768" s="37"/>
      <c r="E768" s="37"/>
      <c r="F768" s="37"/>
      <c r="G768" s="37"/>
    </row>
    <row r="769" ht="15.75" customHeight="1" spans="4:7">
      <c r="D769" s="37"/>
      <c r="E769" s="37"/>
      <c r="F769" s="37"/>
      <c r="G769" s="37"/>
    </row>
    <row r="770" ht="15.75" customHeight="1" spans="4:7">
      <c r="D770" s="37"/>
      <c r="E770" s="37"/>
      <c r="F770" s="37"/>
      <c r="G770" s="37"/>
    </row>
    <row r="771" ht="15.75" customHeight="1" spans="4:7">
      <c r="D771" s="37"/>
      <c r="E771" s="37"/>
      <c r="F771" s="37"/>
      <c r="G771" s="37"/>
    </row>
    <row r="772" ht="15.75" customHeight="1" spans="4:7">
      <c r="D772" s="37"/>
      <c r="E772" s="37"/>
      <c r="F772" s="37"/>
      <c r="G772" s="37"/>
    </row>
    <row r="773" ht="15.75" customHeight="1" spans="4:7">
      <c r="D773" s="37"/>
      <c r="E773" s="37"/>
      <c r="F773" s="37"/>
      <c r="G773" s="37"/>
    </row>
    <row r="774" ht="15.75" customHeight="1" spans="4:7">
      <c r="D774" s="37"/>
      <c r="E774" s="37"/>
      <c r="F774" s="37"/>
      <c r="G774" s="37"/>
    </row>
    <row r="775" ht="15.75" customHeight="1" spans="4:7">
      <c r="D775" s="37"/>
      <c r="E775" s="37"/>
      <c r="F775" s="37"/>
      <c r="G775" s="37"/>
    </row>
    <row r="776" ht="15.75" customHeight="1" spans="4:7">
      <c r="D776" s="37"/>
      <c r="E776" s="37"/>
      <c r="F776" s="37"/>
      <c r="G776" s="37"/>
    </row>
    <row r="777" ht="15.75" customHeight="1" spans="4:7">
      <c r="D777" s="37"/>
      <c r="E777" s="37"/>
      <c r="F777" s="37"/>
      <c r="G777" s="37"/>
    </row>
    <row r="778" ht="15.75" customHeight="1" spans="4:7">
      <c r="D778" s="37"/>
      <c r="E778" s="37"/>
      <c r="F778" s="37"/>
      <c r="G778" s="37"/>
    </row>
    <row r="779" ht="15.75" customHeight="1" spans="4:7">
      <c r="D779" s="37"/>
      <c r="E779" s="37"/>
      <c r="F779" s="37"/>
      <c r="G779" s="37"/>
    </row>
    <row r="780" ht="15.75" customHeight="1" spans="4:7">
      <c r="D780" s="37"/>
      <c r="E780" s="37"/>
      <c r="F780" s="37"/>
      <c r="G780" s="37"/>
    </row>
    <row r="781" ht="15.75" customHeight="1" spans="4:7">
      <c r="D781" s="37"/>
      <c r="E781" s="37"/>
      <c r="F781" s="37"/>
      <c r="G781" s="37"/>
    </row>
    <row r="782" ht="15.75" customHeight="1" spans="4:7">
      <c r="D782" s="37"/>
      <c r="E782" s="37"/>
      <c r="F782" s="37"/>
      <c r="G782" s="37"/>
    </row>
    <row r="783" ht="15.75" customHeight="1" spans="4:7">
      <c r="D783" s="37"/>
      <c r="E783" s="37"/>
      <c r="F783" s="37"/>
      <c r="G783" s="37"/>
    </row>
    <row r="784" ht="15.75" customHeight="1" spans="4:7">
      <c r="D784" s="37"/>
      <c r="E784" s="37"/>
      <c r="F784" s="37"/>
      <c r="G784" s="37"/>
    </row>
    <row r="785" ht="15.75" customHeight="1" spans="4:7">
      <c r="D785" s="37"/>
      <c r="E785" s="37"/>
      <c r="F785" s="37"/>
      <c r="G785" s="37"/>
    </row>
    <row r="786" ht="15.75" customHeight="1" spans="4:7">
      <c r="D786" s="37"/>
      <c r="E786" s="37"/>
      <c r="F786" s="37"/>
      <c r="G786" s="37"/>
    </row>
    <row r="787" ht="15.75" customHeight="1" spans="4:7">
      <c r="D787" s="37"/>
      <c r="E787" s="37"/>
      <c r="F787" s="37"/>
      <c r="G787" s="37"/>
    </row>
    <row r="788" ht="15.75" customHeight="1" spans="4:7">
      <c r="D788" s="37"/>
      <c r="E788" s="37"/>
      <c r="F788" s="37"/>
      <c r="G788" s="37"/>
    </row>
    <row r="789" ht="15.75" customHeight="1" spans="4:7">
      <c r="D789" s="37"/>
      <c r="E789" s="37"/>
      <c r="F789" s="37"/>
      <c r="G789" s="37"/>
    </row>
    <row r="790" ht="15.75" customHeight="1" spans="4:7">
      <c r="D790" s="37"/>
      <c r="E790" s="37"/>
      <c r="F790" s="37"/>
      <c r="G790" s="37"/>
    </row>
    <row r="791" ht="15.75" customHeight="1" spans="4:7">
      <c r="D791" s="37"/>
      <c r="E791" s="37"/>
      <c r="F791" s="37"/>
      <c r="G791" s="37"/>
    </row>
    <row r="792" ht="15.75" customHeight="1" spans="4:7">
      <c r="D792" s="37"/>
      <c r="E792" s="37"/>
      <c r="F792" s="37"/>
      <c r="G792" s="37"/>
    </row>
    <row r="793" ht="15.75" customHeight="1" spans="4:7">
      <c r="D793" s="37"/>
      <c r="E793" s="37"/>
      <c r="F793" s="37"/>
      <c r="G793" s="37"/>
    </row>
    <row r="794" ht="15.75" customHeight="1" spans="4:7">
      <c r="D794" s="37"/>
      <c r="E794" s="37"/>
      <c r="F794" s="37"/>
      <c r="G794" s="37"/>
    </row>
    <row r="795" ht="15.75" customHeight="1" spans="4:7">
      <c r="D795" s="37"/>
      <c r="E795" s="37"/>
      <c r="F795" s="37"/>
      <c r="G795" s="37"/>
    </row>
    <row r="796" ht="15.75" customHeight="1" spans="4:7">
      <c r="D796" s="37"/>
      <c r="E796" s="37"/>
      <c r="F796" s="37"/>
      <c r="G796" s="37"/>
    </row>
    <row r="797" ht="15.75" customHeight="1" spans="4:7">
      <c r="D797" s="37"/>
      <c r="E797" s="37"/>
      <c r="F797" s="37"/>
      <c r="G797" s="37"/>
    </row>
    <row r="798" ht="15.75" customHeight="1" spans="4:7">
      <c r="D798" s="37"/>
      <c r="E798" s="37"/>
      <c r="F798" s="37"/>
      <c r="G798" s="37"/>
    </row>
    <row r="799" ht="15.75" customHeight="1" spans="4:7">
      <c r="D799" s="37"/>
      <c r="E799" s="37"/>
      <c r="F799" s="37"/>
      <c r="G799" s="37"/>
    </row>
    <row r="800" ht="15.75" customHeight="1" spans="4:7">
      <c r="D800" s="37"/>
      <c r="E800" s="37"/>
      <c r="F800" s="37"/>
      <c r="G800" s="37"/>
    </row>
    <row r="801" ht="15.75" customHeight="1" spans="4:7">
      <c r="D801" s="37"/>
      <c r="E801" s="37"/>
      <c r="F801" s="37"/>
      <c r="G801" s="37"/>
    </row>
    <row r="802" ht="15.75" customHeight="1" spans="4:7">
      <c r="D802" s="37"/>
      <c r="E802" s="37"/>
      <c r="F802" s="37"/>
      <c r="G802" s="37"/>
    </row>
    <row r="803" ht="15.75" customHeight="1" spans="4:7">
      <c r="D803" s="37"/>
      <c r="E803" s="37"/>
      <c r="F803" s="37"/>
      <c r="G803" s="37"/>
    </row>
    <row r="804" ht="15.75" customHeight="1" spans="4:7">
      <c r="D804" s="37"/>
      <c r="E804" s="37"/>
      <c r="F804" s="37"/>
      <c r="G804" s="37"/>
    </row>
    <row r="805" ht="15.75" customHeight="1" spans="4:7">
      <c r="D805" s="37"/>
      <c r="E805" s="37"/>
      <c r="F805" s="37"/>
      <c r="G805" s="37"/>
    </row>
    <row r="806" ht="15.75" customHeight="1" spans="4:7">
      <c r="D806" s="37"/>
      <c r="E806" s="37"/>
      <c r="F806" s="37"/>
      <c r="G806" s="37"/>
    </row>
    <row r="807" ht="15.75" customHeight="1" spans="4:7">
      <c r="D807" s="37"/>
      <c r="E807" s="37"/>
      <c r="F807" s="37"/>
      <c r="G807" s="37"/>
    </row>
    <row r="808" ht="15.75" customHeight="1" spans="4:7">
      <c r="D808" s="37"/>
      <c r="E808" s="37"/>
      <c r="F808" s="37"/>
      <c r="G808" s="37"/>
    </row>
    <row r="809" ht="15.75" customHeight="1" spans="4:7">
      <c r="D809" s="37"/>
      <c r="E809" s="37"/>
      <c r="F809" s="37"/>
      <c r="G809" s="37"/>
    </row>
    <row r="810" ht="15.75" customHeight="1" spans="4:7">
      <c r="D810" s="37"/>
      <c r="E810" s="37"/>
      <c r="F810" s="37"/>
      <c r="G810" s="37"/>
    </row>
    <row r="811" ht="15.75" customHeight="1" spans="4:7">
      <c r="D811" s="37"/>
      <c r="E811" s="37"/>
      <c r="F811" s="37"/>
      <c r="G811" s="37"/>
    </row>
    <row r="812" ht="15.75" customHeight="1" spans="4:7">
      <c r="D812" s="37"/>
      <c r="E812" s="37"/>
      <c r="F812" s="37"/>
      <c r="G812" s="37"/>
    </row>
    <row r="813" ht="15.75" customHeight="1" spans="4:7">
      <c r="D813" s="37"/>
      <c r="E813" s="37"/>
      <c r="F813" s="37"/>
      <c r="G813" s="37"/>
    </row>
    <row r="814" ht="15.75" customHeight="1" spans="4:7">
      <c r="D814" s="37"/>
      <c r="E814" s="37"/>
      <c r="F814" s="37"/>
      <c r="G814" s="37"/>
    </row>
    <row r="815" ht="15.75" customHeight="1" spans="4:7">
      <c r="D815" s="37"/>
      <c r="E815" s="37"/>
      <c r="F815" s="37"/>
      <c r="G815" s="37"/>
    </row>
    <row r="816" ht="15.75" customHeight="1" spans="4:7">
      <c r="D816" s="37"/>
      <c r="E816" s="37"/>
      <c r="F816" s="37"/>
      <c r="G816" s="37"/>
    </row>
    <row r="817" ht="15.75" customHeight="1" spans="4:7">
      <c r="D817" s="37"/>
      <c r="E817" s="37"/>
      <c r="F817" s="37"/>
      <c r="G817" s="37"/>
    </row>
    <row r="818" ht="15.75" customHeight="1" spans="4:7">
      <c r="D818" s="37"/>
      <c r="E818" s="37"/>
      <c r="F818" s="37"/>
      <c r="G818" s="37"/>
    </row>
    <row r="819" ht="15.75" customHeight="1" spans="4:7">
      <c r="D819" s="37"/>
      <c r="E819" s="37"/>
      <c r="F819" s="37"/>
      <c r="G819" s="37"/>
    </row>
    <row r="820" ht="15.75" customHeight="1" spans="4:7">
      <c r="D820" s="37"/>
      <c r="E820" s="37"/>
      <c r="F820" s="37"/>
      <c r="G820" s="37"/>
    </row>
    <row r="821" ht="15.75" customHeight="1" spans="4:7">
      <c r="D821" s="37"/>
      <c r="E821" s="37"/>
      <c r="F821" s="37"/>
      <c r="G821" s="37"/>
    </row>
    <row r="822" ht="15.75" customHeight="1" spans="4:7">
      <c r="D822" s="37"/>
      <c r="E822" s="37"/>
      <c r="F822" s="37"/>
      <c r="G822" s="37"/>
    </row>
    <row r="823" ht="15.75" customHeight="1" spans="4:7">
      <c r="D823" s="37"/>
      <c r="E823" s="37"/>
      <c r="F823" s="37"/>
      <c r="G823" s="37"/>
    </row>
    <row r="824" ht="15.75" customHeight="1" spans="4:7">
      <c r="D824" s="37"/>
      <c r="E824" s="37"/>
      <c r="F824" s="37"/>
      <c r="G824" s="37"/>
    </row>
    <row r="825" ht="15.75" customHeight="1" spans="4:7">
      <c r="D825" s="37"/>
      <c r="E825" s="37"/>
      <c r="F825" s="37"/>
      <c r="G825" s="37"/>
    </row>
    <row r="826" ht="15.75" customHeight="1" spans="4:7">
      <c r="D826" s="37"/>
      <c r="E826" s="37"/>
      <c r="F826" s="37"/>
      <c r="G826" s="37"/>
    </row>
    <row r="827" ht="15.75" customHeight="1" spans="4:7">
      <c r="D827" s="37"/>
      <c r="E827" s="37"/>
      <c r="F827" s="37"/>
      <c r="G827" s="37"/>
    </row>
    <row r="828" ht="15.75" customHeight="1" spans="4:7">
      <c r="D828" s="37"/>
      <c r="E828" s="37"/>
      <c r="F828" s="37"/>
      <c r="G828" s="37"/>
    </row>
    <row r="829" ht="15.75" customHeight="1" spans="4:7">
      <c r="D829" s="37"/>
      <c r="E829" s="37"/>
      <c r="F829" s="37"/>
      <c r="G829" s="37"/>
    </row>
    <row r="830" ht="15.75" customHeight="1" spans="4:7">
      <c r="D830" s="37"/>
      <c r="E830" s="37"/>
      <c r="F830" s="37"/>
      <c r="G830" s="37"/>
    </row>
    <row r="831" ht="15.75" customHeight="1" spans="4:7">
      <c r="D831" s="37"/>
      <c r="E831" s="37"/>
      <c r="F831" s="37"/>
      <c r="G831" s="37"/>
    </row>
    <row r="832" ht="15.75" customHeight="1" spans="4:7">
      <c r="D832" s="37"/>
      <c r="E832" s="37"/>
      <c r="F832" s="37"/>
      <c r="G832" s="37"/>
    </row>
    <row r="833" ht="15.75" customHeight="1" spans="4:7">
      <c r="D833" s="37"/>
      <c r="E833" s="37"/>
      <c r="F833" s="37"/>
      <c r="G833" s="37"/>
    </row>
    <row r="834" ht="15.75" customHeight="1" spans="4:7">
      <c r="D834" s="37"/>
      <c r="E834" s="37"/>
      <c r="F834" s="37"/>
      <c r="G834" s="37"/>
    </row>
    <row r="835" ht="15.75" customHeight="1" spans="4:7">
      <c r="D835" s="37"/>
      <c r="E835" s="37"/>
      <c r="F835" s="37"/>
      <c r="G835" s="37"/>
    </row>
    <row r="836" ht="15.75" customHeight="1" spans="4:7">
      <c r="D836" s="37"/>
      <c r="E836" s="37"/>
      <c r="F836" s="37"/>
      <c r="G836" s="37"/>
    </row>
    <row r="837" ht="15.75" customHeight="1" spans="4:7">
      <c r="D837" s="37"/>
      <c r="E837" s="37"/>
      <c r="F837" s="37"/>
      <c r="G837" s="37"/>
    </row>
    <row r="838" ht="15.75" customHeight="1" spans="4:7">
      <c r="D838" s="37"/>
      <c r="E838" s="37"/>
      <c r="F838" s="37"/>
      <c r="G838" s="37"/>
    </row>
    <row r="839" ht="15.75" customHeight="1" spans="4:7">
      <c r="D839" s="37"/>
      <c r="E839" s="37"/>
      <c r="F839" s="37"/>
      <c r="G839" s="37"/>
    </row>
    <row r="840" ht="15.75" customHeight="1" spans="4:7">
      <c r="D840" s="37"/>
      <c r="E840" s="37"/>
      <c r="F840" s="37"/>
      <c r="G840" s="37"/>
    </row>
    <row r="841" ht="15.75" customHeight="1" spans="4:7">
      <c r="D841" s="37"/>
      <c r="E841" s="37"/>
      <c r="F841" s="37"/>
      <c r="G841" s="37"/>
    </row>
    <row r="842" ht="15.75" customHeight="1" spans="4:7">
      <c r="D842" s="37"/>
      <c r="E842" s="37"/>
      <c r="F842" s="37"/>
      <c r="G842" s="37"/>
    </row>
    <row r="843" ht="15.75" customHeight="1" spans="4:7">
      <c r="D843" s="37"/>
      <c r="E843" s="37"/>
      <c r="F843" s="37"/>
      <c r="G843" s="37"/>
    </row>
    <row r="844" ht="15.75" customHeight="1" spans="4:7">
      <c r="D844" s="37"/>
      <c r="E844" s="37"/>
      <c r="F844" s="37"/>
      <c r="G844" s="37"/>
    </row>
    <row r="845" ht="15.75" customHeight="1" spans="4:7">
      <c r="D845" s="37"/>
      <c r="E845" s="37"/>
      <c r="F845" s="37"/>
      <c r="G845" s="37"/>
    </row>
    <row r="846" ht="15.75" customHeight="1" spans="4:7">
      <c r="D846" s="37"/>
      <c r="E846" s="37"/>
      <c r="F846" s="37"/>
      <c r="G846" s="37"/>
    </row>
    <row r="847" ht="15.75" customHeight="1" spans="4:7">
      <c r="D847" s="37"/>
      <c r="E847" s="37"/>
      <c r="F847" s="37"/>
      <c r="G847" s="37"/>
    </row>
    <row r="848" ht="15.75" customHeight="1" spans="4:7">
      <c r="D848" s="37"/>
      <c r="E848" s="37"/>
      <c r="F848" s="37"/>
      <c r="G848" s="37"/>
    </row>
    <row r="849" ht="15.75" customHeight="1" spans="4:7">
      <c r="D849" s="37"/>
      <c r="E849" s="37"/>
      <c r="F849" s="37"/>
      <c r="G849" s="37"/>
    </row>
    <row r="850" ht="15.75" customHeight="1" spans="4:7">
      <c r="D850" s="37"/>
      <c r="E850" s="37"/>
      <c r="F850" s="37"/>
      <c r="G850" s="37"/>
    </row>
    <row r="851" ht="15.75" customHeight="1" spans="4:7">
      <c r="D851" s="37"/>
      <c r="E851" s="37"/>
      <c r="F851" s="37"/>
      <c r="G851" s="37"/>
    </row>
    <row r="852" ht="15.75" customHeight="1" spans="4:7">
      <c r="D852" s="37"/>
      <c r="E852" s="37"/>
      <c r="F852" s="37"/>
      <c r="G852" s="37"/>
    </row>
    <row r="853" ht="15.75" customHeight="1" spans="4:7">
      <c r="D853" s="37"/>
      <c r="E853" s="37"/>
      <c r="F853" s="37"/>
      <c r="G853" s="37"/>
    </row>
    <row r="854" ht="15.75" customHeight="1" spans="4:7">
      <c r="D854" s="37"/>
      <c r="E854" s="37"/>
      <c r="F854" s="37"/>
      <c r="G854" s="37"/>
    </row>
    <row r="855" ht="15.75" customHeight="1" spans="4:7">
      <c r="D855" s="37"/>
      <c r="E855" s="37"/>
      <c r="F855" s="37"/>
      <c r="G855" s="37"/>
    </row>
    <row r="856" ht="15.75" customHeight="1" spans="4:7">
      <c r="D856" s="37"/>
      <c r="E856" s="37"/>
      <c r="F856" s="37"/>
      <c r="G856" s="37"/>
    </row>
    <row r="857" ht="15.75" customHeight="1" spans="4:7">
      <c r="D857" s="37"/>
      <c r="E857" s="37"/>
      <c r="F857" s="37"/>
      <c r="G857" s="37"/>
    </row>
    <row r="858" ht="15.75" customHeight="1" spans="4:7">
      <c r="D858" s="37"/>
      <c r="E858" s="37"/>
      <c r="F858" s="37"/>
      <c r="G858" s="37"/>
    </row>
    <row r="859" ht="15.75" customHeight="1" spans="4:7">
      <c r="D859" s="37"/>
      <c r="E859" s="37"/>
      <c r="F859" s="37"/>
      <c r="G859" s="37"/>
    </row>
    <row r="860" ht="15.75" customHeight="1" spans="4:7">
      <c r="D860" s="37"/>
      <c r="E860" s="37"/>
      <c r="F860" s="37"/>
      <c r="G860" s="37"/>
    </row>
    <row r="861" ht="15.75" customHeight="1" spans="4:7">
      <c r="D861" s="37"/>
      <c r="E861" s="37"/>
      <c r="F861" s="37"/>
      <c r="G861" s="37"/>
    </row>
    <row r="862" ht="15.75" customHeight="1" spans="4:7">
      <c r="D862" s="37"/>
      <c r="E862" s="37"/>
      <c r="F862" s="37"/>
      <c r="G862" s="37"/>
    </row>
    <row r="863" ht="15.75" customHeight="1" spans="4:7">
      <c r="D863" s="37"/>
      <c r="E863" s="37"/>
      <c r="F863" s="37"/>
      <c r="G863" s="37"/>
    </row>
    <row r="864" ht="15.75" customHeight="1" spans="4:7">
      <c r="D864" s="37"/>
      <c r="E864" s="37"/>
      <c r="F864" s="37"/>
      <c r="G864" s="37"/>
    </row>
    <row r="865" ht="15.75" customHeight="1" spans="4:7">
      <c r="D865" s="37"/>
      <c r="E865" s="37"/>
      <c r="F865" s="37"/>
      <c r="G865" s="37"/>
    </row>
    <row r="866" ht="15.75" customHeight="1" spans="4:7">
      <c r="D866" s="37"/>
      <c r="E866" s="37"/>
      <c r="F866" s="37"/>
      <c r="G866" s="37"/>
    </row>
    <row r="867" ht="15.75" customHeight="1" spans="4:7">
      <c r="D867" s="37"/>
      <c r="E867" s="37"/>
      <c r="F867" s="37"/>
      <c r="G867" s="37"/>
    </row>
    <row r="868" ht="15.75" customHeight="1" spans="4:7">
      <c r="D868" s="37"/>
      <c r="E868" s="37"/>
      <c r="F868" s="37"/>
      <c r="G868" s="37"/>
    </row>
    <row r="869" ht="15.75" customHeight="1" spans="4:7">
      <c r="D869" s="37"/>
      <c r="E869" s="37"/>
      <c r="F869" s="37"/>
      <c r="G869" s="37"/>
    </row>
    <row r="870" ht="15.75" customHeight="1" spans="4:7">
      <c r="D870" s="37"/>
      <c r="E870" s="37"/>
      <c r="F870" s="37"/>
      <c r="G870" s="37"/>
    </row>
    <row r="871" ht="15.75" customHeight="1" spans="4:7">
      <c r="D871" s="37"/>
      <c r="E871" s="37"/>
      <c r="F871" s="37"/>
      <c r="G871" s="37"/>
    </row>
    <row r="872" ht="15.75" customHeight="1" spans="4:7">
      <c r="D872" s="37"/>
      <c r="E872" s="37"/>
      <c r="F872" s="37"/>
      <c r="G872" s="37"/>
    </row>
    <row r="873" ht="15.75" customHeight="1" spans="4:7">
      <c r="D873" s="37"/>
      <c r="E873" s="37"/>
      <c r="F873" s="37"/>
      <c r="G873" s="37"/>
    </row>
    <row r="874" ht="15.75" customHeight="1" spans="4:7">
      <c r="D874" s="37"/>
      <c r="E874" s="37"/>
      <c r="F874" s="37"/>
      <c r="G874" s="37"/>
    </row>
    <row r="875" ht="15.75" customHeight="1" spans="4:7">
      <c r="D875" s="37"/>
      <c r="E875" s="37"/>
      <c r="F875" s="37"/>
      <c r="G875" s="37"/>
    </row>
    <row r="876" ht="15.75" customHeight="1" spans="4:7">
      <c r="D876" s="37"/>
      <c r="E876" s="37"/>
      <c r="F876" s="37"/>
      <c r="G876" s="37"/>
    </row>
    <row r="877" ht="15.75" customHeight="1" spans="4:7">
      <c r="D877" s="37"/>
      <c r="E877" s="37"/>
      <c r="F877" s="37"/>
      <c r="G877" s="37"/>
    </row>
    <row r="878" ht="15.75" customHeight="1" spans="4:7">
      <c r="D878" s="37"/>
      <c r="E878" s="37"/>
      <c r="F878" s="37"/>
      <c r="G878" s="37"/>
    </row>
    <row r="879" ht="15.75" customHeight="1" spans="4:7">
      <c r="D879" s="37"/>
      <c r="E879" s="37"/>
      <c r="F879" s="37"/>
      <c r="G879" s="37"/>
    </row>
    <row r="880" ht="15.75" customHeight="1" spans="4:7">
      <c r="D880" s="37"/>
      <c r="E880" s="37"/>
      <c r="F880" s="37"/>
      <c r="G880" s="37"/>
    </row>
    <row r="881" ht="15.75" customHeight="1" spans="4:7">
      <c r="D881" s="37"/>
      <c r="E881" s="37"/>
      <c r="F881" s="37"/>
      <c r="G881" s="37"/>
    </row>
    <row r="882" ht="15.75" customHeight="1" spans="4:7">
      <c r="D882" s="37"/>
      <c r="E882" s="37"/>
      <c r="F882" s="37"/>
      <c r="G882" s="37"/>
    </row>
    <row r="883" ht="15.75" customHeight="1" spans="4:7">
      <c r="D883" s="37"/>
      <c r="E883" s="37"/>
      <c r="F883" s="37"/>
      <c r="G883" s="37"/>
    </row>
    <row r="884" ht="15.75" customHeight="1" spans="4:7">
      <c r="D884" s="37"/>
      <c r="E884" s="37"/>
      <c r="F884" s="37"/>
      <c r="G884" s="37"/>
    </row>
    <row r="885" ht="15.75" customHeight="1" spans="4:7">
      <c r="D885" s="37"/>
      <c r="E885" s="37"/>
      <c r="F885" s="37"/>
      <c r="G885" s="37"/>
    </row>
    <row r="886" ht="15.75" customHeight="1" spans="4:7">
      <c r="D886" s="37"/>
      <c r="E886" s="37"/>
      <c r="F886" s="37"/>
      <c r="G886" s="37"/>
    </row>
    <row r="887" ht="15.75" customHeight="1" spans="4:7">
      <c r="D887" s="37"/>
      <c r="E887" s="37"/>
      <c r="F887" s="37"/>
      <c r="G887" s="37"/>
    </row>
    <row r="888" ht="15.75" customHeight="1" spans="4:7">
      <c r="D888" s="37"/>
      <c r="E888" s="37"/>
      <c r="F888" s="37"/>
      <c r="G888" s="37"/>
    </row>
    <row r="889" ht="15.75" customHeight="1" spans="4:7">
      <c r="D889" s="37"/>
      <c r="E889" s="37"/>
      <c r="F889" s="37"/>
      <c r="G889" s="37"/>
    </row>
    <row r="890" ht="15.75" customHeight="1" spans="4:7">
      <c r="D890" s="37"/>
      <c r="E890" s="37"/>
      <c r="F890" s="37"/>
      <c r="G890" s="37"/>
    </row>
    <row r="891" ht="15.75" customHeight="1" spans="4:7">
      <c r="D891" s="37"/>
      <c r="E891" s="37"/>
      <c r="F891" s="37"/>
      <c r="G891" s="37"/>
    </row>
    <row r="892" ht="15.75" customHeight="1" spans="4:7">
      <c r="D892" s="37"/>
      <c r="E892" s="37"/>
      <c r="F892" s="37"/>
      <c r="G892" s="37"/>
    </row>
    <row r="893" ht="15.75" customHeight="1" spans="4:7">
      <c r="D893" s="37"/>
      <c r="E893" s="37"/>
      <c r="F893" s="37"/>
      <c r="G893" s="37"/>
    </row>
    <row r="894" ht="15.75" customHeight="1" spans="4:7">
      <c r="D894" s="37"/>
      <c r="E894" s="37"/>
      <c r="F894" s="37"/>
      <c r="G894" s="37"/>
    </row>
    <row r="895" ht="15.75" customHeight="1" spans="4:7">
      <c r="D895" s="37"/>
      <c r="E895" s="37"/>
      <c r="F895" s="37"/>
      <c r="G895" s="37"/>
    </row>
    <row r="896" ht="15.75" customHeight="1" spans="4:7">
      <c r="D896" s="37"/>
      <c r="E896" s="37"/>
      <c r="F896" s="37"/>
      <c r="G896" s="37"/>
    </row>
    <row r="897" ht="15.75" customHeight="1" spans="4:7">
      <c r="D897" s="37"/>
      <c r="E897" s="37"/>
      <c r="F897" s="37"/>
      <c r="G897" s="37"/>
    </row>
    <row r="898" ht="15.75" customHeight="1" spans="4:7">
      <c r="D898" s="37"/>
      <c r="E898" s="37"/>
      <c r="F898" s="37"/>
      <c r="G898" s="37"/>
    </row>
    <row r="899" ht="15.75" customHeight="1" spans="4:7">
      <c r="D899" s="37"/>
      <c r="E899" s="37"/>
      <c r="F899" s="37"/>
      <c r="G899" s="37"/>
    </row>
    <row r="900" ht="15.75" customHeight="1" spans="4:7">
      <c r="D900" s="37"/>
      <c r="E900" s="37"/>
      <c r="F900" s="37"/>
      <c r="G900" s="37"/>
    </row>
    <row r="901" ht="15.75" customHeight="1" spans="4:7">
      <c r="D901" s="37"/>
      <c r="E901" s="37"/>
      <c r="F901" s="37"/>
      <c r="G901" s="37"/>
    </row>
    <row r="902" ht="15.75" customHeight="1" spans="4:7">
      <c r="D902" s="37"/>
      <c r="E902" s="37"/>
      <c r="F902" s="37"/>
      <c r="G902" s="37"/>
    </row>
    <row r="903" ht="15.75" customHeight="1" spans="4:7">
      <c r="D903" s="37"/>
      <c r="E903" s="37"/>
      <c r="F903" s="37"/>
      <c r="G903" s="37"/>
    </row>
    <row r="904" ht="15.75" customHeight="1" spans="4:7">
      <c r="D904" s="37"/>
      <c r="E904" s="37"/>
      <c r="F904" s="37"/>
      <c r="G904" s="37"/>
    </row>
    <row r="905" ht="15.75" customHeight="1" spans="4:7">
      <c r="D905" s="37"/>
      <c r="E905" s="37"/>
      <c r="F905" s="37"/>
      <c r="G905" s="37"/>
    </row>
    <row r="906" ht="15.75" customHeight="1" spans="4:7">
      <c r="D906" s="37"/>
      <c r="E906" s="37"/>
      <c r="F906" s="37"/>
      <c r="G906" s="37"/>
    </row>
    <row r="907" ht="15.75" customHeight="1" spans="4:7">
      <c r="D907" s="37"/>
      <c r="E907" s="37"/>
      <c r="F907" s="37"/>
      <c r="G907" s="37"/>
    </row>
    <row r="908" ht="15.75" customHeight="1" spans="4:7">
      <c r="D908" s="37"/>
      <c r="E908" s="37"/>
      <c r="F908" s="37"/>
      <c r="G908" s="37"/>
    </row>
    <row r="909" ht="15.75" customHeight="1" spans="4:7">
      <c r="D909" s="37"/>
      <c r="E909" s="37"/>
      <c r="F909" s="37"/>
      <c r="G909" s="37"/>
    </row>
    <row r="910" ht="15.75" customHeight="1" spans="4:7">
      <c r="D910" s="37"/>
      <c r="E910" s="37"/>
      <c r="F910" s="37"/>
      <c r="G910" s="37"/>
    </row>
    <row r="911" ht="15.75" customHeight="1" spans="4:7">
      <c r="D911" s="37"/>
      <c r="E911" s="37"/>
      <c r="F911" s="37"/>
      <c r="G911" s="37"/>
    </row>
    <row r="912" ht="15.75" customHeight="1" spans="4:7">
      <c r="D912" s="37"/>
      <c r="E912" s="37"/>
      <c r="F912" s="37"/>
      <c r="G912" s="37"/>
    </row>
    <row r="913" ht="15.75" customHeight="1" spans="4:7">
      <c r="D913" s="37"/>
      <c r="E913" s="37"/>
      <c r="F913" s="37"/>
      <c r="G913" s="37"/>
    </row>
    <row r="914" ht="15.75" customHeight="1" spans="4:7">
      <c r="D914" s="37"/>
      <c r="E914" s="37"/>
      <c r="F914" s="37"/>
      <c r="G914" s="37"/>
    </row>
    <row r="915" ht="15.75" customHeight="1" spans="4:7">
      <c r="D915" s="37"/>
      <c r="E915" s="37"/>
      <c r="F915" s="37"/>
      <c r="G915" s="37"/>
    </row>
    <row r="916" ht="15.75" customHeight="1" spans="4:7">
      <c r="D916" s="37"/>
      <c r="E916" s="37"/>
      <c r="F916" s="37"/>
      <c r="G916" s="37"/>
    </row>
    <row r="917" ht="15.75" customHeight="1" spans="4:7">
      <c r="D917" s="37"/>
      <c r="E917" s="37"/>
      <c r="F917" s="37"/>
      <c r="G917" s="37"/>
    </row>
    <row r="918" ht="15.75" customHeight="1" spans="4:7">
      <c r="D918" s="37"/>
      <c r="E918" s="37"/>
      <c r="F918" s="37"/>
      <c r="G918" s="37"/>
    </row>
    <row r="919" ht="15.75" customHeight="1" spans="4:7">
      <c r="D919" s="37"/>
      <c r="E919" s="37"/>
      <c r="F919" s="37"/>
      <c r="G919" s="37"/>
    </row>
    <row r="920" ht="15.75" customHeight="1" spans="4:7">
      <c r="D920" s="37"/>
      <c r="E920" s="37"/>
      <c r="F920" s="37"/>
      <c r="G920" s="37"/>
    </row>
    <row r="921" ht="15.75" customHeight="1" spans="4:7">
      <c r="D921" s="37"/>
      <c r="E921" s="37"/>
      <c r="F921" s="37"/>
      <c r="G921" s="37"/>
    </row>
    <row r="922" ht="15.75" customHeight="1" spans="4:7">
      <c r="D922" s="37"/>
      <c r="E922" s="37"/>
      <c r="F922" s="37"/>
      <c r="G922" s="37"/>
    </row>
    <row r="923" ht="15.75" customHeight="1" spans="4:7">
      <c r="D923" s="37"/>
      <c r="E923" s="37"/>
      <c r="F923" s="37"/>
      <c r="G923" s="37"/>
    </row>
    <row r="924" ht="15.75" customHeight="1" spans="4:7">
      <c r="D924" s="37"/>
      <c r="E924" s="37"/>
      <c r="F924" s="37"/>
      <c r="G924" s="37"/>
    </row>
    <row r="925" ht="15.75" customHeight="1" spans="4:7">
      <c r="D925" s="37"/>
      <c r="E925" s="37"/>
      <c r="F925" s="37"/>
      <c r="G925" s="37"/>
    </row>
    <row r="926" ht="15.75" customHeight="1" spans="4:7">
      <c r="D926" s="37"/>
      <c r="E926" s="37"/>
      <c r="F926" s="37"/>
      <c r="G926" s="37"/>
    </row>
    <row r="927" ht="15.75" customHeight="1" spans="4:7">
      <c r="D927" s="37"/>
      <c r="E927" s="37"/>
      <c r="F927" s="37"/>
      <c r="G927" s="37"/>
    </row>
    <row r="928" ht="15.75" customHeight="1" spans="4:7">
      <c r="D928" s="37"/>
      <c r="E928" s="37"/>
      <c r="F928" s="37"/>
      <c r="G928" s="37"/>
    </row>
    <row r="929" ht="15.75" customHeight="1" spans="4:7">
      <c r="D929" s="37"/>
      <c r="E929" s="37"/>
      <c r="F929" s="37"/>
      <c r="G929" s="37"/>
    </row>
    <row r="930" ht="15.75" customHeight="1" spans="4:7">
      <c r="D930" s="37"/>
      <c r="E930" s="37"/>
      <c r="F930" s="37"/>
      <c r="G930" s="37"/>
    </row>
    <row r="931" ht="15.75" customHeight="1" spans="4:7">
      <c r="D931" s="37"/>
      <c r="E931" s="37"/>
      <c r="F931" s="37"/>
      <c r="G931" s="37"/>
    </row>
    <row r="932" ht="15.75" customHeight="1" spans="4:7">
      <c r="D932" s="37"/>
      <c r="E932" s="37"/>
      <c r="F932" s="37"/>
      <c r="G932" s="37"/>
    </row>
    <row r="933" ht="15.75" customHeight="1" spans="4:7">
      <c r="D933" s="37"/>
      <c r="E933" s="37"/>
      <c r="F933" s="37"/>
      <c r="G933" s="37"/>
    </row>
    <row r="934" ht="15.75" customHeight="1" spans="4:7">
      <c r="D934" s="37"/>
      <c r="E934" s="37"/>
      <c r="F934" s="37"/>
      <c r="G934" s="37"/>
    </row>
    <row r="935" ht="15.75" customHeight="1" spans="4:7">
      <c r="D935" s="37"/>
      <c r="E935" s="37"/>
      <c r="F935" s="37"/>
      <c r="G935" s="37"/>
    </row>
    <row r="936" ht="15.75" customHeight="1" spans="4:7">
      <c r="D936" s="37"/>
      <c r="E936" s="37"/>
      <c r="F936" s="37"/>
      <c r="G936" s="37"/>
    </row>
    <row r="937" ht="15.75" customHeight="1" spans="4:7">
      <c r="D937" s="37"/>
      <c r="E937" s="37"/>
      <c r="F937" s="37"/>
      <c r="G937" s="37"/>
    </row>
    <row r="938" ht="15.75" customHeight="1" spans="4:7">
      <c r="D938" s="37"/>
      <c r="E938" s="37"/>
      <c r="F938" s="37"/>
      <c r="G938" s="37"/>
    </row>
    <row r="939" ht="15.75" customHeight="1" spans="4:7">
      <c r="D939" s="37"/>
      <c r="E939" s="37"/>
      <c r="F939" s="37"/>
      <c r="G939" s="37"/>
    </row>
    <row r="940" ht="15.75" customHeight="1" spans="4:7">
      <c r="D940" s="37"/>
      <c r="E940" s="37"/>
      <c r="F940" s="37"/>
      <c r="G940" s="37"/>
    </row>
    <row r="941" ht="15.75" customHeight="1" spans="4:7">
      <c r="D941" s="37"/>
      <c r="E941" s="37"/>
      <c r="F941" s="37"/>
      <c r="G941" s="37"/>
    </row>
    <row r="942" ht="15.75" customHeight="1" spans="4:7">
      <c r="D942" s="37"/>
      <c r="E942" s="37"/>
      <c r="F942" s="37"/>
      <c r="G942" s="37"/>
    </row>
    <row r="943" ht="15.75" customHeight="1" spans="4:7">
      <c r="D943" s="37"/>
      <c r="E943" s="37"/>
      <c r="F943" s="37"/>
      <c r="G943" s="37"/>
    </row>
    <row r="944" ht="15.75" customHeight="1" spans="4:7">
      <c r="D944" s="37"/>
      <c r="E944" s="37"/>
      <c r="F944" s="37"/>
      <c r="G944" s="37"/>
    </row>
    <row r="945" ht="15.75" customHeight="1" spans="4:7">
      <c r="D945" s="37"/>
      <c r="E945" s="37"/>
      <c r="F945" s="37"/>
      <c r="G945" s="37"/>
    </row>
    <row r="946" ht="15.75" customHeight="1" spans="4:7">
      <c r="D946" s="37"/>
      <c r="E946" s="37"/>
      <c r="F946" s="37"/>
      <c r="G946" s="37"/>
    </row>
    <row r="947" ht="15.75" customHeight="1" spans="4:7">
      <c r="D947" s="37"/>
      <c r="E947" s="37"/>
      <c r="F947" s="37"/>
      <c r="G947" s="37"/>
    </row>
    <row r="948" ht="15.75" customHeight="1" spans="4:7">
      <c r="D948" s="37"/>
      <c r="E948" s="37"/>
      <c r="F948" s="37"/>
      <c r="G948" s="37"/>
    </row>
    <row r="949" ht="15.75" customHeight="1" spans="4:7">
      <c r="D949" s="37"/>
      <c r="E949" s="37"/>
      <c r="F949" s="37"/>
      <c r="G949" s="37"/>
    </row>
    <row r="950" ht="15.75" customHeight="1" spans="4:7">
      <c r="D950" s="37"/>
      <c r="E950" s="37"/>
      <c r="F950" s="37"/>
      <c r="G950" s="37"/>
    </row>
    <row r="951" ht="15.75" customHeight="1" spans="4:7">
      <c r="D951" s="37"/>
      <c r="E951" s="37"/>
      <c r="F951" s="37"/>
      <c r="G951" s="37"/>
    </row>
    <row r="952" ht="15.75" customHeight="1" spans="4:7">
      <c r="D952" s="37"/>
      <c r="E952" s="37"/>
      <c r="F952" s="37"/>
      <c r="G952" s="37"/>
    </row>
    <row r="953" ht="15.75" customHeight="1" spans="4:7">
      <c r="D953" s="37"/>
      <c r="E953" s="37"/>
      <c r="F953" s="37"/>
      <c r="G953" s="37"/>
    </row>
    <row r="954" ht="15.75" customHeight="1" spans="4:7">
      <c r="D954" s="37"/>
      <c r="E954" s="37"/>
      <c r="F954" s="37"/>
      <c r="G954" s="37"/>
    </row>
    <row r="955" ht="15.75" customHeight="1" spans="4:7">
      <c r="D955" s="37"/>
      <c r="E955" s="37"/>
      <c r="F955" s="37"/>
      <c r="G955" s="37"/>
    </row>
    <row r="956" ht="15.75" customHeight="1" spans="4:7">
      <c r="D956" s="37"/>
      <c r="E956" s="37"/>
      <c r="F956" s="37"/>
      <c r="G956" s="37"/>
    </row>
    <row r="957" ht="15.75" customHeight="1" spans="4:7">
      <c r="D957" s="37"/>
      <c r="E957" s="37"/>
      <c r="F957" s="37"/>
      <c r="G957" s="37"/>
    </row>
    <row r="958" ht="15.75" customHeight="1" spans="4:7">
      <c r="D958" s="37"/>
      <c r="E958" s="37"/>
      <c r="F958" s="37"/>
      <c r="G958" s="37"/>
    </row>
    <row r="959" ht="15.75" customHeight="1" spans="4:7">
      <c r="D959" s="37"/>
      <c r="E959" s="37"/>
      <c r="F959" s="37"/>
      <c r="G959" s="37"/>
    </row>
    <row r="960" ht="15.75" customHeight="1" spans="4:7">
      <c r="D960" s="37"/>
      <c r="E960" s="37"/>
      <c r="F960" s="37"/>
      <c r="G960" s="37"/>
    </row>
    <row r="961" ht="15.75" customHeight="1" spans="4:7">
      <c r="D961" s="37"/>
      <c r="E961" s="37"/>
      <c r="F961" s="37"/>
      <c r="G961" s="37"/>
    </row>
    <row r="962" ht="15.75" customHeight="1" spans="4:7">
      <c r="D962" s="37"/>
      <c r="E962" s="37"/>
      <c r="F962" s="37"/>
      <c r="G962" s="37"/>
    </row>
    <row r="963" ht="15.75" customHeight="1" spans="4:7">
      <c r="D963" s="37"/>
      <c r="E963" s="37"/>
      <c r="F963" s="37"/>
      <c r="G963" s="37"/>
    </row>
    <row r="964" ht="15.75" customHeight="1" spans="4:7">
      <c r="D964" s="37"/>
      <c r="E964" s="37"/>
      <c r="F964" s="37"/>
      <c r="G964" s="37"/>
    </row>
    <row r="965" ht="15.75" customHeight="1" spans="4:7">
      <c r="D965" s="37"/>
      <c r="E965" s="37"/>
      <c r="F965" s="37"/>
      <c r="G965" s="37"/>
    </row>
    <row r="966" ht="15.75" customHeight="1" spans="4:7">
      <c r="D966" s="37"/>
      <c r="E966" s="37"/>
      <c r="F966" s="37"/>
      <c r="G966" s="37"/>
    </row>
    <row r="967" ht="15.75" customHeight="1" spans="4:7">
      <c r="D967" s="37"/>
      <c r="E967" s="37"/>
      <c r="F967" s="37"/>
      <c r="G967" s="37"/>
    </row>
    <row r="968" ht="15.75" customHeight="1" spans="4:7">
      <c r="D968" s="37"/>
      <c r="E968" s="37"/>
      <c r="F968" s="37"/>
      <c r="G968" s="37"/>
    </row>
    <row r="969" ht="15.75" customHeight="1" spans="4:7">
      <c r="D969" s="37"/>
      <c r="E969" s="37"/>
      <c r="F969" s="37"/>
      <c r="G969" s="37"/>
    </row>
    <row r="970" ht="15.75" customHeight="1" spans="4:7">
      <c r="D970" s="37"/>
      <c r="E970" s="37"/>
      <c r="F970" s="37"/>
      <c r="G970" s="37"/>
    </row>
    <row r="971" ht="15.75" customHeight="1" spans="4:7">
      <c r="D971" s="37"/>
      <c r="E971" s="37"/>
      <c r="F971" s="37"/>
      <c r="G971" s="37"/>
    </row>
    <row r="972" ht="15.75" customHeight="1" spans="4:7">
      <c r="D972" s="37"/>
      <c r="E972" s="37"/>
      <c r="F972" s="37"/>
      <c r="G972" s="37"/>
    </row>
    <row r="973" ht="15.75" customHeight="1" spans="4:7">
      <c r="D973" s="37"/>
      <c r="E973" s="37"/>
      <c r="F973" s="37"/>
      <c r="G973" s="37"/>
    </row>
    <row r="974" ht="15.75" customHeight="1" spans="4:7">
      <c r="D974" s="37"/>
      <c r="E974" s="37"/>
      <c r="F974" s="37"/>
      <c r="G974" s="37"/>
    </row>
    <row r="975" ht="15.75" customHeight="1" spans="4:7">
      <c r="D975" s="37"/>
      <c r="E975" s="37"/>
      <c r="F975" s="37"/>
      <c r="G975" s="37"/>
    </row>
    <row r="976" ht="15.75" customHeight="1" spans="4:7">
      <c r="D976" s="37"/>
      <c r="E976" s="37"/>
      <c r="F976" s="37"/>
      <c r="G976" s="37"/>
    </row>
    <row r="977" ht="15.75" customHeight="1" spans="4:7">
      <c r="D977" s="37"/>
      <c r="E977" s="37"/>
      <c r="F977" s="37"/>
      <c r="G977" s="37"/>
    </row>
    <row r="978" ht="15.75" customHeight="1" spans="4:7">
      <c r="D978" s="37"/>
      <c r="E978" s="37"/>
      <c r="F978" s="37"/>
      <c r="G978" s="37"/>
    </row>
    <row r="979" ht="15.75" customHeight="1" spans="4:7">
      <c r="D979" s="37"/>
      <c r="E979" s="37"/>
      <c r="F979" s="37"/>
      <c r="G979" s="37"/>
    </row>
    <row r="980" ht="15.75" customHeight="1" spans="4:7">
      <c r="D980" s="37"/>
      <c r="E980" s="37"/>
      <c r="F980" s="37"/>
      <c r="G980" s="37"/>
    </row>
    <row r="981" ht="15.75" customHeight="1" spans="4:7">
      <c r="D981" s="37"/>
      <c r="E981" s="37"/>
      <c r="F981" s="37"/>
      <c r="G981" s="37"/>
    </row>
    <row r="982" ht="15.75" customHeight="1" spans="4:7">
      <c r="D982" s="37"/>
      <c r="E982" s="37"/>
      <c r="F982" s="37"/>
      <c r="G982" s="37"/>
    </row>
    <row r="983" ht="15.75" customHeight="1" spans="4:7">
      <c r="D983" s="37"/>
      <c r="E983" s="37"/>
      <c r="F983" s="37"/>
      <c r="G983" s="37"/>
    </row>
    <row r="984" ht="15.75" customHeight="1" spans="4:7">
      <c r="D984" s="37"/>
      <c r="E984" s="37"/>
      <c r="F984" s="37"/>
      <c r="G984" s="37"/>
    </row>
    <row r="985" ht="15.75" customHeight="1" spans="4:7">
      <c r="D985" s="37"/>
      <c r="E985" s="37"/>
      <c r="F985" s="37"/>
      <c r="G985" s="37"/>
    </row>
    <row r="986" ht="15.75" customHeight="1" spans="4:7">
      <c r="D986" s="37"/>
      <c r="E986" s="37"/>
      <c r="F986" s="37"/>
      <c r="G986" s="37"/>
    </row>
    <row r="987" ht="15.75" customHeight="1" spans="4:7">
      <c r="D987" s="37"/>
      <c r="E987" s="37"/>
      <c r="F987" s="37"/>
      <c r="G987" s="37"/>
    </row>
    <row r="988" ht="15.75" customHeight="1" spans="4:7">
      <c r="D988" s="37"/>
      <c r="E988" s="37"/>
      <c r="F988" s="37"/>
      <c r="G988" s="37"/>
    </row>
    <row r="989" ht="15.75" customHeight="1" spans="4:7">
      <c r="D989" s="37"/>
      <c r="E989" s="37"/>
      <c r="F989" s="37"/>
      <c r="G989" s="37"/>
    </row>
    <row r="990" ht="15.75" customHeight="1" spans="4:7">
      <c r="D990" s="37"/>
      <c r="E990" s="37"/>
      <c r="F990" s="37"/>
      <c r="G990" s="37"/>
    </row>
    <row r="991" ht="15.75" customHeight="1" spans="4:7">
      <c r="D991" s="37"/>
      <c r="E991" s="37"/>
      <c r="F991" s="37"/>
      <c r="G991" s="37"/>
    </row>
    <row r="992" ht="15.75" customHeight="1" spans="4:7">
      <c r="D992" s="37"/>
      <c r="E992" s="37"/>
      <c r="F992" s="37"/>
      <c r="G992" s="37"/>
    </row>
    <row r="993" ht="15.75" customHeight="1" spans="4:7">
      <c r="D993" s="37"/>
      <c r="E993" s="37"/>
      <c r="F993" s="37"/>
      <c r="G993" s="37"/>
    </row>
    <row r="994" ht="15.75" customHeight="1" spans="4:7">
      <c r="D994" s="37"/>
      <c r="E994" s="37"/>
      <c r="F994" s="37"/>
      <c r="G994" s="37"/>
    </row>
    <row r="995" ht="15.75" customHeight="1" spans="4:7">
      <c r="D995" s="37"/>
      <c r="E995" s="37"/>
      <c r="F995" s="37"/>
      <c r="G995" s="37"/>
    </row>
    <row r="996" ht="15.75" customHeight="1" spans="4:7">
      <c r="D996" s="37"/>
      <c r="E996" s="37"/>
      <c r="F996" s="37"/>
      <c r="G996" s="37"/>
    </row>
    <row r="997" ht="15.75" customHeight="1" spans="4:7">
      <c r="D997" s="37"/>
      <c r="E997" s="37"/>
      <c r="F997" s="37"/>
      <c r="G997" s="37"/>
    </row>
    <row r="998" ht="15.75" customHeight="1" spans="4:7">
      <c r="D998" s="37"/>
      <c r="E998" s="37"/>
      <c r="F998" s="37"/>
      <c r="G998" s="37"/>
    </row>
    <row r="999" ht="15.75" customHeight="1" spans="4:7">
      <c r="D999" s="37"/>
      <c r="E999" s="37"/>
      <c r="F999" s="37"/>
      <c r="G999" s="37"/>
    </row>
    <row r="1000" ht="15.75" customHeight="1" spans="4:7">
      <c r="D1000" s="37"/>
      <c r="E1000" s="37"/>
      <c r="F1000" s="37"/>
      <c r="G1000" s="37"/>
    </row>
  </sheetData>
  <autoFilter xmlns:etc="http://www.wps.cn/officeDocument/2017/etCustomData" ref="A1:G237" etc:filterBottomFollowUsedRange="0">
    <filterColumn colId="0">
      <customFilters>
        <customFilter operator="equal" val="Gasolina Automotiva (comercial)"/>
      </customFilters>
    </filterColumn>
    <filterColumn colId="2">
      <customFilters>
        <customFilter operator="equal" val="2020"/>
      </customFilters>
    </filterColumn>
    <extLst/>
  </autoFilter>
  <pageMargins left="0.511811024" right="0.511811024" top="0.787401575" bottom="0.787401575" header="0" footer="0"/>
  <pageSetup paperSize="1" orientation="landscape"/>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
    </sheetView>
  </sheetViews>
  <sheetFormatPr defaultColWidth="14.4285714285714" defaultRowHeight="15" customHeight="1" outlineLevelCol="4"/>
  <cols>
    <col min="1" max="26" width="31.8571428571429" customWidth="1"/>
  </cols>
  <sheetData>
    <row r="1" ht="26.25" customHeight="1" spans="1:5">
      <c r="A1" s="1" t="s">
        <v>1051</v>
      </c>
      <c r="B1" s="1" t="s">
        <v>1457</v>
      </c>
      <c r="C1" s="2" t="s">
        <v>1093</v>
      </c>
      <c r="D1" s="2" t="s">
        <v>1458</v>
      </c>
      <c r="E1" s="2" t="s">
        <v>1047</v>
      </c>
    </row>
    <row r="2" ht="26.25" customHeight="1" spans="1:5">
      <c r="A2" s="3" t="s">
        <v>1459</v>
      </c>
      <c r="B2" s="4" t="s">
        <v>1106</v>
      </c>
      <c r="C2" s="5" t="s">
        <v>1107</v>
      </c>
      <c r="D2" s="6">
        <v>15.2021891152326</v>
      </c>
      <c r="E2" s="3">
        <v>2024</v>
      </c>
    </row>
    <row r="3" ht="26.25" customHeight="1" spans="1:5">
      <c r="A3" s="3" t="s">
        <v>1459</v>
      </c>
      <c r="B3" s="4" t="s">
        <v>1108</v>
      </c>
      <c r="C3" s="5" t="s">
        <v>1107</v>
      </c>
      <c r="D3" s="6">
        <v>4.75556400989157</v>
      </c>
      <c r="E3" s="3">
        <v>2024</v>
      </c>
    </row>
    <row r="4" ht="26.25" customHeight="1" spans="1:5">
      <c r="A4" s="3" t="s">
        <v>1459</v>
      </c>
      <c r="B4" s="4" t="s">
        <v>1109</v>
      </c>
      <c r="C4" s="5" t="s">
        <v>1107</v>
      </c>
      <c r="D4" s="6">
        <v>5.291285253188</v>
      </c>
      <c r="E4" s="3">
        <v>2024</v>
      </c>
    </row>
    <row r="5" ht="26.25" customHeight="1" spans="1:5">
      <c r="A5" s="3" t="s">
        <v>1459</v>
      </c>
      <c r="B5" s="4" t="s">
        <v>1110</v>
      </c>
      <c r="C5" s="5" t="s">
        <v>1107</v>
      </c>
      <c r="D5" s="6">
        <v>3.4299434059338</v>
      </c>
      <c r="E5" s="3">
        <v>2024</v>
      </c>
    </row>
    <row r="6" ht="26.25" customHeight="1" spans="1:5">
      <c r="A6" s="3" t="s">
        <v>1459</v>
      </c>
      <c r="B6" s="4" t="s">
        <v>1111</v>
      </c>
      <c r="C6" s="5" t="s">
        <v>1107</v>
      </c>
      <c r="D6" s="6">
        <v>2.51939937518895</v>
      </c>
      <c r="E6" s="3">
        <v>2024</v>
      </c>
    </row>
    <row r="7" ht="26.25" customHeight="1" spans="1:5">
      <c r="A7" s="3" t="s">
        <v>1459</v>
      </c>
      <c r="B7" s="4" t="s">
        <v>1112</v>
      </c>
      <c r="C7" s="5" t="s">
        <v>1107</v>
      </c>
      <c r="D7" s="6">
        <v>2.83446712018141</v>
      </c>
      <c r="E7" s="3">
        <v>2024</v>
      </c>
    </row>
    <row r="8" ht="26.25" customHeight="1" spans="1:5">
      <c r="A8" s="3" t="s">
        <v>1459</v>
      </c>
      <c r="B8" s="4" t="s">
        <v>1113</v>
      </c>
      <c r="C8" s="5" t="s">
        <v>1107</v>
      </c>
      <c r="D8" s="6">
        <v>12.6103404791929</v>
      </c>
      <c r="E8" s="3">
        <v>2024</v>
      </c>
    </row>
    <row r="9" ht="26.25" customHeight="1" spans="1:5">
      <c r="A9" s="3" t="s">
        <v>1459</v>
      </c>
      <c r="B9" s="7" t="s">
        <v>1460</v>
      </c>
      <c r="C9" s="5" t="s">
        <v>1107</v>
      </c>
      <c r="D9" s="8">
        <v>4.75556400989157</v>
      </c>
      <c r="E9" s="3">
        <v>2024</v>
      </c>
    </row>
    <row r="10" ht="26.25" customHeight="1"/>
    <row r="11" ht="26.25" customHeight="1"/>
    <row r="12" ht="26.25" customHeight="1"/>
    <row r="13" ht="26.25" customHeight="1"/>
    <row r="14" ht="26.25" customHeight="1"/>
    <row r="15" ht="26.25" customHeight="1"/>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pageMargins left="0.511811024" right="0.511811024" top="0.787401575" bottom="0.787401575" header="0" footer="0"/>
  <pageSetup paperSize="1" orientation="landscape"/>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F11" sqref="F11"/>
    </sheetView>
  </sheetViews>
  <sheetFormatPr defaultColWidth="9.14285714285714" defaultRowHeight="15" outlineLevelRow="3" outlineLevelCol="2"/>
  <cols>
    <col min="2" max="2" width="81.2857142857143" customWidth="1"/>
  </cols>
  <sheetData>
    <row r="1" spans="1:3">
      <c r="A1" t="s">
        <v>1461</v>
      </c>
      <c r="B1" t="s">
        <v>1462</v>
      </c>
      <c r="C1" t="s">
        <v>1455</v>
      </c>
    </row>
    <row r="2" spans="2:3">
      <c r="B2" t="s">
        <v>1057</v>
      </c>
      <c r="C2" t="s">
        <v>1456</v>
      </c>
    </row>
    <row r="3" spans="2:3">
      <c r="B3" t="s">
        <v>1463</v>
      </c>
      <c r="C3" t="s">
        <v>1453</v>
      </c>
    </row>
    <row r="4" spans="2:3">
      <c r="B4" t="s">
        <v>1055</v>
      </c>
      <c r="C4" t="s">
        <v>1454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20</vt:i4>
      </vt:variant>
    </vt:vector>
  </HeadingPairs>
  <TitlesOfParts>
    <vt:vector size="20" baseType="lpstr">
      <vt:lpstr>Aeroportos</vt:lpstr>
      <vt:lpstr>Distancias_aeroportos</vt:lpstr>
      <vt:lpstr>Fatores_emissao_aereas</vt:lpstr>
      <vt:lpstr>Consumo_teletrabalho</vt:lpstr>
      <vt:lpstr>Etanol Hidratado e Biometano</vt:lpstr>
      <vt:lpstr>Oleo Diesel</vt:lpstr>
      <vt:lpstr>GNV</vt:lpstr>
      <vt:lpstr>Consumo_unidade_medida</vt:lpstr>
      <vt:lpstr>Estacionaria</vt:lpstr>
      <vt:lpstr>Variaveis_GHG</vt:lpstr>
      <vt:lpstr>Composicao_combustiveis</vt:lpstr>
      <vt:lpstr>GWP</vt:lpstr>
      <vt:lpstr>Fatores_combustao_movel</vt:lpstr>
      <vt:lpstr>Transporte_metro</vt:lpstr>
      <vt:lpstr>Transporte_Trem</vt:lpstr>
      <vt:lpstr>Transporte_Onibus</vt:lpstr>
      <vt:lpstr>Balsa</vt:lpstr>
      <vt:lpstr>Todos_combustiveis</vt:lpstr>
      <vt:lpstr>Veículos elétricos</vt:lpstr>
      <vt:lpstr>Legenda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Jesus</dc:creator>
  <cp:lastModifiedBy>Tiago Schneider</cp:lastModifiedBy>
  <dcterms:created xsi:type="dcterms:W3CDTF">2024-10-08T15:30:00Z</dcterms:created>
  <dcterms:modified xsi:type="dcterms:W3CDTF">2025-10-25T02:22:13Z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4AB9A0689E3A491695E4C2F41EDAC538_12</vt:lpwstr>
  </property>
  <property fmtid="{D5CDD505-2E9C-101B-9397-08002B2CF9AE}" pid="3" name="KSOProductBuildVer">
    <vt:lpwstr>1046-12.2.0.22549</vt:lpwstr>
  </property>
</Properties>
</file>